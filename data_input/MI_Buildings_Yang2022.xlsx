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ra/Documents/Post-GrowthHousingScenarios/"/>
    </mc:Choice>
  </mc:AlternateContent>
  <xr:revisionPtr revIDLastSave="0" documentId="13_ncr:1_{39A6185A-F95E-084E-8AEA-0E42164B8C0E}" xr6:coauthVersionLast="47" xr6:coauthVersionMax="47" xr10:uidLastSave="{00000000-0000-0000-0000-000000000000}"/>
  <bookViews>
    <workbookView xWindow="26080" yWindow="500" windowWidth="25040" windowHeight="14400" activeTab="1" xr2:uid="{2CD2A908-B6C9-BD47-93F3-6FE7A8360DDA}"/>
  </bookViews>
  <sheets>
    <sheet name="meta" sheetId="2" r:id="rId1"/>
    <sheet name="0_MaterialIntensity" sheetId="1" r:id="rId2"/>
    <sheet name="1_AverageAB_MI" sheetId="3" r:id="rId3"/>
    <sheet name="2_Retrofit_MI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0" i="4" l="1"/>
  <c r="N87" i="4"/>
  <c r="M87" i="4"/>
  <c r="I87" i="4"/>
  <c r="H87" i="4"/>
  <c r="N86" i="4"/>
  <c r="M86" i="4"/>
  <c r="I86" i="4"/>
  <c r="H86" i="4"/>
  <c r="N85" i="4"/>
  <c r="M85" i="4"/>
  <c r="I85" i="4"/>
  <c r="H85" i="4"/>
  <c r="N84" i="4"/>
  <c r="M84" i="4"/>
  <c r="I84" i="4"/>
  <c r="H84" i="4"/>
  <c r="AJ78" i="4"/>
  <c r="AH78" i="4"/>
  <c r="AX78" i="4" s="1"/>
  <c r="AF78" i="4"/>
  <c r="AV78" i="4" s="1"/>
  <c r="AB78" i="4"/>
  <c r="AR78" i="4" s="1"/>
  <c r="AH77" i="4"/>
  <c r="AX77" i="4" s="1"/>
  <c r="AF77" i="4"/>
  <c r="AV77" i="4" s="1"/>
  <c r="AB77" i="4"/>
  <c r="AR77" i="4" s="1"/>
  <c r="T77" i="4"/>
  <c r="AJ77" i="4" s="1"/>
  <c r="AX76" i="4"/>
  <c r="AV76" i="4"/>
  <c r="AR76" i="4"/>
  <c r="AJ76" i="4"/>
  <c r="AB76" i="4"/>
  <c r="AH75" i="4"/>
  <c r="AX75" i="4" s="1"/>
  <c r="AF75" i="4"/>
  <c r="AV75" i="4" s="1"/>
  <c r="AB75" i="4"/>
  <c r="AR75" i="4" s="1"/>
  <c r="T75" i="4"/>
  <c r="AJ75" i="4" s="1"/>
  <c r="AX74" i="4"/>
  <c r="AV74" i="4"/>
  <c r="AJ74" i="4"/>
  <c r="AB74" i="4"/>
  <c r="AR74" i="4" s="1"/>
  <c r="AH73" i="4"/>
  <c r="AX73" i="4" s="1"/>
  <c r="AF73" i="4"/>
  <c r="AV73" i="4" s="1"/>
  <c r="AB73" i="4"/>
  <c r="AR73" i="4" s="1"/>
  <c r="T73" i="4"/>
  <c r="AJ73" i="4" s="1"/>
  <c r="AX72" i="4"/>
  <c r="AV72" i="4"/>
  <c r="AJ72" i="4"/>
  <c r="AB72" i="4"/>
  <c r="AR72" i="4" s="1"/>
  <c r="AH71" i="4"/>
  <c r="AX71" i="4" s="1"/>
  <c r="AF71" i="4"/>
  <c r="AV71" i="4" s="1"/>
  <c r="AB71" i="4"/>
  <c r="AR71" i="4" s="1"/>
  <c r="T71" i="4"/>
  <c r="AJ71" i="4" s="1"/>
  <c r="AX70" i="4"/>
  <c r="AV70" i="4"/>
  <c r="AJ70" i="4"/>
  <c r="AB70" i="4"/>
  <c r="AR70" i="4" s="1"/>
  <c r="AH69" i="4"/>
  <c r="AX69" i="4" s="1"/>
  <c r="AF69" i="4"/>
  <c r="AV69" i="4" s="1"/>
  <c r="AB69" i="4"/>
  <c r="AR69" i="4" s="1"/>
  <c r="T69" i="4"/>
  <c r="AJ69" i="4" s="1"/>
  <c r="AX68" i="4"/>
  <c r="AV68" i="4"/>
  <c r="AJ68" i="4"/>
  <c r="AB68" i="4"/>
  <c r="AR68" i="4" s="1"/>
  <c r="AH67" i="4"/>
  <c r="AX67" i="4" s="1"/>
  <c r="AF67" i="4"/>
  <c r="AV67" i="4" s="1"/>
  <c r="AB67" i="4"/>
  <c r="AR67" i="4" s="1"/>
  <c r="T67" i="4"/>
  <c r="AJ67" i="4" s="1"/>
  <c r="AX66" i="4"/>
  <c r="AV66" i="4"/>
  <c r="AJ66" i="4"/>
  <c r="AB66" i="4"/>
  <c r="AR66" i="4" s="1"/>
  <c r="AJ65" i="4"/>
  <c r="AH65" i="4"/>
  <c r="AX65" i="4" s="1"/>
  <c r="AF65" i="4"/>
  <c r="AV65" i="4" s="1"/>
  <c r="AB65" i="4"/>
  <c r="AR65" i="4" s="1"/>
  <c r="AJ64" i="4"/>
  <c r="AH64" i="4"/>
  <c r="AX64" i="4" s="1"/>
  <c r="AF64" i="4"/>
  <c r="AV64" i="4" s="1"/>
  <c r="AB64" i="4"/>
  <c r="AR64" i="4" s="1"/>
  <c r="AH63" i="4"/>
  <c r="AX63" i="4" s="1"/>
  <c r="AF63" i="4"/>
  <c r="AV63" i="4" s="1"/>
  <c r="AB63" i="4"/>
  <c r="AR63" i="4" s="1"/>
  <c r="T63" i="4"/>
  <c r="AJ63" i="4" s="1"/>
  <c r="AX62" i="4"/>
  <c r="AV62" i="4"/>
  <c r="AJ62" i="4"/>
  <c r="AB62" i="4"/>
  <c r="AR62" i="4" s="1"/>
  <c r="AH61" i="4"/>
  <c r="AX61" i="4" s="1"/>
  <c r="AF61" i="4"/>
  <c r="AV61" i="4" s="1"/>
  <c r="AB61" i="4"/>
  <c r="AR61" i="4" s="1"/>
  <c r="T61" i="4"/>
  <c r="AJ61" i="4" s="1"/>
  <c r="AX60" i="4"/>
  <c r="AV60" i="4"/>
  <c r="AJ60" i="4"/>
  <c r="AB60" i="4"/>
  <c r="AR60" i="4" s="1"/>
  <c r="AH59" i="4"/>
  <c r="AX59" i="4" s="1"/>
  <c r="AF59" i="4"/>
  <c r="AV59" i="4" s="1"/>
  <c r="AB59" i="4"/>
  <c r="AR59" i="4" s="1"/>
  <c r="T59" i="4"/>
  <c r="AJ59" i="4" s="1"/>
  <c r="AX58" i="4"/>
  <c r="AV58" i="4"/>
  <c r="AJ58" i="4"/>
  <c r="AB58" i="4"/>
  <c r="AR58" i="4" s="1"/>
  <c r="AH57" i="4"/>
  <c r="AX57" i="4" s="1"/>
  <c r="AF57" i="4"/>
  <c r="AV57" i="4" s="1"/>
  <c r="AB57" i="4"/>
  <c r="AR57" i="4" s="1"/>
  <c r="T57" i="4"/>
  <c r="AJ57" i="4" s="1"/>
  <c r="AX56" i="4"/>
  <c r="AV56" i="4"/>
  <c r="AJ56" i="4"/>
  <c r="AB56" i="4"/>
  <c r="AR56" i="4" s="1"/>
  <c r="AH55" i="4"/>
  <c r="AX55" i="4" s="1"/>
  <c r="AF55" i="4"/>
  <c r="AV55" i="4" s="1"/>
  <c r="AB55" i="4"/>
  <c r="AR55" i="4" s="1"/>
  <c r="T55" i="4"/>
  <c r="AJ55" i="4" s="1"/>
  <c r="AX54" i="4"/>
  <c r="AV54" i="4"/>
  <c r="AJ54" i="4"/>
  <c r="AB54" i="4"/>
  <c r="AR54" i="4" s="1"/>
  <c r="AH53" i="4"/>
  <c r="AX53" i="4" s="1"/>
  <c r="AF53" i="4"/>
  <c r="AV53" i="4" s="1"/>
  <c r="AB53" i="4"/>
  <c r="AR53" i="4" s="1"/>
  <c r="T53" i="4"/>
  <c r="AJ53" i="4" s="1"/>
  <c r="AX52" i="4"/>
  <c r="AV52" i="4"/>
  <c r="AJ52" i="4"/>
  <c r="AB52" i="4"/>
  <c r="AR52" i="4" s="1"/>
  <c r="AH51" i="4"/>
  <c r="AX51" i="4" s="1"/>
  <c r="AF51" i="4"/>
  <c r="AV51" i="4" s="1"/>
  <c r="AB51" i="4"/>
  <c r="AR51" i="4" s="1"/>
  <c r="T51" i="4"/>
  <c r="AJ51" i="4" s="1"/>
  <c r="AX50" i="4"/>
  <c r="AV50" i="4"/>
  <c r="AJ50" i="4"/>
  <c r="AB50" i="4"/>
  <c r="AR50" i="4" s="1"/>
  <c r="AJ49" i="4"/>
  <c r="AH49" i="4"/>
  <c r="AX49" i="4" s="1"/>
  <c r="AF49" i="4"/>
  <c r="AV49" i="4" s="1"/>
  <c r="AB49" i="4"/>
  <c r="AR49" i="4" s="1"/>
  <c r="AH48" i="4"/>
  <c r="AX48" i="4" s="1"/>
  <c r="AF48" i="4"/>
  <c r="AV48" i="4" s="1"/>
  <c r="AB48" i="4"/>
  <c r="AR48" i="4" s="1"/>
  <c r="T48" i="4"/>
  <c r="AJ48" i="4" s="1"/>
  <c r="AX47" i="4"/>
  <c r="AV47" i="4"/>
  <c r="AJ47" i="4"/>
  <c r="AB47" i="4"/>
  <c r="AR47" i="4" s="1"/>
  <c r="AH46" i="4"/>
  <c r="AX46" i="4" s="1"/>
  <c r="AF46" i="4"/>
  <c r="AV46" i="4" s="1"/>
  <c r="AB46" i="4"/>
  <c r="AR46" i="4" s="1"/>
  <c r="T46" i="4"/>
  <c r="AJ46" i="4" s="1"/>
  <c r="AX45" i="4"/>
  <c r="AV45" i="4"/>
  <c r="AJ45" i="4"/>
  <c r="AB45" i="4"/>
  <c r="AR45" i="4" s="1"/>
  <c r="AH44" i="4"/>
  <c r="AX44" i="4" s="1"/>
  <c r="AF44" i="4"/>
  <c r="AV44" i="4" s="1"/>
  <c r="AB44" i="4"/>
  <c r="AR44" i="4" s="1"/>
  <c r="T44" i="4"/>
  <c r="AJ44" i="4" s="1"/>
  <c r="AX43" i="4"/>
  <c r="AV43" i="4"/>
  <c r="AJ43" i="4"/>
  <c r="AB43" i="4"/>
  <c r="AR43" i="4" s="1"/>
  <c r="AH42" i="4"/>
  <c r="AX42" i="4" s="1"/>
  <c r="AF42" i="4"/>
  <c r="AV42" i="4" s="1"/>
  <c r="AB42" i="4"/>
  <c r="AR42" i="4" s="1"/>
  <c r="T42" i="4"/>
  <c r="AJ42" i="4" s="1"/>
  <c r="AX41" i="4"/>
  <c r="AV41" i="4"/>
  <c r="AJ41" i="4"/>
  <c r="AB41" i="4"/>
  <c r="AR41" i="4" s="1"/>
  <c r="AH40" i="4"/>
  <c r="AX40" i="4" s="1"/>
  <c r="AF40" i="4"/>
  <c r="AV40" i="4" s="1"/>
  <c r="AB40" i="4"/>
  <c r="AR40" i="4" s="1"/>
  <c r="T40" i="4"/>
  <c r="AJ40" i="4" s="1"/>
  <c r="AX39" i="4"/>
  <c r="AV39" i="4"/>
  <c r="AJ39" i="4"/>
  <c r="AB39" i="4"/>
  <c r="AR39" i="4" s="1"/>
  <c r="AF38" i="4"/>
  <c r="AV38" i="4" s="1"/>
  <c r="AB38" i="4"/>
  <c r="AR38" i="4" s="1"/>
  <c r="T38" i="4"/>
  <c r="AJ38" i="4" s="1"/>
  <c r="H38" i="4"/>
  <c r="AH38" i="4" s="1"/>
  <c r="AX38" i="4" s="1"/>
  <c r="AX37" i="4"/>
  <c r="AV37" i="4"/>
  <c r="AJ37" i="4"/>
  <c r="AB37" i="4"/>
  <c r="AR37" i="4" s="1"/>
  <c r="AX36" i="4"/>
  <c r="AV36" i="4"/>
  <c r="AR36" i="4"/>
  <c r="AJ36" i="4"/>
  <c r="AB36" i="4"/>
  <c r="AX35" i="4"/>
  <c r="AV35" i="4"/>
  <c r="AR35" i="4"/>
  <c r="AJ35" i="4"/>
  <c r="AB35" i="4"/>
  <c r="AJ34" i="4"/>
  <c r="AH34" i="4"/>
  <c r="AX34" i="4" s="1"/>
  <c r="AF34" i="4"/>
  <c r="AV34" i="4" s="1"/>
  <c r="AB34" i="4"/>
  <c r="AR34" i="4" s="1"/>
  <c r="AH33" i="4"/>
  <c r="AX33" i="4" s="1"/>
  <c r="AF33" i="4"/>
  <c r="AV33" i="4" s="1"/>
  <c r="AB33" i="4"/>
  <c r="AR33" i="4" s="1"/>
  <c r="T33" i="4"/>
  <c r="AJ33" i="4" s="1"/>
  <c r="AX32" i="4"/>
  <c r="AV32" i="4"/>
  <c r="AJ32" i="4"/>
  <c r="AB32" i="4"/>
  <c r="AR32" i="4" s="1"/>
  <c r="AH31" i="4"/>
  <c r="AX31" i="4" s="1"/>
  <c r="AF31" i="4"/>
  <c r="AV31" i="4" s="1"/>
  <c r="AB31" i="4"/>
  <c r="AR31" i="4" s="1"/>
  <c r="T31" i="4"/>
  <c r="AJ31" i="4" s="1"/>
  <c r="AX30" i="4"/>
  <c r="AV30" i="4"/>
  <c r="AJ30" i="4"/>
  <c r="AB30" i="4"/>
  <c r="AR30" i="4" s="1"/>
  <c r="AH29" i="4"/>
  <c r="AX29" i="4" s="1"/>
  <c r="AF29" i="4"/>
  <c r="AV29" i="4" s="1"/>
  <c r="AB29" i="4"/>
  <c r="AR29" i="4" s="1"/>
  <c r="T29" i="4"/>
  <c r="AJ29" i="4" s="1"/>
  <c r="AX28" i="4"/>
  <c r="AV28" i="4"/>
  <c r="AJ28" i="4"/>
  <c r="AB28" i="4"/>
  <c r="AR28" i="4" s="1"/>
  <c r="AH27" i="4"/>
  <c r="AX27" i="4" s="1"/>
  <c r="AF27" i="4"/>
  <c r="AV27" i="4" s="1"/>
  <c r="AB27" i="4"/>
  <c r="AR27" i="4" s="1"/>
  <c r="T27" i="4"/>
  <c r="AJ27" i="4" s="1"/>
  <c r="AX26" i="4"/>
  <c r="AV26" i="4"/>
  <c r="AJ26" i="4"/>
  <c r="AB26" i="4"/>
  <c r="AR26" i="4" s="1"/>
  <c r="AH25" i="4"/>
  <c r="AX25" i="4" s="1"/>
  <c r="AF25" i="4"/>
  <c r="AV25" i="4" s="1"/>
  <c r="AB25" i="4"/>
  <c r="AR25" i="4" s="1"/>
  <c r="T25" i="4"/>
  <c r="AJ25" i="4" s="1"/>
  <c r="AX24" i="4"/>
  <c r="AV24" i="4"/>
  <c r="AR24" i="4"/>
  <c r="AJ24" i="4"/>
  <c r="AB24" i="4"/>
  <c r="AF23" i="4"/>
  <c r="AV23" i="4" s="1"/>
  <c r="AB23" i="4"/>
  <c r="AR23" i="4" s="1"/>
  <c r="T23" i="4"/>
  <c r="AJ23" i="4" s="1"/>
  <c r="H23" i="4"/>
  <c r="AH23" i="4" s="1"/>
  <c r="AX23" i="4" s="1"/>
  <c r="AX22" i="4"/>
  <c r="AV22" i="4"/>
  <c r="AJ22" i="4"/>
  <c r="AB22" i="4"/>
  <c r="AR22" i="4" s="1"/>
  <c r="AX21" i="4"/>
  <c r="AV21" i="4"/>
  <c r="AR21" i="4"/>
  <c r="AJ21" i="4"/>
  <c r="AB21" i="4"/>
  <c r="AX20" i="4"/>
  <c r="AV20" i="4"/>
  <c r="AJ20" i="4"/>
  <c r="AB20" i="4"/>
  <c r="AR20" i="4" s="1"/>
  <c r="AJ19" i="4"/>
  <c r="AF19" i="4"/>
  <c r="AV19" i="4" s="1"/>
  <c r="AB19" i="4"/>
  <c r="AR19" i="4" s="1"/>
  <c r="H19" i="4"/>
  <c r="AH19" i="4" s="1"/>
  <c r="AX19" i="4" s="1"/>
  <c r="AF18" i="4"/>
  <c r="AV18" i="4" s="1"/>
  <c r="AB18" i="4"/>
  <c r="AR18" i="4" s="1"/>
  <c r="T18" i="4"/>
  <c r="AJ18" i="4" s="1"/>
  <c r="H18" i="4"/>
  <c r="AH18" i="4" s="1"/>
  <c r="AX18" i="4" s="1"/>
  <c r="AX17" i="4"/>
  <c r="AV17" i="4"/>
  <c r="AJ17" i="4"/>
  <c r="AB17" i="4"/>
  <c r="AR17" i="4" s="1"/>
  <c r="AF16" i="4"/>
  <c r="AV16" i="4" s="1"/>
  <c r="AB16" i="4"/>
  <c r="AR16" i="4" s="1"/>
  <c r="T16" i="4"/>
  <c r="AJ16" i="4" s="1"/>
  <c r="H16" i="4"/>
  <c r="AH16" i="4" s="1"/>
  <c r="AX16" i="4" s="1"/>
  <c r="AX15" i="4"/>
  <c r="AV15" i="4"/>
  <c r="AR15" i="4"/>
  <c r="AJ15" i="4"/>
  <c r="AB15" i="4"/>
  <c r="AF14" i="4"/>
  <c r="AV14" i="4" s="1"/>
  <c r="AB14" i="4"/>
  <c r="AR14" i="4" s="1"/>
  <c r="T14" i="4"/>
  <c r="AJ14" i="4" s="1"/>
  <c r="H14" i="4"/>
  <c r="AH14" i="4" s="1"/>
  <c r="AX14" i="4" s="1"/>
  <c r="AX13" i="4"/>
  <c r="AV13" i="4"/>
  <c r="AJ13" i="4"/>
  <c r="AB13" i="4"/>
  <c r="AR13" i="4" s="1"/>
  <c r="AH12" i="4"/>
  <c r="AX12" i="4" s="1"/>
  <c r="AF12" i="4"/>
  <c r="AV12" i="4" s="1"/>
  <c r="AB12" i="4"/>
  <c r="AR12" i="4" s="1"/>
  <c r="T12" i="4"/>
  <c r="AJ12" i="4" s="1"/>
  <c r="AX11" i="4"/>
  <c r="AV11" i="4"/>
  <c r="AR11" i="4"/>
  <c r="AJ11" i="4"/>
  <c r="AB11" i="4"/>
  <c r="AF10" i="4"/>
  <c r="AV10" i="4" s="1"/>
  <c r="AB10" i="4"/>
  <c r="AR10" i="4" s="1"/>
  <c r="T10" i="4"/>
  <c r="AJ10" i="4" s="1"/>
  <c r="H10" i="4"/>
  <c r="AH10" i="4" s="1"/>
  <c r="AX10" i="4" s="1"/>
  <c r="AX9" i="4"/>
  <c r="AV9" i="4"/>
  <c r="AJ9" i="4"/>
  <c r="AB9" i="4"/>
  <c r="AR9" i="4" s="1"/>
  <c r="AH8" i="4"/>
  <c r="AX8" i="4" s="1"/>
  <c r="AF8" i="4"/>
  <c r="AV8" i="4" s="1"/>
  <c r="AB8" i="4"/>
  <c r="AR8" i="4" s="1"/>
  <c r="T8" i="4"/>
  <c r="AJ8" i="4" s="1"/>
  <c r="AA5" i="3"/>
  <c r="Z5" i="3"/>
  <c r="Y5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L73" i="1"/>
  <c r="L71" i="1"/>
  <c r="L70" i="1"/>
  <c r="L69" i="1"/>
  <c r="L68" i="1"/>
  <c r="L67" i="1"/>
  <c r="L66" i="1"/>
  <c r="L65" i="1"/>
  <c r="L64" i="1"/>
  <c r="L63" i="1"/>
  <c r="L62" i="1"/>
  <c r="L59" i="1"/>
  <c r="L57" i="1"/>
  <c r="L55" i="1"/>
  <c r="L54" i="1"/>
  <c r="L53" i="1"/>
  <c r="L52" i="1"/>
  <c r="L51" i="1"/>
  <c r="L50" i="1"/>
  <c r="L49" i="1"/>
  <c r="L48" i="1"/>
  <c r="L47" i="1"/>
  <c r="L46" i="1"/>
  <c r="L44" i="1"/>
  <c r="L42" i="1"/>
  <c r="L41" i="1"/>
  <c r="L40" i="1"/>
  <c r="L39" i="1"/>
  <c r="L38" i="1"/>
  <c r="L37" i="1"/>
  <c r="L36" i="1"/>
  <c r="L35" i="1"/>
  <c r="L34" i="1"/>
  <c r="L33" i="1"/>
  <c r="L32" i="1"/>
  <c r="L31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4" i="1"/>
  <c r="L12" i="1"/>
  <c r="L11" i="1"/>
  <c r="L10" i="1"/>
  <c r="L9" i="1"/>
  <c r="L8" i="1"/>
  <c r="L7" i="1"/>
  <c r="L6" i="1"/>
  <c r="L5" i="1"/>
  <c r="L4" i="1"/>
  <c r="L3" i="1"/>
</calcChain>
</file>

<file path=xl/sharedStrings.xml><?xml version="1.0" encoding="utf-8"?>
<sst xmlns="http://schemas.openxmlformats.org/spreadsheetml/2006/main" count="320" uniqueCount="182">
  <si>
    <t>Title:</t>
  </si>
  <si>
    <t>Material intensities of retrofits and new buildings and existing buildings (kg/m2)</t>
  </si>
  <si>
    <t>Source:</t>
  </si>
  <si>
    <t>Temporal Scope:</t>
  </si>
  <si>
    <t>Geographical Scope:</t>
  </si>
  <si>
    <t>NL</t>
  </si>
  <si>
    <t xml:space="preserve">Unit: </t>
  </si>
  <si>
    <t>kg/m2</t>
  </si>
  <si>
    <t>Product</t>
  </si>
  <si>
    <t>aluminium, wrought alloy</t>
  </si>
  <si>
    <t>argon, liquid</t>
  </si>
  <si>
    <t>bitumen adhesive compound, hot</t>
  </si>
  <si>
    <t>clay brick</t>
  </si>
  <si>
    <t>ceramic tile</t>
  </si>
  <si>
    <t>copper</t>
  </si>
  <si>
    <t>cast iron</t>
  </si>
  <si>
    <t>concrete, normal</t>
  </si>
  <si>
    <t>polystyrene, expandable</t>
  </si>
  <si>
    <t>flat glass, coated</t>
  </si>
  <si>
    <t>gravel, crushed</t>
  </si>
  <si>
    <t>gypsum, mineral</t>
  </si>
  <si>
    <t>sawnwood, hardwood, raw</t>
  </si>
  <si>
    <t>glass wool mat</t>
  </si>
  <si>
    <t>extrusion, plastic pipes</t>
  </si>
  <si>
    <t>polyurethane, flexible foam</t>
  </si>
  <si>
    <t>plywood, for indoor use</t>
  </si>
  <si>
    <t>fibre-reinforced concrete</t>
  </si>
  <si>
    <t>sand</t>
  </si>
  <si>
    <t>cement mortar</t>
  </si>
  <si>
    <t>wire drawing, steel</t>
  </si>
  <si>
    <t>sawnwood, softwood, raw</t>
  </si>
  <si>
    <t>fibreboard, soft</t>
  </si>
  <si>
    <t>polystyrene, extruded</t>
  </si>
  <si>
    <t>zinc</t>
  </si>
  <si>
    <t>Building Archetype</t>
  </si>
  <si>
    <t>Al</t>
  </si>
  <si>
    <t>Ar</t>
  </si>
  <si>
    <t>Bi</t>
  </si>
  <si>
    <t>CB</t>
  </si>
  <si>
    <t>Ce</t>
  </si>
  <si>
    <t>Co</t>
  </si>
  <si>
    <t>CI</t>
  </si>
  <si>
    <t>Cr</t>
  </si>
  <si>
    <t>EPS</t>
  </si>
  <si>
    <t>Gl</t>
  </si>
  <si>
    <t>Gr</t>
  </si>
  <si>
    <t>Gy</t>
  </si>
  <si>
    <t>HW</t>
  </si>
  <si>
    <t>MW</t>
  </si>
  <si>
    <t>Pl</t>
  </si>
  <si>
    <t>PUR</t>
  </si>
  <si>
    <t>Pw</t>
  </si>
  <si>
    <t>RC</t>
  </si>
  <si>
    <t>Sa</t>
  </si>
  <si>
    <t>SC</t>
  </si>
  <si>
    <t>St</t>
  </si>
  <si>
    <t>SW</t>
  </si>
  <si>
    <t>WF</t>
  </si>
  <si>
    <t>XPS</t>
  </si>
  <si>
    <t>Zn</t>
  </si>
  <si>
    <t>SFH_old</t>
  </si>
  <si>
    <t>SFH_old_NZEB</t>
  </si>
  <si>
    <t>SFH_1965</t>
  </si>
  <si>
    <t>SFH_1965_NZEB</t>
  </si>
  <si>
    <t>SFH_1975</t>
  </si>
  <si>
    <t>SFH_1975_NZEB</t>
  </si>
  <si>
    <t>SFH_1992</t>
  </si>
  <si>
    <t>SFH_1992_NZEB</t>
  </si>
  <si>
    <t>SFH_2006</t>
  </si>
  <si>
    <t>SFH_2006_NZEB</t>
  </si>
  <si>
    <t>SFH_2015</t>
  </si>
  <si>
    <t>SFH_2015_NZEB</t>
  </si>
  <si>
    <t>SFH_new_NZEB</t>
  </si>
  <si>
    <t>Mid_TH_old</t>
  </si>
  <si>
    <t>Mid_TH_old_NZEB</t>
  </si>
  <si>
    <t>Mid_TH_1945</t>
  </si>
  <si>
    <t>Mid_TH_1945_NZEB</t>
  </si>
  <si>
    <t>Mid_TH_1965</t>
  </si>
  <si>
    <t>Mid_TH_1965_NZEB</t>
  </si>
  <si>
    <t>Mid_TH_1975</t>
  </si>
  <si>
    <t>Mid_TH_1975_NZEB</t>
  </si>
  <si>
    <t>Mid_TH_1992</t>
  </si>
  <si>
    <t>Mid_TH_1992_NZEB</t>
  </si>
  <si>
    <t>Mid_TH_2006</t>
  </si>
  <si>
    <t>Mid_TH_2006_NZEB</t>
  </si>
  <si>
    <t>Mid_TH_2015</t>
  </si>
  <si>
    <t>Mid_TH_2015_NZEB</t>
  </si>
  <si>
    <t>Mid_TH_new_NZEB</t>
  </si>
  <si>
    <t>End_TH_old</t>
  </si>
  <si>
    <t>End_TH_old_NZEB</t>
  </si>
  <si>
    <t>End_TH_1945</t>
  </si>
  <si>
    <t>End_TH_1945_NZEB</t>
  </si>
  <si>
    <t>End_TH_1965</t>
  </si>
  <si>
    <t>End_TH_1965_NZEB</t>
  </si>
  <si>
    <t>End_TH_1975</t>
  </si>
  <si>
    <t>End_TH_1975_NZEB</t>
  </si>
  <si>
    <t>End_TH_1992</t>
  </si>
  <si>
    <t>End_TH_1992_NZEB</t>
  </si>
  <si>
    <t>End_TH_2006</t>
  </si>
  <si>
    <t>End_TH_2006_NZEB</t>
  </si>
  <si>
    <t>End_TH_2015</t>
  </si>
  <si>
    <t>End_TH_2015_NZEB</t>
  </si>
  <si>
    <t>End_TH_new_NZEB</t>
  </si>
  <si>
    <t>AB_old</t>
  </si>
  <si>
    <t>AB_old_NZEB</t>
  </si>
  <si>
    <t>AB_1965</t>
  </si>
  <si>
    <t>AB_1965_NZEB</t>
  </si>
  <si>
    <t>AB_1975</t>
  </si>
  <si>
    <t>AB_1975_NZEB</t>
  </si>
  <si>
    <t>AB_1992</t>
  </si>
  <si>
    <t>AB_1992_NZEB</t>
  </si>
  <si>
    <t>AB_2006</t>
  </si>
  <si>
    <t>AB_2006_NZEB</t>
  </si>
  <si>
    <t>AB_2015</t>
  </si>
  <si>
    <t>AB_2015_NZEB</t>
  </si>
  <si>
    <t>AB_2015_wood</t>
  </si>
  <si>
    <t>AB_2015_wood_NZEB</t>
  </si>
  <si>
    <t>AB_new_NZEB</t>
  </si>
  <si>
    <t>AB_new_NZEB_wood</t>
  </si>
  <si>
    <t>MFH_old</t>
  </si>
  <si>
    <t>MFH_old_NZEB</t>
  </si>
  <si>
    <t>MFH_1965</t>
  </si>
  <si>
    <t>MFH_1965_NZEB</t>
  </si>
  <si>
    <t>MFH_1975</t>
  </si>
  <si>
    <t>MFH_1975_NZEB</t>
  </si>
  <si>
    <t>MFH_1992</t>
  </si>
  <si>
    <t>MFH_1992_NZEB</t>
  </si>
  <si>
    <t>MFH_2006</t>
  </si>
  <si>
    <t>MFH_2006_NZEB</t>
  </si>
  <si>
    <t>MFH_2015</t>
  </si>
  <si>
    <t>MFH_2015_NZEB</t>
  </si>
  <si>
    <t>MFH_new_NZEB</t>
  </si>
  <si>
    <t>Apartment Blocks:</t>
  </si>
  <si>
    <t>AB1-5 (low)</t>
  </si>
  <si>
    <t>AB1-5 (high)</t>
  </si>
  <si>
    <t>Average</t>
  </si>
  <si>
    <t xml:space="preserve">Yang et al. 2022 </t>
  </si>
  <si>
    <t>https://doi.org/10.1016/j.resconrec.2022.106388</t>
  </si>
  <si>
    <t>doi:</t>
  </si>
  <si>
    <t>Empirical Source:</t>
  </si>
  <si>
    <t>until 2015</t>
  </si>
  <si>
    <t>ID</t>
  </si>
  <si>
    <t>Name:</t>
  </si>
  <si>
    <t xml:space="preserve">Intensity of materials used for RETROFIT scenarios of existing housing </t>
  </si>
  <si>
    <t>(Loga et al. 2016; Yang 2022; Wernet et al. 2018)</t>
  </si>
  <si>
    <t>Geographical scope:</t>
  </si>
  <si>
    <t>NL (for TABULA  data), Europe, Rest-of-world, global</t>
  </si>
  <si>
    <t>Surface area of different components</t>
  </si>
  <si>
    <t>U values for nZEB</t>
  </si>
  <si>
    <t>mass [kg] of materials per building</t>
  </si>
  <si>
    <t>m2</t>
  </si>
  <si>
    <t>mass of materials per square metre [kg/m2]</t>
  </si>
  <si>
    <t>Roof</t>
  </si>
  <si>
    <t>Wall</t>
  </si>
  <si>
    <t>Floor</t>
  </si>
  <si>
    <t>Window 1</t>
  </si>
  <si>
    <t>Window 2</t>
  </si>
  <si>
    <t>Door</t>
  </si>
  <si>
    <t>Ar (Argon)</t>
  </si>
  <si>
    <t>Gl (Glass)</t>
  </si>
  <si>
    <t>MW (Glass Wool)</t>
  </si>
  <si>
    <t>Average Floor Area/Building (acc. to TABULA)</t>
  </si>
  <si>
    <t>Biobased materials: Cellulose</t>
  </si>
  <si>
    <t>Biobased materials: Straw bale</t>
  </si>
  <si>
    <t>material</t>
  </si>
  <si>
    <t>thermal conductivity (k)</t>
  </si>
  <si>
    <t>density (kg/m3)</t>
  </si>
  <si>
    <t>roof</t>
  </si>
  <si>
    <t>Cellulose fibre</t>
  </si>
  <si>
    <t>Straw bale</t>
  </si>
  <si>
    <t>wall</t>
  </si>
  <si>
    <t>glass wool</t>
  </si>
  <si>
    <t>door</t>
  </si>
  <si>
    <t>floor</t>
  </si>
  <si>
    <t>density (kg/m3) (engineering toolbox)</t>
  </si>
  <si>
    <t>window</t>
  </si>
  <si>
    <t>glass HR+++</t>
  </si>
  <si>
    <t>argon</t>
  </si>
  <si>
    <t>Own calculations are specified on sheets 1 and 2</t>
  </si>
  <si>
    <t>Brick, Concrete, Steel, Gypsum, Wood: Verhagen et al. 2022</t>
  </si>
  <si>
    <t>New Buildings and other materials: Koezjakov et al.</t>
  </si>
  <si>
    <t>Wood buildings: Takano et al.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</si>
</sst>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C0000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2" fontId="0" fillId="0" borderId="0" xfId="0" applyNumberFormat="1"/>
    <xf numFmtId="2" fontId="2" fillId="0" borderId="0" xfId="0" applyNumberFormat="1" applyFont="1"/>
    <xf numFmtId="0" fontId="3" fillId="0" borderId="0" xfId="1"/>
    <xf numFmtId="0" fontId="2" fillId="0" borderId="0" xfId="0" applyFont="1"/>
    <xf numFmtId="0" fontId="4" fillId="0" borderId="0" xfId="0" applyFont="1"/>
    <xf numFmtId="1" fontId="0" fillId="0" borderId="0" xfId="0" applyNumberFormat="1"/>
    <xf numFmtId="164" fontId="0" fillId="0" borderId="0" xfId="0" applyNumberFormat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Mira/Desktop/IE/Q6/SUSCHA/IE_8_FinalReport/IE_8_SupplementaryMaterial.xlsx" TargetMode="External"/><Relationship Id="rId1" Type="http://schemas.openxmlformats.org/officeDocument/2006/relationships/externalLinkPath" Target="/Users/Mira/Desktop/IE/Q6/SUSCHA/IE_8_FinalReport/IE_8_SupplementaryMater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adMe"/>
      <sheetName val="0_HousingStock_MAINTAIN"/>
      <sheetName val="0_CarbonFootprint_MAINTAIN"/>
      <sheetName val="0_CarbonFootprint_MAINTAIN_2.6"/>
      <sheetName val="1a_HousingStock_GROWTH_0%wood"/>
      <sheetName val="1a_CarbonFootprint_GROWTH_0%"/>
      <sheetName val="1a_CarbonFootprint_GROWTH_0_2.6"/>
      <sheetName val="1b_HousingStock_GROWTH_95%wood"/>
      <sheetName val="1b_CarbonFootprint_GROWTH_95%"/>
      <sheetName val="1c_HousingStock_GROWTH_app"/>
      <sheetName val="1c_CarbonFootprint_GROWTH_app"/>
      <sheetName val="1d_HousingStock_GROWTH_single"/>
      <sheetName val="1d_CarbonFootprint_GROWTH_sing"/>
      <sheetName val="1f_HousingStock_GROWTH_50%wood"/>
      <sheetName val="1f_CarbonFootprint_GROWTH_50%"/>
      <sheetName val="1e_HousingStock_GROWTH_20%wood"/>
      <sheetName val="1e_CarbonFootprint_GROWTH_20%"/>
      <sheetName val="2_HousingStock_RETROFIT_2040"/>
      <sheetName val="2_CarbonFootprint_RETROFIT_2040"/>
      <sheetName val="2_CarbonFootprint_RETROFIT_2.6"/>
      <sheetName val="2_HousingStock_RETROFIT_2030"/>
      <sheetName val="2_CarbonFootprint_RETROFIT_2030"/>
      <sheetName val="2_CarbonFootprint_RETRO_fas_2.6"/>
      <sheetName val="3_HousingStock_RECONSTRUCT"/>
      <sheetName val="3_CarbonFootprint_TRANSPORT"/>
      <sheetName val="3_CarbonFootprint_LANDFILL"/>
      <sheetName val="3_CarbonFootprint_RECONSTRUCT"/>
      <sheetName val="3_CarbonFootprint_RECONST_2.6"/>
      <sheetName val="3_MaterialRecycling_RECONSTRUCT"/>
      <sheetName val="4_HousingStock_OPTIMISE"/>
      <sheetName val="4_CarbonFootprint_OPTIMISE"/>
      <sheetName val="4a_Housing_Redistribution"/>
      <sheetName val="4a_HousingStock_OPTIMISE_75m2"/>
      <sheetName val="4a_CarbonFootprint_OPTIMISE_75m"/>
      <sheetName val="4b_HousingStock_OPTIMISE_2030"/>
      <sheetName val="4b_CarbonFootprint_OPTIMISE2030"/>
      <sheetName val="4c_CarbonFootprint_OPTIMIS_dist"/>
      <sheetName val="4d_CarbonFootprint_OPTIMISE_eff"/>
      <sheetName val="4e_HousingStock_OPTIMISE_wood"/>
      <sheetName val="4e_CarbonFootprint_OPTIMISEwood"/>
      <sheetName val="5_HousingStock_COMBINED"/>
      <sheetName val="5_CarbonFootprint_COMBINED"/>
      <sheetName val="5_CarbonFootprint_COMBINED_2.6"/>
      <sheetName val="0_EnergyDemandIntensity"/>
      <sheetName val="0_EnergySourceMix"/>
      <sheetName val="4c_EnergySourceMix_dist"/>
      <sheetName val="0_CarbonIntensity_Energy"/>
      <sheetName val="4c_CarbonIntensity_Energy_dist"/>
      <sheetName val="4d_CarbonIntensity_Energy_eff"/>
      <sheetName val="5_CarbonIntensity_Energy"/>
      <sheetName val="5_CarbonIntensity_Energy_2.6"/>
      <sheetName val="0_MaterialIntensity"/>
      <sheetName val="2_RetrofitMaterialIntensity"/>
      <sheetName val="0_CarbonIntensity_Material"/>
      <sheetName val="2_CarbonIntensity_MaterialBio"/>
      <sheetName val="3_CarbonIntensity_Transport"/>
      <sheetName val="3_CarbonIntensity_Landfill"/>
      <sheetName val="1_Graphs_GROWTH"/>
      <sheetName val="Graphs_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>
        <row r="8">
          <cell r="AR8">
            <v>7.7181818181818187</v>
          </cell>
        </row>
        <row r="9">
          <cell r="AR9">
            <v>0</v>
          </cell>
        </row>
        <row r="10">
          <cell r="AR10">
            <v>9.0422222222222217</v>
          </cell>
        </row>
        <row r="11">
          <cell r="AR11">
            <v>0</v>
          </cell>
        </row>
        <row r="12">
          <cell r="AR12">
            <v>7.6266666666666678</v>
          </cell>
        </row>
        <row r="13">
          <cell r="AR13">
            <v>0</v>
          </cell>
        </row>
        <row r="14">
          <cell r="AR14">
            <v>8.1714285714285726</v>
          </cell>
        </row>
        <row r="15">
          <cell r="AR15">
            <v>0</v>
          </cell>
        </row>
        <row r="16">
          <cell r="AR16">
            <v>8.7016129032258061</v>
          </cell>
        </row>
        <row r="20">
          <cell r="AR20">
            <v>0</v>
          </cell>
        </row>
        <row r="21">
          <cell r="AR21">
            <v>0</v>
          </cell>
        </row>
        <row r="22">
          <cell r="AR22">
            <v>0</v>
          </cell>
        </row>
        <row r="23">
          <cell r="AR23">
            <v>8.6125000000000007</v>
          </cell>
        </row>
        <row r="24">
          <cell r="AR24">
            <v>0</v>
          </cell>
        </row>
        <row r="25">
          <cell r="AR25">
            <v>8.5333333333333332</v>
          </cell>
        </row>
        <row r="26">
          <cell r="AR26">
            <v>0</v>
          </cell>
        </row>
        <row r="27">
          <cell r="AR27">
            <v>6.4333333333333327</v>
          </cell>
        </row>
        <row r="28">
          <cell r="AR28">
            <v>0</v>
          </cell>
        </row>
        <row r="29">
          <cell r="AR29">
            <v>6.8016000000000005</v>
          </cell>
        </row>
        <row r="30">
          <cell r="AR30">
            <v>0</v>
          </cell>
        </row>
        <row r="31">
          <cell r="AR31">
            <v>6.8605839416058396</v>
          </cell>
        </row>
        <row r="33">
          <cell r="AR33">
            <v>6.8605839416058396</v>
          </cell>
        </row>
        <row r="35">
          <cell r="AR35">
            <v>0</v>
          </cell>
        </row>
        <row r="36">
          <cell r="AR36">
            <v>0</v>
          </cell>
        </row>
        <row r="37">
          <cell r="AR37">
            <v>0</v>
          </cell>
        </row>
        <row r="38">
          <cell r="AR38">
            <v>8.6125000000000007</v>
          </cell>
        </row>
        <row r="39">
          <cell r="AR39">
            <v>0</v>
          </cell>
        </row>
        <row r="40">
          <cell r="AR40">
            <v>8.5333333333333332</v>
          </cell>
        </row>
        <row r="41">
          <cell r="AR41">
            <v>0</v>
          </cell>
        </row>
        <row r="42">
          <cell r="AR42">
            <v>6.4333333333333327</v>
          </cell>
        </row>
        <row r="43">
          <cell r="AR43">
            <v>0</v>
          </cell>
        </row>
        <row r="44">
          <cell r="AR44">
            <v>6.8016000000000005</v>
          </cell>
        </row>
        <row r="45">
          <cell r="AR45">
            <v>0</v>
          </cell>
        </row>
        <row r="46">
          <cell r="AR46">
            <v>6.8605839416058396</v>
          </cell>
        </row>
        <row r="48">
          <cell r="AR48">
            <v>6.8605839416058396</v>
          </cell>
        </row>
        <row r="50">
          <cell r="AR50">
            <v>0</v>
          </cell>
        </row>
        <row r="51">
          <cell r="AR51">
            <v>9.6684702410231189</v>
          </cell>
        </row>
        <row r="52">
          <cell r="AR52">
            <v>0</v>
          </cell>
        </row>
        <row r="53">
          <cell r="AR53">
            <v>9.7998020194020956</v>
          </cell>
        </row>
        <row r="54">
          <cell r="AR54">
            <v>0</v>
          </cell>
        </row>
        <row r="55">
          <cell r="AR55">
            <v>6.5844155844155834</v>
          </cell>
        </row>
        <row r="56">
          <cell r="AR56">
            <v>0</v>
          </cell>
        </row>
        <row r="57">
          <cell r="AR57">
            <v>7.7192174913693901</v>
          </cell>
        </row>
        <row r="58">
          <cell r="AR58">
            <v>0</v>
          </cell>
        </row>
        <row r="59">
          <cell r="AR59">
            <v>7.368408037094281</v>
          </cell>
        </row>
        <row r="61">
          <cell r="AR61">
            <v>7.368408037094281</v>
          </cell>
        </row>
        <row r="63">
          <cell r="AR63">
            <v>7.368408037094281</v>
          </cell>
        </row>
        <row r="66">
          <cell r="AR66">
            <v>0</v>
          </cell>
        </row>
        <row r="67">
          <cell r="AR67">
            <v>8.0418604651162795</v>
          </cell>
        </row>
        <row r="68">
          <cell r="AR68">
            <v>0</v>
          </cell>
        </row>
        <row r="69">
          <cell r="AR69">
            <v>8.6103896103896087</v>
          </cell>
        </row>
        <row r="70">
          <cell r="AR70">
            <v>0</v>
          </cell>
        </row>
        <row r="71">
          <cell r="AR71">
            <v>7.0909090909090899</v>
          </cell>
        </row>
        <row r="72">
          <cell r="AR72">
            <v>0</v>
          </cell>
        </row>
        <row r="73">
          <cell r="AR73">
            <v>7.6097560975609753</v>
          </cell>
        </row>
        <row r="74">
          <cell r="AR74">
            <v>0</v>
          </cell>
        </row>
        <row r="75">
          <cell r="AR75">
            <v>8.5511873350923473</v>
          </cell>
        </row>
        <row r="77">
          <cell r="AR77">
            <v>8.5511873350923473</v>
          </cell>
        </row>
      </sheetData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16/j.resconrec.2022.1063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37865-C003-6547-9B53-CDBAD4AF1721}">
  <dimension ref="A1:D9"/>
  <sheetViews>
    <sheetView workbookViewId="0">
      <selection sqref="A1:A9"/>
    </sheetView>
  </sheetViews>
  <sheetFormatPr baseColWidth="10" defaultRowHeight="16" x14ac:dyDescent="0.2"/>
  <cols>
    <col min="2" max="2" width="49.6640625" customWidth="1"/>
    <col min="3" max="3" width="43.83203125" customWidth="1"/>
    <col min="4" max="4" width="32" customWidth="1"/>
  </cols>
  <sheetData>
    <row r="1" spans="1:4" x14ac:dyDescent="0.2">
      <c r="A1" t="s">
        <v>0</v>
      </c>
      <c r="B1" t="s">
        <v>1</v>
      </c>
    </row>
    <row r="2" spans="1:4" x14ac:dyDescent="0.2">
      <c r="A2" t="s">
        <v>2</v>
      </c>
      <c r="B2" t="s">
        <v>136</v>
      </c>
    </row>
    <row r="3" spans="1:4" x14ac:dyDescent="0.2">
      <c r="A3" t="s">
        <v>138</v>
      </c>
      <c r="B3" s="4" t="s">
        <v>137</v>
      </c>
    </row>
    <row r="4" spans="1:4" x14ac:dyDescent="0.2">
      <c r="A4" t="s">
        <v>139</v>
      </c>
      <c r="B4" t="s">
        <v>179</v>
      </c>
      <c r="C4" t="s">
        <v>180</v>
      </c>
      <c r="D4" t="s">
        <v>181</v>
      </c>
    </row>
    <row r="5" spans="1:4" x14ac:dyDescent="0.2">
      <c r="A5" t="s">
        <v>3</v>
      </c>
      <c r="B5" t="s">
        <v>140</v>
      </c>
    </row>
    <row r="6" spans="1:4" x14ac:dyDescent="0.2">
      <c r="A6" t="s">
        <v>4</v>
      </c>
      <c r="B6" t="s">
        <v>5</v>
      </c>
    </row>
    <row r="7" spans="1:4" x14ac:dyDescent="0.2">
      <c r="A7" t="s">
        <v>6</v>
      </c>
      <c r="B7" t="s">
        <v>7</v>
      </c>
    </row>
    <row r="9" spans="1:4" x14ac:dyDescent="0.2">
      <c r="A9" t="s">
        <v>178</v>
      </c>
    </row>
  </sheetData>
  <hyperlinks>
    <hyperlink ref="B3" r:id="rId1" tooltip="Persistent link using digital object identifier" xr:uid="{3DC0407B-8EA5-4542-B2C3-71435A2E77E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6FFC7-469A-184F-866B-CCD6F0FADD70}">
  <dimension ref="A1:AI108"/>
  <sheetViews>
    <sheetView tabSelected="1" topLeftCell="D1" zoomScale="106" workbookViewId="0">
      <selection activeCell="H3" sqref="H3"/>
    </sheetView>
  </sheetViews>
  <sheetFormatPr baseColWidth="10" defaultColWidth="11" defaultRowHeight="16" x14ac:dyDescent="0.2"/>
  <cols>
    <col min="16" max="16" width="11.6640625" bestFit="1" customWidth="1"/>
  </cols>
  <sheetData>
    <row r="1" spans="1:35" x14ac:dyDescent="0.2"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</row>
    <row r="2" spans="1:35" x14ac:dyDescent="0.2">
      <c r="A2" t="s">
        <v>141</v>
      </c>
      <c r="B2" s="1" t="s">
        <v>34</v>
      </c>
      <c r="C2" s="1" t="s">
        <v>35</v>
      </c>
      <c r="D2" s="1" t="s">
        <v>36</v>
      </c>
      <c r="E2" s="1" t="s">
        <v>37</v>
      </c>
      <c r="F2" s="1" t="s">
        <v>38</v>
      </c>
      <c r="G2" s="1" t="s">
        <v>39</v>
      </c>
      <c r="H2" s="1" t="s">
        <v>40</v>
      </c>
      <c r="I2" s="1" t="s">
        <v>41</v>
      </c>
      <c r="J2" s="1" t="s">
        <v>42</v>
      </c>
      <c r="K2" s="1" t="s">
        <v>43</v>
      </c>
      <c r="L2" s="1" t="s">
        <v>44</v>
      </c>
      <c r="M2" s="1" t="s">
        <v>45</v>
      </c>
      <c r="N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1" t="s">
        <v>51</v>
      </c>
      <c r="T2" s="1" t="s">
        <v>52</v>
      </c>
      <c r="U2" s="1" t="s">
        <v>53</v>
      </c>
      <c r="V2" s="1" t="s">
        <v>54</v>
      </c>
      <c r="W2" s="1" t="s">
        <v>55</v>
      </c>
      <c r="X2" s="1" t="s">
        <v>56</v>
      </c>
      <c r="Y2" s="1" t="s">
        <v>57</v>
      </c>
      <c r="Z2" s="1" t="s">
        <v>58</v>
      </c>
      <c r="AA2" s="1" t="s">
        <v>59</v>
      </c>
    </row>
    <row r="3" spans="1:35" x14ac:dyDescent="0.2">
      <c r="A3">
        <v>1</v>
      </c>
      <c r="B3" t="s">
        <v>60</v>
      </c>
      <c r="C3" s="2">
        <v>6.1</v>
      </c>
      <c r="D3" s="2">
        <v>0</v>
      </c>
      <c r="E3" s="2">
        <v>0</v>
      </c>
      <c r="F3" s="2">
        <v>635.29999999999995</v>
      </c>
      <c r="G3" s="2">
        <v>5.2</v>
      </c>
      <c r="H3" s="2">
        <v>0</v>
      </c>
      <c r="I3" s="2">
        <v>4.9000000000000004</v>
      </c>
      <c r="J3" s="2">
        <v>974.1</v>
      </c>
      <c r="K3" s="2">
        <v>0</v>
      </c>
      <c r="L3" s="2">
        <f>'[1]2_RetrofitMaterialIntensity'!AR7</f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36.5</v>
      </c>
      <c r="X3" s="2">
        <v>246.7</v>
      </c>
      <c r="Y3" s="2">
        <v>0</v>
      </c>
      <c r="Z3" s="2">
        <v>0</v>
      </c>
      <c r="AA3" s="2">
        <v>0</v>
      </c>
    </row>
    <row r="4" spans="1:35" x14ac:dyDescent="0.2">
      <c r="A4">
        <v>2</v>
      </c>
      <c r="B4" t="s">
        <v>61</v>
      </c>
      <c r="C4" s="2">
        <v>0</v>
      </c>
      <c r="D4" s="2">
        <v>5.6085454545454549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f>'[1]2_RetrofitMaterialIntensity'!AR8</f>
        <v>7.7181818181818187</v>
      </c>
      <c r="M4" s="2">
        <v>0</v>
      </c>
      <c r="N4" s="2">
        <v>0</v>
      </c>
      <c r="O4" s="2">
        <v>0</v>
      </c>
      <c r="P4" s="2">
        <v>41.191306076240345</v>
      </c>
      <c r="Q4" s="2">
        <v>0</v>
      </c>
      <c r="R4" s="2">
        <v>6.073906775043139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</row>
    <row r="5" spans="1:35" x14ac:dyDescent="0.2">
      <c r="A5">
        <v>3</v>
      </c>
      <c r="B5" t="s">
        <v>62</v>
      </c>
      <c r="C5" s="2">
        <v>6.1</v>
      </c>
      <c r="D5" s="2">
        <v>0</v>
      </c>
      <c r="E5" s="2">
        <v>0</v>
      </c>
      <c r="F5" s="2">
        <v>635.29999999999995</v>
      </c>
      <c r="G5" s="2">
        <v>5.2</v>
      </c>
      <c r="H5" s="2">
        <v>0</v>
      </c>
      <c r="I5" s="2">
        <v>4.9000000000000004</v>
      </c>
      <c r="J5" s="2">
        <v>974.1</v>
      </c>
      <c r="K5" s="2">
        <v>0</v>
      </c>
      <c r="L5" s="2">
        <f>'[1]2_RetrofitMaterialIntensity'!AR9</f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36.5</v>
      </c>
      <c r="X5" s="2">
        <v>246.7</v>
      </c>
      <c r="Y5" s="2">
        <v>0</v>
      </c>
      <c r="Z5" s="2">
        <v>0</v>
      </c>
      <c r="AA5" s="2">
        <v>0</v>
      </c>
      <c r="AC5" s="1"/>
    </row>
    <row r="6" spans="1:35" x14ac:dyDescent="0.2">
      <c r="A6">
        <v>4</v>
      </c>
      <c r="B6" t="s">
        <v>63</v>
      </c>
      <c r="C6" s="2">
        <v>0</v>
      </c>
      <c r="D6" s="2">
        <v>6.5706814814814818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f>'[1]2_RetrofitMaterialIntensity'!AR10</f>
        <v>9.0422222222222217</v>
      </c>
      <c r="M6" s="2">
        <v>0</v>
      </c>
      <c r="N6" s="2">
        <v>0</v>
      </c>
      <c r="O6" s="2">
        <v>0</v>
      </c>
      <c r="P6" s="2">
        <v>31.350205317941889</v>
      </c>
      <c r="Q6" s="2">
        <v>0</v>
      </c>
      <c r="R6" s="2">
        <v>3.9794983948635632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</row>
    <row r="7" spans="1:35" x14ac:dyDescent="0.2">
      <c r="A7">
        <v>5</v>
      </c>
      <c r="B7" t="s">
        <v>64</v>
      </c>
      <c r="C7" s="2">
        <v>6.1</v>
      </c>
      <c r="D7" s="2">
        <v>0</v>
      </c>
      <c r="E7" s="2">
        <v>0</v>
      </c>
      <c r="F7" s="2">
        <v>635.29999999999995</v>
      </c>
      <c r="G7" s="2">
        <v>5.2</v>
      </c>
      <c r="H7" s="2">
        <v>0</v>
      </c>
      <c r="I7" s="2">
        <v>4.9000000000000004</v>
      </c>
      <c r="J7" s="2">
        <v>974.1</v>
      </c>
      <c r="K7" s="2">
        <v>0</v>
      </c>
      <c r="L7" s="2">
        <f>'[1]2_RetrofitMaterialIntensity'!AR11</f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36.5</v>
      </c>
      <c r="X7" s="2">
        <v>246.7</v>
      </c>
      <c r="Y7" s="2">
        <v>0</v>
      </c>
      <c r="Z7" s="2">
        <v>0</v>
      </c>
      <c r="AA7" s="2">
        <v>0</v>
      </c>
      <c r="AC7" s="1"/>
      <c r="AD7" s="1"/>
      <c r="AE7" s="1"/>
      <c r="AF7" s="1"/>
      <c r="AI7" s="1"/>
    </row>
    <row r="8" spans="1:35" x14ac:dyDescent="0.2">
      <c r="A8">
        <v>6</v>
      </c>
      <c r="B8" t="s">
        <v>65</v>
      </c>
      <c r="C8" s="2">
        <v>0</v>
      </c>
      <c r="D8" s="2">
        <v>5.5420444444444446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f>'[1]2_RetrofitMaterialIntensity'!AR12</f>
        <v>7.6266666666666678</v>
      </c>
      <c r="M8" s="2">
        <v>0</v>
      </c>
      <c r="N8" s="2">
        <v>0</v>
      </c>
      <c r="O8" s="2">
        <v>0</v>
      </c>
      <c r="P8" s="2">
        <v>31.84500925925926</v>
      </c>
      <c r="Q8" s="2">
        <v>0</v>
      </c>
      <c r="R8" s="2">
        <v>3.7561847527472527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/>
      <c r="AD8" s="2"/>
      <c r="AE8" s="2"/>
      <c r="AF8" s="2"/>
    </row>
    <row r="9" spans="1:35" x14ac:dyDescent="0.2">
      <c r="A9">
        <v>7</v>
      </c>
      <c r="B9" t="s">
        <v>66</v>
      </c>
      <c r="C9" s="2">
        <v>6.1</v>
      </c>
      <c r="D9" s="2">
        <v>0</v>
      </c>
      <c r="E9" s="2">
        <v>0</v>
      </c>
      <c r="F9" s="2">
        <v>635.29999999999995</v>
      </c>
      <c r="G9" s="2">
        <v>5.2</v>
      </c>
      <c r="H9" s="2">
        <v>0</v>
      </c>
      <c r="I9" s="2">
        <v>4.9000000000000004</v>
      </c>
      <c r="J9" s="2">
        <v>974.1</v>
      </c>
      <c r="K9" s="2">
        <v>0</v>
      </c>
      <c r="L9" s="2">
        <f>'[1]2_RetrofitMaterialIntensity'!AR13</f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36.5</v>
      </c>
      <c r="X9" s="2">
        <v>246.7</v>
      </c>
      <c r="Y9" s="2">
        <v>0</v>
      </c>
      <c r="Z9" s="2">
        <v>0</v>
      </c>
      <c r="AA9" s="2">
        <v>0</v>
      </c>
      <c r="AD9" s="2"/>
      <c r="AE9" s="2"/>
      <c r="AF9" s="2"/>
    </row>
    <row r="10" spans="1:35" x14ac:dyDescent="0.2">
      <c r="A10">
        <v>8</v>
      </c>
      <c r="B10" t="s">
        <v>67</v>
      </c>
      <c r="C10" s="2">
        <v>0</v>
      </c>
      <c r="D10" s="2">
        <v>5.9379047619047629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f>'[1]2_RetrofitMaterialIntensity'!AR14</f>
        <v>8.1714285714285726</v>
      </c>
      <c r="M10" s="2">
        <v>0</v>
      </c>
      <c r="N10" s="2">
        <v>0</v>
      </c>
      <c r="O10" s="2">
        <v>0</v>
      </c>
      <c r="P10" s="2">
        <v>34.333634061411836</v>
      </c>
      <c r="Q10" s="2">
        <v>0</v>
      </c>
      <c r="R10" s="2">
        <v>5.2035061499347224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D10" s="2"/>
      <c r="AE10" s="2"/>
      <c r="AF10" s="2"/>
    </row>
    <row r="11" spans="1:35" x14ac:dyDescent="0.2">
      <c r="A11">
        <v>9</v>
      </c>
      <c r="B11" t="s">
        <v>68</v>
      </c>
      <c r="C11" s="2">
        <v>6.1</v>
      </c>
      <c r="D11" s="2">
        <v>0</v>
      </c>
      <c r="E11" s="2">
        <v>0</v>
      </c>
      <c r="F11" s="2">
        <v>635.29999999999995</v>
      </c>
      <c r="G11" s="2">
        <v>5.2</v>
      </c>
      <c r="H11" s="2">
        <v>0</v>
      </c>
      <c r="I11" s="2">
        <v>4.9000000000000004</v>
      </c>
      <c r="J11" s="2">
        <v>974.1</v>
      </c>
      <c r="K11" s="2">
        <v>0</v>
      </c>
      <c r="L11" s="2">
        <f>'[1]2_RetrofitMaterialIntensity'!AR15</f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36.5</v>
      </c>
      <c r="X11" s="2">
        <v>246.7</v>
      </c>
      <c r="Y11" s="2">
        <v>0</v>
      </c>
      <c r="Z11" s="2">
        <v>0</v>
      </c>
      <c r="AA11" s="2">
        <v>0</v>
      </c>
      <c r="AD11" s="2"/>
      <c r="AE11" s="2"/>
      <c r="AF11" s="2"/>
    </row>
    <row r="12" spans="1:35" x14ac:dyDescent="0.2">
      <c r="A12">
        <v>10</v>
      </c>
      <c r="B12" t="s">
        <v>69</v>
      </c>
      <c r="C12" s="2">
        <v>0</v>
      </c>
      <c r="D12" s="2">
        <v>6.3231720430107519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f>'[1]2_RetrofitMaterialIntensity'!AR16</f>
        <v>8.7016129032258061</v>
      </c>
      <c r="M12" s="2">
        <v>0</v>
      </c>
      <c r="N12" s="2">
        <v>0</v>
      </c>
      <c r="O12" s="2">
        <v>0</v>
      </c>
      <c r="P12" s="2">
        <v>37.207631874298549</v>
      </c>
      <c r="Q12" s="2">
        <v>0</v>
      </c>
      <c r="R12" s="2">
        <v>2.7877736744321604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D12" s="2"/>
      <c r="AE12" s="2"/>
      <c r="AF12" s="2"/>
    </row>
    <row r="13" spans="1:35" x14ac:dyDescent="0.2">
      <c r="A13">
        <v>11</v>
      </c>
      <c r="B13" t="s">
        <v>70</v>
      </c>
      <c r="C13" s="3">
        <v>3.58</v>
      </c>
      <c r="D13" s="3">
        <v>0</v>
      </c>
      <c r="E13" s="3">
        <v>2.44</v>
      </c>
      <c r="F13" s="3">
        <v>96.43</v>
      </c>
      <c r="G13" s="3">
        <v>5.66</v>
      </c>
      <c r="H13" s="3">
        <v>0</v>
      </c>
      <c r="I13" s="3">
        <v>0</v>
      </c>
      <c r="J13" s="3">
        <v>810.69</v>
      </c>
      <c r="K13" s="3">
        <v>1.1200000000000001</v>
      </c>
      <c r="L13" s="3">
        <v>5.86</v>
      </c>
      <c r="M13" s="3">
        <v>6.34</v>
      </c>
      <c r="N13" s="3">
        <v>0</v>
      </c>
      <c r="O13" s="3">
        <v>8.5</v>
      </c>
      <c r="P13" s="3">
        <v>28.47</v>
      </c>
      <c r="Q13" s="3">
        <v>0.04</v>
      </c>
      <c r="R13" s="3">
        <v>0</v>
      </c>
      <c r="S13" s="3">
        <v>14.6</v>
      </c>
      <c r="T13" s="3">
        <v>255.75</v>
      </c>
      <c r="U13" s="3">
        <v>571.89</v>
      </c>
      <c r="V13" s="3">
        <v>135.6</v>
      </c>
      <c r="W13" s="3">
        <v>0</v>
      </c>
      <c r="X13" s="3">
        <v>51.42</v>
      </c>
      <c r="Y13" s="3">
        <v>0</v>
      </c>
      <c r="Z13" s="3">
        <v>0</v>
      </c>
      <c r="AA13" s="3">
        <v>1.24</v>
      </c>
      <c r="AC13" s="2"/>
      <c r="AD13" s="2"/>
      <c r="AE13" s="2"/>
      <c r="AF13" s="2"/>
      <c r="AI13" s="2"/>
    </row>
    <row r="14" spans="1:35" x14ac:dyDescent="0.2">
      <c r="A14">
        <v>12</v>
      </c>
      <c r="B14" t="s">
        <v>71</v>
      </c>
      <c r="C14" s="2">
        <v>0</v>
      </c>
      <c r="D14" s="2">
        <v>6.3231720430107519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f>'[1]2_RetrofitMaterialIntensity'!AR23</f>
        <v>8.6125000000000007</v>
      </c>
      <c r="M14" s="2">
        <v>0</v>
      </c>
      <c r="N14" s="2">
        <v>0</v>
      </c>
      <c r="O14" s="2">
        <v>0</v>
      </c>
      <c r="P14" s="2">
        <v>36.433164983164986</v>
      </c>
      <c r="Q14" s="2">
        <v>0</v>
      </c>
      <c r="R14" s="2">
        <v>3.0824681870548809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C14" s="2"/>
      <c r="AD14" s="2"/>
      <c r="AE14" s="2"/>
      <c r="AF14" s="2"/>
      <c r="AI14" s="2"/>
    </row>
    <row r="15" spans="1:35" x14ac:dyDescent="0.2">
      <c r="A15">
        <v>13</v>
      </c>
      <c r="B15" t="s">
        <v>72</v>
      </c>
      <c r="C15" s="3">
        <v>2.15</v>
      </c>
      <c r="D15" s="3">
        <v>0.01</v>
      </c>
      <c r="E15" s="3">
        <v>2.44</v>
      </c>
      <c r="F15" s="3">
        <v>18.350000000000001</v>
      </c>
      <c r="G15" s="3">
        <v>5.66</v>
      </c>
      <c r="H15" s="3">
        <v>0</v>
      </c>
      <c r="I15" s="3">
        <v>0</v>
      </c>
      <c r="J15" s="3">
        <v>685.89</v>
      </c>
      <c r="K15" s="3">
        <v>0.62</v>
      </c>
      <c r="L15" s="3">
        <v>5.86</v>
      </c>
      <c r="M15" s="3">
        <v>6.34</v>
      </c>
      <c r="N15" s="3">
        <v>0</v>
      </c>
      <c r="O15" s="3">
        <v>8.5</v>
      </c>
      <c r="P15" s="3">
        <v>31.38</v>
      </c>
      <c r="Q15" s="3">
        <v>0.04</v>
      </c>
      <c r="R15" s="3">
        <v>5.7</v>
      </c>
      <c r="S15" s="3">
        <v>14.6</v>
      </c>
      <c r="T15" s="3">
        <v>255.75</v>
      </c>
      <c r="U15" s="3">
        <v>571.89</v>
      </c>
      <c r="V15" s="3">
        <v>135.6</v>
      </c>
      <c r="W15" s="3">
        <v>0</v>
      </c>
      <c r="X15" s="3">
        <v>51.42</v>
      </c>
      <c r="Y15" s="3">
        <v>8.5</v>
      </c>
      <c r="Z15" s="3">
        <v>2.2999999999999998</v>
      </c>
      <c r="AA15" s="3">
        <v>1.24</v>
      </c>
      <c r="AD15" s="2"/>
      <c r="AE15" s="2"/>
      <c r="AF15" s="2"/>
    </row>
    <row r="16" spans="1:35" x14ac:dyDescent="0.2">
      <c r="A16">
        <v>14</v>
      </c>
      <c r="B16" t="s">
        <v>73</v>
      </c>
      <c r="C16" s="2">
        <v>6.1</v>
      </c>
      <c r="D16" s="2">
        <v>0</v>
      </c>
      <c r="E16" s="2">
        <v>0</v>
      </c>
      <c r="F16" s="2">
        <v>124.1</v>
      </c>
      <c r="G16" s="2">
        <v>21.3</v>
      </c>
      <c r="H16" s="2">
        <v>0</v>
      </c>
      <c r="I16" s="2">
        <v>4.9000000000000004</v>
      </c>
      <c r="J16" s="2">
        <v>353.2</v>
      </c>
      <c r="K16" s="2">
        <v>0</v>
      </c>
      <c r="L16" s="2">
        <f>'[1]2_RetrofitMaterialIntensity'!AR20</f>
        <v>0</v>
      </c>
      <c r="M16" s="2">
        <v>0</v>
      </c>
      <c r="N16" s="2">
        <v>10.3</v>
      </c>
      <c r="O16" s="2">
        <v>0</v>
      </c>
      <c r="P16" s="2">
        <v>0</v>
      </c>
      <c r="Q16" s="2">
        <v>7.7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14.8</v>
      </c>
      <c r="X16" s="2">
        <v>69.3</v>
      </c>
      <c r="Y16" s="2">
        <v>0</v>
      </c>
      <c r="Z16" s="2">
        <v>0</v>
      </c>
      <c r="AA16" s="2">
        <v>0</v>
      </c>
      <c r="AD16" s="2"/>
      <c r="AE16" s="2"/>
      <c r="AF16" s="2"/>
    </row>
    <row r="17" spans="1:35" x14ac:dyDescent="0.2">
      <c r="A17">
        <v>15</v>
      </c>
      <c r="B17" t="s">
        <v>74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f>'[1]2_RetrofitMaterialIntensity'!AR21</f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D17" s="2"/>
      <c r="AE17" s="2"/>
      <c r="AF17" s="2"/>
    </row>
    <row r="18" spans="1:35" x14ac:dyDescent="0.2">
      <c r="A18">
        <v>16</v>
      </c>
      <c r="B18" t="s">
        <v>75</v>
      </c>
      <c r="C18" s="2">
        <v>6.1</v>
      </c>
      <c r="D18" s="2">
        <v>0</v>
      </c>
      <c r="E18" s="2">
        <v>0</v>
      </c>
      <c r="F18" s="2">
        <v>124.1</v>
      </c>
      <c r="G18" s="2">
        <v>21.3</v>
      </c>
      <c r="H18" s="2">
        <v>0</v>
      </c>
      <c r="I18" s="2">
        <v>4.9000000000000004</v>
      </c>
      <c r="J18" s="2">
        <v>353.2</v>
      </c>
      <c r="K18" s="2">
        <v>0</v>
      </c>
      <c r="L18" s="2">
        <f>'[1]2_RetrofitMaterialIntensity'!AR22</f>
        <v>0</v>
      </c>
      <c r="M18" s="2">
        <v>0</v>
      </c>
      <c r="N18" s="2">
        <v>10.3</v>
      </c>
      <c r="O18" s="2">
        <v>0</v>
      </c>
      <c r="P18" s="2">
        <v>0</v>
      </c>
      <c r="Q18" s="2">
        <v>7.7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14.8</v>
      </c>
      <c r="X18" s="2">
        <v>69.3</v>
      </c>
      <c r="Y18" s="2">
        <v>0</v>
      </c>
      <c r="Z18" s="2">
        <v>0</v>
      </c>
      <c r="AA18" s="2">
        <v>0</v>
      </c>
      <c r="AD18" s="2"/>
      <c r="AE18" s="2"/>
      <c r="AF18" s="2"/>
    </row>
    <row r="19" spans="1:35" x14ac:dyDescent="0.2">
      <c r="A19">
        <v>17</v>
      </c>
      <c r="B19" t="s">
        <v>76</v>
      </c>
      <c r="C19" s="2">
        <v>0</v>
      </c>
      <c r="D19" s="2">
        <v>6.2584166666666663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f>'[1]2_RetrofitMaterialIntensity'!AR23</f>
        <v>8.6125000000000007</v>
      </c>
      <c r="M19" s="2">
        <v>0</v>
      </c>
      <c r="N19" s="2">
        <v>0</v>
      </c>
      <c r="O19" s="2">
        <v>0</v>
      </c>
      <c r="P19" s="2">
        <v>28.768679796599873</v>
      </c>
      <c r="Q19" s="2">
        <v>0</v>
      </c>
      <c r="R19" s="2">
        <v>5.3406432434752746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D19" s="2"/>
      <c r="AE19" s="2"/>
      <c r="AF19" s="2"/>
    </row>
    <row r="20" spans="1:35" x14ac:dyDescent="0.2">
      <c r="A20">
        <v>18</v>
      </c>
      <c r="B20" t="s">
        <v>77</v>
      </c>
      <c r="C20" s="2">
        <v>6.1</v>
      </c>
      <c r="D20" s="2">
        <v>0</v>
      </c>
      <c r="E20" s="2">
        <v>0</v>
      </c>
      <c r="F20" s="2">
        <v>124.1</v>
      </c>
      <c r="G20" s="2">
        <v>21.3</v>
      </c>
      <c r="H20" s="2">
        <v>0</v>
      </c>
      <c r="I20" s="2">
        <v>4.9000000000000004</v>
      </c>
      <c r="J20" s="2">
        <v>353.2</v>
      </c>
      <c r="K20" s="2">
        <v>0</v>
      </c>
      <c r="L20" s="2">
        <f>'[1]2_RetrofitMaterialIntensity'!AR24</f>
        <v>0</v>
      </c>
      <c r="M20" s="2">
        <v>0</v>
      </c>
      <c r="N20" s="2">
        <v>10.3</v>
      </c>
      <c r="O20" s="2">
        <v>0</v>
      </c>
      <c r="P20" s="2">
        <v>0</v>
      </c>
      <c r="Q20" s="2">
        <v>7.7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14.8</v>
      </c>
      <c r="X20" s="2">
        <v>69.3</v>
      </c>
      <c r="Y20" s="2">
        <v>0</v>
      </c>
      <c r="Z20" s="2">
        <v>0</v>
      </c>
      <c r="AA20" s="2">
        <v>0</v>
      </c>
      <c r="AC20" s="2"/>
      <c r="AD20" s="2"/>
      <c r="AE20" s="2"/>
      <c r="AF20" s="2"/>
      <c r="AI20" s="2"/>
    </row>
    <row r="21" spans="1:35" x14ac:dyDescent="0.2">
      <c r="A21">
        <v>19</v>
      </c>
      <c r="B21" t="s">
        <v>78</v>
      </c>
      <c r="C21" s="2">
        <v>0</v>
      </c>
      <c r="D21" s="2">
        <v>6.2008888888888887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f>'[1]2_RetrofitMaterialIntensity'!AR25</f>
        <v>8.5333333333333332</v>
      </c>
      <c r="M21" s="2">
        <v>0</v>
      </c>
      <c r="N21" s="2">
        <v>0</v>
      </c>
      <c r="O21" s="2">
        <v>0</v>
      </c>
      <c r="P21" s="2">
        <v>20.526978936830446</v>
      </c>
      <c r="Q21" s="2">
        <v>0</v>
      </c>
      <c r="R21" s="2">
        <v>3.7975706877392263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C21" s="2"/>
      <c r="AD21" s="2"/>
      <c r="AE21" s="2"/>
      <c r="AF21" s="2"/>
      <c r="AI21" s="2"/>
    </row>
    <row r="22" spans="1:35" x14ac:dyDescent="0.2">
      <c r="A22">
        <v>20</v>
      </c>
      <c r="B22" t="s">
        <v>79</v>
      </c>
      <c r="C22" s="2">
        <v>6.1</v>
      </c>
      <c r="D22" s="2">
        <v>0</v>
      </c>
      <c r="E22" s="2">
        <v>0</v>
      </c>
      <c r="F22" s="2">
        <v>124.1</v>
      </c>
      <c r="G22" s="2">
        <v>21.3</v>
      </c>
      <c r="H22" s="2">
        <v>0</v>
      </c>
      <c r="I22" s="2">
        <v>4.9000000000000004</v>
      </c>
      <c r="J22" s="2">
        <v>353.2</v>
      </c>
      <c r="K22" s="2">
        <v>0</v>
      </c>
      <c r="L22" s="2">
        <f>'[1]2_RetrofitMaterialIntensity'!AR26</f>
        <v>0</v>
      </c>
      <c r="M22" s="2">
        <v>0</v>
      </c>
      <c r="N22" s="2">
        <v>10.3</v>
      </c>
      <c r="O22" s="2">
        <v>0</v>
      </c>
      <c r="P22" s="2">
        <v>0</v>
      </c>
      <c r="Q22" s="2">
        <v>7.7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14.8</v>
      </c>
      <c r="X22" s="2">
        <v>69.3</v>
      </c>
      <c r="Y22" s="2">
        <v>0</v>
      </c>
      <c r="Z22" s="2">
        <v>0</v>
      </c>
      <c r="AA22" s="2">
        <v>0</v>
      </c>
      <c r="AD22" s="2"/>
      <c r="AE22" s="2"/>
      <c r="AF22" s="2"/>
    </row>
    <row r="23" spans="1:35" x14ac:dyDescent="0.2">
      <c r="A23">
        <v>21</v>
      </c>
      <c r="B23" t="s">
        <v>80</v>
      </c>
      <c r="C23" s="2">
        <v>0</v>
      </c>
      <c r="D23" s="2">
        <v>4.6748888888888889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f>'[1]2_RetrofitMaterialIntensity'!AR27</f>
        <v>6.4333333333333327</v>
      </c>
      <c r="M23" s="2">
        <v>0</v>
      </c>
      <c r="N23" s="2">
        <v>0</v>
      </c>
      <c r="O23" s="2">
        <v>0</v>
      </c>
      <c r="P23" s="2">
        <v>20.692790242165245</v>
      </c>
      <c r="Q23" s="2">
        <v>0</v>
      </c>
      <c r="R23" s="2">
        <v>4.0507330409974625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D23" s="2"/>
      <c r="AE23" s="2"/>
      <c r="AF23" s="2"/>
    </row>
    <row r="24" spans="1:35" x14ac:dyDescent="0.2">
      <c r="A24">
        <v>22</v>
      </c>
      <c r="B24" t="s">
        <v>81</v>
      </c>
      <c r="C24" s="2">
        <v>6.1</v>
      </c>
      <c r="D24" s="2">
        <v>0</v>
      </c>
      <c r="E24" s="2">
        <v>0</v>
      </c>
      <c r="F24" s="2">
        <v>124.1</v>
      </c>
      <c r="G24" s="2">
        <v>21.3</v>
      </c>
      <c r="H24" s="2">
        <v>0</v>
      </c>
      <c r="I24" s="2">
        <v>4.9000000000000004</v>
      </c>
      <c r="J24" s="2">
        <v>353.2</v>
      </c>
      <c r="K24" s="2">
        <v>0</v>
      </c>
      <c r="L24" s="2">
        <f>'[1]2_RetrofitMaterialIntensity'!AR28</f>
        <v>0</v>
      </c>
      <c r="M24" s="2">
        <v>0</v>
      </c>
      <c r="N24" s="2">
        <v>10.3</v>
      </c>
      <c r="O24" s="2">
        <v>0</v>
      </c>
      <c r="P24" s="2">
        <v>0</v>
      </c>
      <c r="Q24" s="2">
        <v>7.7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14.8</v>
      </c>
      <c r="X24" s="2">
        <v>69.3</v>
      </c>
      <c r="Y24" s="2">
        <v>0</v>
      </c>
      <c r="Z24" s="2">
        <v>0</v>
      </c>
      <c r="AA24" s="2">
        <v>0</v>
      </c>
      <c r="AD24" s="2"/>
      <c r="AE24" s="2"/>
      <c r="AF24" s="2"/>
    </row>
    <row r="25" spans="1:35" x14ac:dyDescent="0.2">
      <c r="A25">
        <v>23</v>
      </c>
      <c r="B25" t="s">
        <v>82</v>
      </c>
      <c r="C25" s="2">
        <v>0</v>
      </c>
      <c r="D25" s="2">
        <v>4.9424960000000002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f>'[1]2_RetrofitMaterialIntensity'!AR29</f>
        <v>6.8016000000000005</v>
      </c>
      <c r="M25" s="2">
        <v>0</v>
      </c>
      <c r="N25" s="2">
        <v>0</v>
      </c>
      <c r="O25" s="2">
        <v>0</v>
      </c>
      <c r="P25" s="2">
        <v>21.567394871794868</v>
      </c>
      <c r="Q25" s="2">
        <v>0</v>
      </c>
      <c r="R25" s="2">
        <v>3.1963714285714295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D25" s="2"/>
      <c r="AE25" s="2"/>
      <c r="AF25" s="2"/>
    </row>
    <row r="26" spans="1:35" x14ac:dyDescent="0.2">
      <c r="A26">
        <v>24</v>
      </c>
      <c r="B26" t="s">
        <v>83</v>
      </c>
      <c r="C26" s="2">
        <v>6.1</v>
      </c>
      <c r="D26" s="2">
        <v>0</v>
      </c>
      <c r="E26" s="2">
        <v>0</v>
      </c>
      <c r="F26" s="2">
        <v>124.1</v>
      </c>
      <c r="G26" s="2">
        <v>21.3</v>
      </c>
      <c r="H26" s="2">
        <v>0</v>
      </c>
      <c r="I26" s="2">
        <v>4.9000000000000004</v>
      </c>
      <c r="J26" s="2">
        <v>353.2</v>
      </c>
      <c r="K26" s="2">
        <v>0</v>
      </c>
      <c r="L26" s="2">
        <f>'[1]2_RetrofitMaterialIntensity'!AR30</f>
        <v>0</v>
      </c>
      <c r="M26" s="2">
        <v>0</v>
      </c>
      <c r="N26" s="2">
        <v>10.3</v>
      </c>
      <c r="O26" s="2">
        <v>0</v>
      </c>
      <c r="P26" s="2">
        <v>0</v>
      </c>
      <c r="Q26" s="2">
        <v>7.7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14.8</v>
      </c>
      <c r="X26" s="2">
        <v>69.3</v>
      </c>
      <c r="Y26" s="2">
        <v>0</v>
      </c>
      <c r="Z26" s="2">
        <v>0</v>
      </c>
      <c r="AA26" s="2">
        <v>0</v>
      </c>
      <c r="AD26" s="2"/>
      <c r="AE26" s="2"/>
      <c r="AF26" s="2"/>
    </row>
    <row r="27" spans="1:35" x14ac:dyDescent="0.2">
      <c r="A27">
        <v>25</v>
      </c>
      <c r="B27" t="s">
        <v>84</v>
      </c>
      <c r="C27" s="2">
        <v>0</v>
      </c>
      <c r="D27" s="2">
        <v>4.9853576642335771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f>'[1]2_RetrofitMaterialIntensity'!AR31</f>
        <v>6.8605839416058396</v>
      </c>
      <c r="M27" s="2">
        <v>0</v>
      </c>
      <c r="N27" s="2">
        <v>0</v>
      </c>
      <c r="O27" s="2">
        <v>0</v>
      </c>
      <c r="P27" s="2">
        <v>16.865649192656495</v>
      </c>
      <c r="Q27" s="2">
        <v>0</v>
      </c>
      <c r="R27" s="2">
        <v>2.8240941857254143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C27" s="2"/>
      <c r="AD27" s="2"/>
      <c r="AE27" s="2"/>
      <c r="AF27" s="2"/>
      <c r="AI27" s="2"/>
    </row>
    <row r="28" spans="1:35" x14ac:dyDescent="0.2">
      <c r="A28">
        <v>26</v>
      </c>
      <c r="B28" t="s">
        <v>85</v>
      </c>
      <c r="C28" s="3">
        <v>5.15</v>
      </c>
      <c r="D28" s="3">
        <v>0</v>
      </c>
      <c r="E28" s="3">
        <v>2.44</v>
      </c>
      <c r="F28" s="3">
        <v>48.94</v>
      </c>
      <c r="G28" s="3">
        <v>5.59</v>
      </c>
      <c r="H28" s="3">
        <v>0</v>
      </c>
      <c r="I28" s="3">
        <v>0</v>
      </c>
      <c r="J28" s="3">
        <v>702.19</v>
      </c>
      <c r="K28" s="3">
        <v>1.1200000000000001</v>
      </c>
      <c r="L28" s="3">
        <v>2.0699999999999998</v>
      </c>
      <c r="M28" s="3">
        <v>6.41</v>
      </c>
      <c r="N28" s="3">
        <v>0</v>
      </c>
      <c r="O28" s="3">
        <v>7.87</v>
      </c>
      <c r="P28" s="3">
        <v>25.13</v>
      </c>
      <c r="Q28" s="3">
        <v>0.04</v>
      </c>
      <c r="R28" s="3">
        <v>0</v>
      </c>
      <c r="S28" s="3">
        <v>14.96</v>
      </c>
      <c r="T28" s="3">
        <v>532.97</v>
      </c>
      <c r="U28" s="3">
        <v>571.74</v>
      </c>
      <c r="V28" s="3">
        <v>135.49</v>
      </c>
      <c r="W28" s="3">
        <v>0</v>
      </c>
      <c r="X28" s="3">
        <v>51.39</v>
      </c>
      <c r="Y28" s="3">
        <v>0</v>
      </c>
      <c r="Z28" s="3">
        <v>0</v>
      </c>
      <c r="AA28" s="3">
        <v>14.24</v>
      </c>
      <c r="AC28" s="2"/>
      <c r="AD28" s="2"/>
      <c r="AE28" s="2"/>
      <c r="AF28" s="2"/>
      <c r="AI28" s="2"/>
    </row>
    <row r="29" spans="1:35" x14ac:dyDescent="0.2">
      <c r="A29">
        <v>27</v>
      </c>
      <c r="B29" t="s">
        <v>86</v>
      </c>
      <c r="C29" s="2">
        <v>0</v>
      </c>
      <c r="D29" s="2">
        <v>4.9853576642335771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f>'[1]2_RetrofitMaterialIntensity'!AR33</f>
        <v>6.8605839416058396</v>
      </c>
      <c r="M29" s="2">
        <v>0</v>
      </c>
      <c r="N29" s="2">
        <v>0</v>
      </c>
      <c r="O29" s="2">
        <v>0</v>
      </c>
      <c r="P29" s="2">
        <v>16.655355993020226</v>
      </c>
      <c r="Q29" s="2">
        <v>0</v>
      </c>
      <c r="R29" s="2">
        <v>3.1225708597971376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D29" s="2"/>
      <c r="AE29" s="2"/>
      <c r="AF29" s="2"/>
    </row>
    <row r="30" spans="1:35" x14ac:dyDescent="0.2">
      <c r="A30">
        <v>28</v>
      </c>
      <c r="B30" t="s">
        <v>87</v>
      </c>
      <c r="C30" s="3">
        <v>2.92</v>
      </c>
      <c r="D30" s="3">
        <v>0</v>
      </c>
      <c r="E30" s="3">
        <v>2.44</v>
      </c>
      <c r="F30" s="3">
        <v>9.2899999999999991</v>
      </c>
      <c r="G30" s="3">
        <v>5.59</v>
      </c>
      <c r="H30" s="3">
        <v>0</v>
      </c>
      <c r="I30" s="3">
        <v>0</v>
      </c>
      <c r="J30" s="3">
        <v>638.85</v>
      </c>
      <c r="K30" s="3">
        <v>0.62</v>
      </c>
      <c r="L30" s="3">
        <v>2.0699999999999998</v>
      </c>
      <c r="M30" s="3">
        <v>6.41</v>
      </c>
      <c r="N30" s="3">
        <v>0</v>
      </c>
      <c r="O30" s="3">
        <v>7.87</v>
      </c>
      <c r="P30" s="3">
        <v>15.92</v>
      </c>
      <c r="Q30" s="3">
        <v>0.04</v>
      </c>
      <c r="R30" s="3">
        <v>6.42</v>
      </c>
      <c r="S30" s="3">
        <v>11.84</v>
      </c>
      <c r="T30" s="3">
        <v>532.97</v>
      </c>
      <c r="U30" s="3">
        <v>587.11</v>
      </c>
      <c r="V30" s="3">
        <v>135.49</v>
      </c>
      <c r="W30" s="3">
        <v>0</v>
      </c>
      <c r="X30" s="3">
        <v>51.39</v>
      </c>
      <c r="Y30" s="3">
        <v>4.34</v>
      </c>
      <c r="Z30" s="3">
        <v>2.2999999999999998</v>
      </c>
      <c r="AA30" s="3">
        <v>14.24</v>
      </c>
      <c r="AD30" s="2"/>
      <c r="AE30" s="2"/>
      <c r="AF30" s="2"/>
    </row>
    <row r="31" spans="1:35" x14ac:dyDescent="0.2">
      <c r="A31">
        <v>29</v>
      </c>
      <c r="B31" t="s">
        <v>88</v>
      </c>
      <c r="C31" s="2">
        <v>6.1</v>
      </c>
      <c r="D31" s="2">
        <v>0</v>
      </c>
      <c r="E31" s="2">
        <v>0</v>
      </c>
      <c r="F31" s="2">
        <v>124.1</v>
      </c>
      <c r="G31" s="2">
        <v>21.3</v>
      </c>
      <c r="H31" s="2">
        <v>0</v>
      </c>
      <c r="I31" s="2">
        <v>4.9000000000000004</v>
      </c>
      <c r="J31" s="2">
        <v>353.2</v>
      </c>
      <c r="K31" s="2">
        <v>0</v>
      </c>
      <c r="L31" s="2">
        <f>'[1]2_RetrofitMaterialIntensity'!AR35</f>
        <v>0</v>
      </c>
      <c r="M31" s="2">
        <v>0</v>
      </c>
      <c r="N31" s="2">
        <v>10.3</v>
      </c>
      <c r="O31" s="2">
        <v>0</v>
      </c>
      <c r="P31" s="2">
        <v>0</v>
      </c>
      <c r="Q31" s="2">
        <v>7.7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14.8</v>
      </c>
      <c r="X31" s="2">
        <v>69.3</v>
      </c>
      <c r="Y31" s="2">
        <v>0</v>
      </c>
      <c r="Z31" s="2">
        <v>0</v>
      </c>
      <c r="AA31" s="2">
        <v>0</v>
      </c>
      <c r="AD31" s="2"/>
      <c r="AE31" s="2"/>
      <c r="AF31" s="2"/>
    </row>
    <row r="32" spans="1:35" x14ac:dyDescent="0.2">
      <c r="A32">
        <v>30</v>
      </c>
      <c r="B32" t="s">
        <v>89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f>'[1]2_RetrofitMaterialIntensity'!AR36</f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D32" s="2"/>
      <c r="AE32" s="2"/>
      <c r="AF32" s="2"/>
    </row>
    <row r="33" spans="1:35" x14ac:dyDescent="0.2">
      <c r="A33">
        <v>31</v>
      </c>
      <c r="B33" t="s">
        <v>90</v>
      </c>
      <c r="C33" s="2">
        <v>6.1</v>
      </c>
      <c r="D33" s="2">
        <v>0</v>
      </c>
      <c r="E33" s="2">
        <v>0</v>
      </c>
      <c r="F33" s="2">
        <v>124.1</v>
      </c>
      <c r="G33" s="2">
        <v>21.3</v>
      </c>
      <c r="H33" s="2">
        <v>0</v>
      </c>
      <c r="I33" s="2">
        <v>4.9000000000000004</v>
      </c>
      <c r="J33" s="2">
        <v>353.2</v>
      </c>
      <c r="K33" s="2">
        <v>0</v>
      </c>
      <c r="L33" s="2">
        <f>'[1]2_RetrofitMaterialIntensity'!AR37</f>
        <v>0</v>
      </c>
      <c r="M33" s="2">
        <v>0</v>
      </c>
      <c r="N33" s="2">
        <v>10.3</v>
      </c>
      <c r="O33" s="2">
        <v>0</v>
      </c>
      <c r="P33" s="2">
        <v>0</v>
      </c>
      <c r="Q33" s="2">
        <v>7.7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14.8</v>
      </c>
      <c r="X33" s="2">
        <v>69.3</v>
      </c>
      <c r="Y33" s="2">
        <v>0</v>
      </c>
      <c r="Z33" s="2">
        <v>0</v>
      </c>
      <c r="AA33" s="2">
        <v>0</v>
      </c>
      <c r="AE33" s="2"/>
      <c r="AF33" s="2"/>
      <c r="AG33" s="2"/>
      <c r="AH33" s="2"/>
    </row>
    <row r="34" spans="1:35" x14ac:dyDescent="0.2">
      <c r="A34">
        <v>32</v>
      </c>
      <c r="B34" t="s">
        <v>91</v>
      </c>
      <c r="C34" s="2">
        <v>0</v>
      </c>
      <c r="D34" s="2">
        <v>6.2584166666666663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f>'[1]2_RetrofitMaterialIntensity'!AR38</f>
        <v>8.6125000000000007</v>
      </c>
      <c r="M34" s="2">
        <v>0</v>
      </c>
      <c r="N34" s="2">
        <v>0</v>
      </c>
      <c r="O34" s="2">
        <v>0</v>
      </c>
      <c r="P34" s="2">
        <v>28.768679796599873</v>
      </c>
      <c r="Q34" s="2">
        <v>0</v>
      </c>
      <c r="R34" s="2">
        <v>5.3406432434752746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C34" s="2"/>
      <c r="AD34" s="2"/>
      <c r="AE34" s="2"/>
      <c r="AF34" s="2"/>
      <c r="AG34" s="2"/>
      <c r="AH34" s="2"/>
      <c r="AI34" s="2"/>
    </row>
    <row r="35" spans="1:35" x14ac:dyDescent="0.2">
      <c r="A35">
        <v>33</v>
      </c>
      <c r="B35" t="s">
        <v>92</v>
      </c>
      <c r="C35" s="2">
        <v>6.1</v>
      </c>
      <c r="D35" s="2">
        <v>0</v>
      </c>
      <c r="E35" s="2">
        <v>0</v>
      </c>
      <c r="F35" s="2">
        <v>124.1</v>
      </c>
      <c r="G35" s="2">
        <v>21.3</v>
      </c>
      <c r="H35" s="2">
        <v>0</v>
      </c>
      <c r="I35" s="2">
        <v>4.9000000000000004</v>
      </c>
      <c r="J35" s="2">
        <v>353.2</v>
      </c>
      <c r="K35" s="2">
        <v>0</v>
      </c>
      <c r="L35" s="2">
        <f>'[1]2_RetrofitMaterialIntensity'!AR39</f>
        <v>0</v>
      </c>
      <c r="M35" s="2">
        <v>0</v>
      </c>
      <c r="N35" s="2">
        <v>10.3</v>
      </c>
      <c r="O35" s="2">
        <v>0</v>
      </c>
      <c r="P35" s="2">
        <v>0</v>
      </c>
      <c r="Q35" s="2">
        <v>7.7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14.8</v>
      </c>
      <c r="X35" s="2">
        <v>69.3</v>
      </c>
      <c r="Y35" s="2">
        <v>0</v>
      </c>
      <c r="Z35" s="2">
        <v>0</v>
      </c>
      <c r="AA35" s="2">
        <v>0</v>
      </c>
      <c r="AC35" s="2"/>
      <c r="AD35" s="2"/>
      <c r="AE35" s="2"/>
      <c r="AF35" s="2"/>
      <c r="AG35" s="2"/>
      <c r="AH35" s="2"/>
      <c r="AI35" s="2"/>
    </row>
    <row r="36" spans="1:35" x14ac:dyDescent="0.2">
      <c r="A36">
        <v>34</v>
      </c>
      <c r="B36" t="s">
        <v>93</v>
      </c>
      <c r="C36" s="2">
        <v>0</v>
      </c>
      <c r="D36" s="2">
        <v>6.2008888888888887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f>'[1]2_RetrofitMaterialIntensity'!AR40</f>
        <v>8.5333333333333332</v>
      </c>
      <c r="M36" s="2">
        <v>0</v>
      </c>
      <c r="N36" s="2">
        <v>0</v>
      </c>
      <c r="O36" s="2">
        <v>0</v>
      </c>
      <c r="P36" s="2">
        <v>20.526978936830446</v>
      </c>
      <c r="Q36" s="2">
        <v>0</v>
      </c>
      <c r="R36" s="2">
        <v>3.7975706877392263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C36" s="2"/>
      <c r="AD36" s="2"/>
      <c r="AE36" s="2"/>
      <c r="AF36" s="2"/>
      <c r="AG36" s="2"/>
      <c r="AH36" s="2"/>
      <c r="AI36" s="2"/>
    </row>
    <row r="37" spans="1:35" x14ac:dyDescent="0.2">
      <c r="A37">
        <v>35</v>
      </c>
      <c r="B37" t="s">
        <v>94</v>
      </c>
      <c r="C37" s="2">
        <v>6.1</v>
      </c>
      <c r="D37" s="2">
        <v>0</v>
      </c>
      <c r="E37" s="2">
        <v>0</v>
      </c>
      <c r="F37" s="2">
        <v>124.1</v>
      </c>
      <c r="G37" s="2">
        <v>21.3</v>
      </c>
      <c r="H37" s="2">
        <v>0</v>
      </c>
      <c r="I37" s="2">
        <v>4.9000000000000004</v>
      </c>
      <c r="J37" s="2">
        <v>353.2</v>
      </c>
      <c r="K37" s="2">
        <v>0</v>
      </c>
      <c r="L37" s="2">
        <f>'[1]2_RetrofitMaterialIntensity'!AR41</f>
        <v>0</v>
      </c>
      <c r="M37" s="2">
        <v>0</v>
      </c>
      <c r="N37" s="2">
        <v>10.3</v>
      </c>
      <c r="O37" s="2">
        <v>0</v>
      </c>
      <c r="P37" s="2">
        <v>0</v>
      </c>
      <c r="Q37" s="2">
        <v>7.7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14.8</v>
      </c>
      <c r="X37" s="2">
        <v>69.3</v>
      </c>
      <c r="Y37" s="2">
        <v>0</v>
      </c>
      <c r="Z37" s="2">
        <v>0</v>
      </c>
      <c r="AA37" s="2">
        <v>0</v>
      </c>
      <c r="AC37" s="2"/>
      <c r="AD37" s="2"/>
      <c r="AE37" s="2"/>
      <c r="AF37" s="2"/>
      <c r="AG37" s="2"/>
      <c r="AH37" s="2"/>
      <c r="AI37" s="2"/>
    </row>
    <row r="38" spans="1:35" x14ac:dyDescent="0.2">
      <c r="A38">
        <v>36</v>
      </c>
      <c r="B38" t="s">
        <v>95</v>
      </c>
      <c r="C38" s="2">
        <v>0</v>
      </c>
      <c r="D38" s="2">
        <v>4.6748888888888889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f>'[1]2_RetrofitMaterialIntensity'!AR42</f>
        <v>6.4333333333333327</v>
      </c>
      <c r="M38" s="2">
        <v>0</v>
      </c>
      <c r="N38" s="2">
        <v>0</v>
      </c>
      <c r="O38" s="2">
        <v>0</v>
      </c>
      <c r="P38" s="2">
        <v>20.692790242165245</v>
      </c>
      <c r="Q38" s="2">
        <v>0</v>
      </c>
      <c r="R38" s="2">
        <v>4.0507330409974625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</row>
    <row r="39" spans="1:35" x14ac:dyDescent="0.2">
      <c r="A39">
        <v>37</v>
      </c>
      <c r="B39" t="s">
        <v>96</v>
      </c>
      <c r="C39" s="2">
        <v>6.1</v>
      </c>
      <c r="D39" s="2">
        <v>0</v>
      </c>
      <c r="E39" s="2">
        <v>0</v>
      </c>
      <c r="F39" s="2">
        <v>124.1</v>
      </c>
      <c r="G39" s="2">
        <v>21.3</v>
      </c>
      <c r="H39" s="2">
        <v>0</v>
      </c>
      <c r="I39" s="2">
        <v>4.9000000000000004</v>
      </c>
      <c r="J39" s="2">
        <v>353.2</v>
      </c>
      <c r="K39" s="2">
        <v>0</v>
      </c>
      <c r="L39" s="2">
        <f>'[1]2_RetrofitMaterialIntensity'!AR43</f>
        <v>0</v>
      </c>
      <c r="M39" s="2">
        <v>0</v>
      </c>
      <c r="N39" s="2">
        <v>10.3</v>
      </c>
      <c r="O39" s="2">
        <v>0</v>
      </c>
      <c r="P39" s="2">
        <v>0</v>
      </c>
      <c r="Q39" s="2">
        <v>7.7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14.8</v>
      </c>
      <c r="X39" s="2">
        <v>69.3</v>
      </c>
      <c r="Y39" s="2">
        <v>0</v>
      </c>
      <c r="Z39" s="2">
        <v>0</v>
      </c>
      <c r="AA39" s="2">
        <v>0</v>
      </c>
    </row>
    <row r="40" spans="1:35" x14ac:dyDescent="0.2">
      <c r="A40">
        <v>38</v>
      </c>
      <c r="B40" t="s">
        <v>97</v>
      </c>
      <c r="C40" s="2">
        <v>0</v>
      </c>
      <c r="D40" s="2">
        <v>4.9424960000000002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f>'[1]2_RetrofitMaterialIntensity'!AR44</f>
        <v>6.8016000000000005</v>
      </c>
      <c r="M40" s="2">
        <v>0</v>
      </c>
      <c r="N40" s="2">
        <v>0</v>
      </c>
      <c r="O40" s="2">
        <v>0</v>
      </c>
      <c r="P40" s="2">
        <v>21.567394871794868</v>
      </c>
      <c r="Q40" s="2">
        <v>0</v>
      </c>
      <c r="R40" s="2">
        <v>3.1963714285714295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</row>
    <row r="41" spans="1:35" x14ac:dyDescent="0.2">
      <c r="A41">
        <v>39</v>
      </c>
      <c r="B41" t="s">
        <v>98</v>
      </c>
      <c r="C41" s="2">
        <v>6.1</v>
      </c>
      <c r="D41" s="2">
        <v>0</v>
      </c>
      <c r="E41" s="2">
        <v>0</v>
      </c>
      <c r="F41" s="2">
        <v>124.1</v>
      </c>
      <c r="G41" s="2">
        <v>21.3</v>
      </c>
      <c r="H41" s="2">
        <v>0</v>
      </c>
      <c r="I41" s="2">
        <v>4.9000000000000004</v>
      </c>
      <c r="J41" s="2">
        <v>353.2</v>
      </c>
      <c r="K41" s="2">
        <v>0</v>
      </c>
      <c r="L41" s="2">
        <f>'[1]2_RetrofitMaterialIntensity'!AR45</f>
        <v>0</v>
      </c>
      <c r="M41" s="2">
        <v>0</v>
      </c>
      <c r="N41" s="2">
        <v>10.3</v>
      </c>
      <c r="O41" s="2">
        <v>0</v>
      </c>
      <c r="P41" s="2">
        <v>0</v>
      </c>
      <c r="Q41" s="2">
        <v>7.7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14.8</v>
      </c>
      <c r="X41" s="2">
        <v>69.3</v>
      </c>
      <c r="Y41" s="2">
        <v>0</v>
      </c>
      <c r="Z41" s="2">
        <v>0</v>
      </c>
      <c r="AA41" s="2">
        <v>0</v>
      </c>
    </row>
    <row r="42" spans="1:35" x14ac:dyDescent="0.2">
      <c r="A42">
        <v>40</v>
      </c>
      <c r="B42" t="s">
        <v>99</v>
      </c>
      <c r="C42" s="2">
        <v>0</v>
      </c>
      <c r="D42" s="2">
        <v>4.9853576642335771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f>'[1]2_RetrofitMaterialIntensity'!AR46</f>
        <v>6.8605839416058396</v>
      </c>
      <c r="M42" s="2">
        <v>0</v>
      </c>
      <c r="N42" s="2">
        <v>0</v>
      </c>
      <c r="O42" s="2">
        <v>0</v>
      </c>
      <c r="P42" s="2">
        <v>16.865649192656495</v>
      </c>
      <c r="Q42" s="2">
        <v>0</v>
      </c>
      <c r="R42" s="2">
        <v>2.8240941857254143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</row>
    <row r="43" spans="1:35" x14ac:dyDescent="0.2">
      <c r="A43">
        <v>41</v>
      </c>
      <c r="B43" t="s">
        <v>100</v>
      </c>
      <c r="C43" s="3">
        <v>5.15</v>
      </c>
      <c r="D43" s="3">
        <v>0</v>
      </c>
      <c r="E43" s="3">
        <v>2.44</v>
      </c>
      <c r="F43" s="3">
        <v>48.94</v>
      </c>
      <c r="G43" s="3">
        <v>5.59</v>
      </c>
      <c r="H43" s="3">
        <v>0</v>
      </c>
      <c r="I43" s="3">
        <v>0</v>
      </c>
      <c r="J43" s="3">
        <v>702.19</v>
      </c>
      <c r="K43" s="3">
        <v>1.1200000000000001</v>
      </c>
      <c r="L43" s="3">
        <v>2.0699999999999998</v>
      </c>
      <c r="M43" s="3">
        <v>6.41</v>
      </c>
      <c r="N43" s="3">
        <v>0</v>
      </c>
      <c r="O43" s="3">
        <v>7.87</v>
      </c>
      <c r="P43" s="3">
        <v>25.13</v>
      </c>
      <c r="Q43" s="3">
        <v>0.04</v>
      </c>
      <c r="R43" s="3">
        <v>0</v>
      </c>
      <c r="S43" s="3">
        <v>14.96</v>
      </c>
      <c r="T43" s="3">
        <v>532.97</v>
      </c>
      <c r="U43" s="3">
        <v>571.74</v>
      </c>
      <c r="V43" s="3">
        <v>135.49</v>
      </c>
      <c r="W43" s="3">
        <v>0</v>
      </c>
      <c r="X43" s="3">
        <v>51.39</v>
      </c>
      <c r="Y43" s="3">
        <v>0</v>
      </c>
      <c r="Z43" s="3">
        <v>0</v>
      </c>
      <c r="AA43" s="3">
        <v>14.24</v>
      </c>
      <c r="AC43" s="2"/>
      <c r="AD43" s="2"/>
      <c r="AE43" s="2"/>
      <c r="AF43" s="2"/>
      <c r="AG43" s="2"/>
      <c r="AH43" s="2"/>
      <c r="AI43" s="2"/>
    </row>
    <row r="44" spans="1:35" x14ac:dyDescent="0.2">
      <c r="A44">
        <v>42</v>
      </c>
      <c r="B44" t="s">
        <v>101</v>
      </c>
      <c r="C44" s="2">
        <v>0</v>
      </c>
      <c r="D44" s="2">
        <v>4.9853576642335771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f>'[1]2_RetrofitMaterialIntensity'!AR48</f>
        <v>6.8605839416058396</v>
      </c>
      <c r="M44" s="2">
        <v>0</v>
      </c>
      <c r="N44" s="2">
        <v>0</v>
      </c>
      <c r="O44" s="2">
        <v>0</v>
      </c>
      <c r="P44" s="2">
        <v>16.655355993020226</v>
      </c>
      <c r="Q44" s="2">
        <v>0</v>
      </c>
      <c r="R44" s="2">
        <v>3.1225708597971376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C44" s="2"/>
      <c r="AD44" s="2"/>
      <c r="AE44" s="2"/>
      <c r="AF44" s="2"/>
      <c r="AG44" s="2"/>
      <c r="AH44" s="2"/>
      <c r="AI44" s="2"/>
    </row>
    <row r="45" spans="1:35" x14ac:dyDescent="0.2">
      <c r="A45">
        <v>43</v>
      </c>
      <c r="B45" t="s">
        <v>102</v>
      </c>
      <c r="C45" s="3">
        <v>2.92</v>
      </c>
      <c r="D45" s="3">
        <v>0</v>
      </c>
      <c r="E45" s="3">
        <v>2.44</v>
      </c>
      <c r="F45" s="3">
        <v>9.2899999999999991</v>
      </c>
      <c r="G45" s="3">
        <v>5.59</v>
      </c>
      <c r="H45" s="3">
        <v>0</v>
      </c>
      <c r="I45" s="3">
        <v>0</v>
      </c>
      <c r="J45" s="3">
        <v>638.85</v>
      </c>
      <c r="K45" s="3">
        <v>0.62</v>
      </c>
      <c r="L45" s="3">
        <v>2.0699999999999998</v>
      </c>
      <c r="M45" s="3">
        <v>6.41</v>
      </c>
      <c r="N45" s="3">
        <v>0</v>
      </c>
      <c r="O45" s="3">
        <v>7.87</v>
      </c>
      <c r="P45" s="3">
        <v>15.92</v>
      </c>
      <c r="Q45" s="3">
        <v>0.04</v>
      </c>
      <c r="R45" s="3">
        <v>6.42</v>
      </c>
      <c r="S45" s="3">
        <v>11.84</v>
      </c>
      <c r="T45" s="3">
        <v>532.97</v>
      </c>
      <c r="U45" s="3">
        <v>587.11</v>
      </c>
      <c r="V45" s="3">
        <v>135.49</v>
      </c>
      <c r="W45" s="3">
        <v>0</v>
      </c>
      <c r="X45" s="3">
        <v>51.39</v>
      </c>
      <c r="Y45" s="3">
        <v>4.34</v>
      </c>
      <c r="Z45" s="3">
        <v>2.2999999999999998</v>
      </c>
      <c r="AA45" s="3">
        <v>14.24</v>
      </c>
    </row>
    <row r="46" spans="1:35" x14ac:dyDescent="0.2">
      <c r="A46">
        <v>44</v>
      </c>
      <c r="B46" t="s">
        <v>103</v>
      </c>
      <c r="C46" s="2">
        <v>6.1</v>
      </c>
      <c r="D46" s="2">
        <v>0</v>
      </c>
      <c r="E46" s="2">
        <v>0</v>
      </c>
      <c r="F46" s="2">
        <v>278.05</v>
      </c>
      <c r="G46" s="2">
        <v>5.2</v>
      </c>
      <c r="H46" s="2">
        <v>0</v>
      </c>
      <c r="I46" s="2">
        <v>4.9000000000000004</v>
      </c>
      <c r="J46" s="2">
        <v>791.3</v>
      </c>
      <c r="K46" s="2">
        <v>0</v>
      </c>
      <c r="L46" s="2">
        <f>'[1]2_RetrofitMaterialIntensity'!AR50</f>
        <v>0</v>
      </c>
      <c r="M46" s="2">
        <v>0</v>
      </c>
      <c r="N46" s="2">
        <v>8.85</v>
      </c>
      <c r="O46" s="2">
        <v>0</v>
      </c>
      <c r="P46" s="2">
        <v>0</v>
      </c>
      <c r="Q46" s="2">
        <v>2.5499999999999998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30.099999999999998</v>
      </c>
      <c r="X46" s="2">
        <v>55.1</v>
      </c>
      <c r="Y46" s="2">
        <v>0</v>
      </c>
      <c r="Z46" s="2">
        <v>0</v>
      </c>
      <c r="AA46" s="2">
        <v>0</v>
      </c>
    </row>
    <row r="47" spans="1:35" x14ac:dyDescent="0.2">
      <c r="A47">
        <v>45</v>
      </c>
      <c r="B47" t="s">
        <v>104</v>
      </c>
      <c r="C47" s="2">
        <v>0</v>
      </c>
      <c r="D47" s="2">
        <v>7.0257550418101333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f>'[1]2_RetrofitMaterialIntensity'!AR51</f>
        <v>9.6684702410231189</v>
      </c>
      <c r="M47" s="2">
        <v>0</v>
      </c>
      <c r="N47" s="2">
        <v>0</v>
      </c>
      <c r="O47" s="2">
        <v>0</v>
      </c>
      <c r="P47" s="2">
        <v>20.84965095634567</v>
      </c>
      <c r="Q47" s="2">
        <v>0</v>
      </c>
      <c r="R47" s="2">
        <v>1.6851708178688014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</row>
    <row r="48" spans="1:35" x14ac:dyDescent="0.2">
      <c r="A48">
        <v>46</v>
      </c>
      <c r="B48" t="s">
        <v>105</v>
      </c>
      <c r="C48" s="2">
        <v>6.1</v>
      </c>
      <c r="D48" s="2">
        <v>0</v>
      </c>
      <c r="E48" s="2">
        <v>0</v>
      </c>
      <c r="F48" s="2">
        <v>278.05</v>
      </c>
      <c r="G48" s="2">
        <v>5.2</v>
      </c>
      <c r="H48" s="2">
        <v>0</v>
      </c>
      <c r="I48" s="2">
        <v>4.9000000000000004</v>
      </c>
      <c r="J48" s="2">
        <v>791.3</v>
      </c>
      <c r="K48" s="2">
        <v>0</v>
      </c>
      <c r="L48" s="2">
        <f>'[1]2_RetrofitMaterialIntensity'!AR52</f>
        <v>0</v>
      </c>
      <c r="M48" s="2">
        <v>0</v>
      </c>
      <c r="N48" s="2">
        <v>8.85</v>
      </c>
      <c r="O48" s="2">
        <v>0</v>
      </c>
      <c r="P48" s="2">
        <v>0</v>
      </c>
      <c r="Q48" s="2">
        <v>2.5499999999999998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30.099999999999998</v>
      </c>
      <c r="X48" s="2">
        <v>55.1</v>
      </c>
      <c r="Y48" s="2">
        <v>0</v>
      </c>
      <c r="Z48" s="2">
        <v>0</v>
      </c>
      <c r="AA48" s="2">
        <v>0</v>
      </c>
    </row>
    <row r="49" spans="1:27" x14ac:dyDescent="0.2">
      <c r="A49">
        <v>47</v>
      </c>
      <c r="B49" t="s">
        <v>106</v>
      </c>
      <c r="C49" s="2">
        <v>0</v>
      </c>
      <c r="D49" s="2">
        <v>7.1211894674321909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f>'[1]2_RetrofitMaterialIntensity'!AR53</f>
        <v>9.7998020194020956</v>
      </c>
      <c r="M49" s="2">
        <v>0</v>
      </c>
      <c r="N49" s="2">
        <v>0</v>
      </c>
      <c r="O49" s="2">
        <v>0</v>
      </c>
      <c r="P49" s="2">
        <v>11.297892250037087</v>
      </c>
      <c r="Q49" s="2">
        <v>0</v>
      </c>
      <c r="R49" s="2">
        <v>0.96765173401449667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</row>
    <row r="50" spans="1:27" x14ac:dyDescent="0.2">
      <c r="A50">
        <v>48</v>
      </c>
      <c r="B50" t="s">
        <v>107</v>
      </c>
      <c r="C50" s="2">
        <v>6.1</v>
      </c>
      <c r="D50" s="2">
        <v>0</v>
      </c>
      <c r="E50" s="2">
        <v>0</v>
      </c>
      <c r="F50" s="2">
        <v>278.05</v>
      </c>
      <c r="G50" s="2">
        <v>5.2</v>
      </c>
      <c r="H50" s="2">
        <v>0</v>
      </c>
      <c r="I50" s="2">
        <v>4.9000000000000004</v>
      </c>
      <c r="J50" s="2">
        <v>791.3</v>
      </c>
      <c r="K50" s="2">
        <v>0</v>
      </c>
      <c r="L50" s="2">
        <f>'[1]2_RetrofitMaterialIntensity'!AR54</f>
        <v>0</v>
      </c>
      <c r="M50" s="2">
        <v>0</v>
      </c>
      <c r="N50" s="2">
        <v>8.85</v>
      </c>
      <c r="O50" s="2">
        <v>0</v>
      </c>
      <c r="P50" s="2">
        <v>0</v>
      </c>
      <c r="Q50" s="2">
        <v>2.5499999999999998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30.099999999999998</v>
      </c>
      <c r="X50" s="2">
        <v>55.1</v>
      </c>
      <c r="Y50" s="2">
        <v>0</v>
      </c>
      <c r="Z50" s="2">
        <v>0</v>
      </c>
      <c r="AA50" s="2">
        <v>0</v>
      </c>
    </row>
    <row r="51" spans="1:27" x14ac:dyDescent="0.2">
      <c r="A51">
        <v>49</v>
      </c>
      <c r="B51" t="s">
        <v>108</v>
      </c>
      <c r="C51" s="2">
        <v>0</v>
      </c>
      <c r="D51" s="2">
        <v>4.7846753246753249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f>'[1]2_RetrofitMaterialIntensity'!AR55</f>
        <v>6.5844155844155834</v>
      </c>
      <c r="M51" s="2">
        <v>0</v>
      </c>
      <c r="N51" s="2">
        <v>0</v>
      </c>
      <c r="O51" s="2">
        <v>0</v>
      </c>
      <c r="P51" s="2">
        <v>22.590591891133556</v>
      </c>
      <c r="Q51" s="2">
        <v>0</v>
      </c>
      <c r="R51" s="2">
        <v>2.4587328965677178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</row>
    <row r="52" spans="1:27" x14ac:dyDescent="0.2">
      <c r="A52">
        <v>50</v>
      </c>
      <c r="B52" t="s">
        <v>109</v>
      </c>
      <c r="C52" s="2">
        <v>6.1</v>
      </c>
      <c r="D52" s="2">
        <v>0</v>
      </c>
      <c r="E52" s="2">
        <v>0</v>
      </c>
      <c r="F52" s="2">
        <v>278.05</v>
      </c>
      <c r="G52" s="2">
        <v>5.2</v>
      </c>
      <c r="H52" s="2">
        <v>0</v>
      </c>
      <c r="I52" s="2">
        <v>4.9000000000000004</v>
      </c>
      <c r="J52" s="2">
        <v>791.3</v>
      </c>
      <c r="K52" s="2">
        <v>0</v>
      </c>
      <c r="L52" s="2">
        <f>'[1]2_RetrofitMaterialIntensity'!AR56</f>
        <v>0</v>
      </c>
      <c r="M52" s="2">
        <v>0</v>
      </c>
      <c r="N52" s="2">
        <v>8.85</v>
      </c>
      <c r="O52" s="2">
        <v>0</v>
      </c>
      <c r="P52" s="2">
        <v>0</v>
      </c>
      <c r="Q52" s="2">
        <v>2.5499999999999998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30.099999999999998</v>
      </c>
      <c r="X52" s="2">
        <v>55.1</v>
      </c>
      <c r="Y52" s="2">
        <v>0</v>
      </c>
      <c r="Z52" s="2">
        <v>0</v>
      </c>
      <c r="AA52" s="2">
        <v>0</v>
      </c>
    </row>
    <row r="53" spans="1:27" x14ac:dyDescent="0.2">
      <c r="A53">
        <v>51</v>
      </c>
      <c r="B53" t="s">
        <v>110</v>
      </c>
      <c r="C53" s="2">
        <v>0</v>
      </c>
      <c r="D53" s="2">
        <v>5.6092980437284234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f>'[1]2_RetrofitMaterialIntensity'!AR57</f>
        <v>7.7192174913693901</v>
      </c>
      <c r="M53" s="2">
        <v>0</v>
      </c>
      <c r="N53" s="2">
        <v>0</v>
      </c>
      <c r="O53" s="2">
        <v>0</v>
      </c>
      <c r="P53" s="2">
        <v>14.814789980296306</v>
      </c>
      <c r="Q53" s="2">
        <v>0</v>
      </c>
      <c r="R53" s="2">
        <v>1.4328285111512962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</row>
    <row r="54" spans="1:27" x14ac:dyDescent="0.2">
      <c r="A54">
        <v>52</v>
      </c>
      <c r="B54" t="s">
        <v>111</v>
      </c>
      <c r="C54" s="2">
        <v>6.1</v>
      </c>
      <c r="D54" s="2">
        <v>0</v>
      </c>
      <c r="E54" s="2">
        <v>0</v>
      </c>
      <c r="F54" s="2">
        <v>278.05</v>
      </c>
      <c r="G54" s="2">
        <v>5.2</v>
      </c>
      <c r="H54" s="2">
        <v>0</v>
      </c>
      <c r="I54" s="2">
        <v>4.9000000000000004</v>
      </c>
      <c r="J54" s="2">
        <v>791.3</v>
      </c>
      <c r="K54" s="2">
        <v>0</v>
      </c>
      <c r="L54" s="2">
        <f>'[1]2_RetrofitMaterialIntensity'!AR58</f>
        <v>0</v>
      </c>
      <c r="M54" s="2">
        <v>0</v>
      </c>
      <c r="N54" s="2">
        <v>8.85</v>
      </c>
      <c r="O54" s="2">
        <v>0</v>
      </c>
      <c r="P54" s="2">
        <v>0</v>
      </c>
      <c r="Q54" s="2">
        <v>2.5499999999999998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30.099999999999998</v>
      </c>
      <c r="X54" s="2">
        <v>55.1</v>
      </c>
      <c r="Y54" s="2">
        <v>0</v>
      </c>
      <c r="Z54" s="2">
        <v>0</v>
      </c>
      <c r="AA54" s="2">
        <v>0</v>
      </c>
    </row>
    <row r="55" spans="1:27" x14ac:dyDescent="0.2">
      <c r="A55">
        <v>53</v>
      </c>
      <c r="B55" t="s">
        <v>112</v>
      </c>
      <c r="C55" s="2">
        <v>0</v>
      </c>
      <c r="D55" s="2">
        <v>5.3543765069551776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f>'[1]2_RetrofitMaterialIntensity'!AR59</f>
        <v>7.368408037094281</v>
      </c>
      <c r="M55" s="2">
        <v>0</v>
      </c>
      <c r="N55" s="2">
        <v>0</v>
      </c>
      <c r="O55" s="2">
        <v>0</v>
      </c>
      <c r="P55" s="2">
        <v>14.504071166065602</v>
      </c>
      <c r="Q55" s="2">
        <v>0</v>
      </c>
      <c r="R55" s="2">
        <v>1.4364037816897171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</row>
    <row r="56" spans="1:27" x14ac:dyDescent="0.2">
      <c r="A56">
        <v>54</v>
      </c>
      <c r="B56" t="s">
        <v>113</v>
      </c>
      <c r="C56" s="3">
        <v>6.61</v>
      </c>
      <c r="D56" s="3">
        <v>0</v>
      </c>
      <c r="E56" s="3">
        <v>4.7</v>
      </c>
      <c r="F56" s="3">
        <v>55.44</v>
      </c>
      <c r="G56" s="3">
        <v>4.7</v>
      </c>
      <c r="H56" s="3">
        <v>0</v>
      </c>
      <c r="I56" s="3">
        <v>0</v>
      </c>
      <c r="J56" s="3">
        <v>750.2</v>
      </c>
      <c r="K56" s="3">
        <v>0.12</v>
      </c>
      <c r="L56" s="3">
        <v>1.96</v>
      </c>
      <c r="M56" s="3">
        <v>12.5</v>
      </c>
      <c r="N56" s="3">
        <v>0</v>
      </c>
      <c r="O56" s="3">
        <v>7.86</v>
      </c>
      <c r="P56" s="3">
        <v>6.39</v>
      </c>
      <c r="Q56" s="3">
        <v>0.01</v>
      </c>
      <c r="R56" s="3">
        <v>1.35</v>
      </c>
      <c r="S56" s="3">
        <v>6.13</v>
      </c>
      <c r="T56" s="3">
        <v>284.48</v>
      </c>
      <c r="U56" s="3">
        <v>571.89</v>
      </c>
      <c r="V56" s="3">
        <v>105.79</v>
      </c>
      <c r="W56" s="3">
        <v>0</v>
      </c>
      <c r="X56" s="3">
        <v>0</v>
      </c>
      <c r="Y56" s="3">
        <v>0</v>
      </c>
      <c r="Z56" s="3">
        <v>0</v>
      </c>
      <c r="AA56" s="3">
        <v>0.69</v>
      </c>
    </row>
    <row r="57" spans="1:27" x14ac:dyDescent="0.2">
      <c r="A57">
        <v>55</v>
      </c>
      <c r="B57" t="s">
        <v>114</v>
      </c>
      <c r="C57" s="2">
        <v>0</v>
      </c>
      <c r="D57" s="2">
        <v>5.3543765069551776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f>'[1]2_RetrofitMaterialIntensity'!AR61</f>
        <v>7.368408037094281</v>
      </c>
      <c r="M57" s="2">
        <v>0</v>
      </c>
      <c r="N57" s="2">
        <v>0</v>
      </c>
      <c r="O57" s="2">
        <v>0</v>
      </c>
      <c r="P57" s="2">
        <v>14.267125136995924</v>
      </c>
      <c r="Q57" s="2">
        <v>0</v>
      </c>
      <c r="R57" s="2">
        <v>1.5879831866356211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</row>
    <row r="58" spans="1:27" x14ac:dyDescent="0.2">
      <c r="A58">
        <v>56</v>
      </c>
      <c r="B58" t="s">
        <v>115</v>
      </c>
      <c r="C58" s="3">
        <v>0.1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454.2</v>
      </c>
      <c r="K58" s="3">
        <v>0</v>
      </c>
      <c r="L58" s="3">
        <v>3.8</v>
      </c>
      <c r="M58" s="3">
        <v>92.7</v>
      </c>
      <c r="N58" s="3">
        <v>51.4</v>
      </c>
      <c r="O58" s="3">
        <v>15.7</v>
      </c>
      <c r="P58" s="3">
        <v>11.3</v>
      </c>
      <c r="Q58" s="3">
        <v>1.1000000000000001</v>
      </c>
      <c r="R58" s="3">
        <v>0</v>
      </c>
      <c r="S58" s="3">
        <v>79.8</v>
      </c>
      <c r="T58" s="3">
        <v>0</v>
      </c>
      <c r="U58" s="3">
        <v>0</v>
      </c>
      <c r="V58" s="3">
        <v>94.8</v>
      </c>
      <c r="W58" s="3">
        <v>43.9</v>
      </c>
      <c r="X58" s="3">
        <v>73.099999999999994</v>
      </c>
      <c r="Y58" s="3">
        <v>0</v>
      </c>
      <c r="Z58" s="3">
        <v>0</v>
      </c>
      <c r="AA58" s="3">
        <v>0</v>
      </c>
    </row>
    <row r="59" spans="1:27" x14ac:dyDescent="0.2">
      <c r="A59">
        <v>57</v>
      </c>
      <c r="B59" t="s">
        <v>116</v>
      </c>
      <c r="C59" s="2">
        <v>0</v>
      </c>
      <c r="D59" s="2">
        <v>5.3543765069551776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f>'[1]2_RetrofitMaterialIntensity'!AR63</f>
        <v>7.368408037094281</v>
      </c>
      <c r="M59" s="2">
        <v>0</v>
      </c>
      <c r="N59" s="2">
        <v>0</v>
      </c>
      <c r="O59" s="2">
        <v>0</v>
      </c>
      <c r="P59" s="2">
        <v>14.267125136995924</v>
      </c>
      <c r="Q59" s="2">
        <v>0</v>
      </c>
      <c r="R59" s="2">
        <v>1.5879831866356211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</row>
    <row r="60" spans="1:27" x14ac:dyDescent="0.2">
      <c r="A60">
        <v>58</v>
      </c>
      <c r="B60" t="s">
        <v>117</v>
      </c>
      <c r="C60" s="3">
        <v>3.44</v>
      </c>
      <c r="D60" s="3">
        <v>0</v>
      </c>
      <c r="E60" s="3">
        <v>4.7</v>
      </c>
      <c r="F60" s="3">
        <v>10.49</v>
      </c>
      <c r="G60" s="3">
        <v>4.7</v>
      </c>
      <c r="H60" s="3">
        <v>0</v>
      </c>
      <c r="I60" s="3">
        <v>0</v>
      </c>
      <c r="J60" s="3">
        <v>678.46</v>
      </c>
      <c r="K60" s="3">
        <v>0.16</v>
      </c>
      <c r="L60" s="3">
        <v>1.96</v>
      </c>
      <c r="M60" s="3">
        <v>12.5</v>
      </c>
      <c r="N60" s="3">
        <v>0</v>
      </c>
      <c r="O60" s="3">
        <v>7.86</v>
      </c>
      <c r="P60" s="3">
        <v>18.03</v>
      </c>
      <c r="Q60" s="3">
        <v>0.01</v>
      </c>
      <c r="R60" s="3">
        <v>1.43</v>
      </c>
      <c r="S60" s="3">
        <v>6.13</v>
      </c>
      <c r="T60" s="3">
        <v>284.48</v>
      </c>
      <c r="U60" s="3">
        <v>571.89</v>
      </c>
      <c r="V60" s="3">
        <v>105.79</v>
      </c>
      <c r="W60" s="3">
        <v>0</v>
      </c>
      <c r="X60" s="3">
        <v>0</v>
      </c>
      <c r="Y60" s="3">
        <v>4.92</v>
      </c>
      <c r="Z60" s="3">
        <v>0.25</v>
      </c>
      <c r="AA60" s="3">
        <v>0.69</v>
      </c>
    </row>
    <row r="61" spans="1:27" x14ac:dyDescent="0.2">
      <c r="A61">
        <v>59</v>
      </c>
      <c r="B61" t="s">
        <v>118</v>
      </c>
      <c r="C61" s="3">
        <v>0.1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454.2</v>
      </c>
      <c r="K61" s="3">
        <v>0.2</v>
      </c>
      <c r="L61" s="3">
        <v>3.8</v>
      </c>
      <c r="M61" s="3">
        <v>92.7</v>
      </c>
      <c r="N61" s="3">
        <v>51.4</v>
      </c>
      <c r="O61" s="3">
        <v>15.7</v>
      </c>
      <c r="P61" s="3">
        <v>18</v>
      </c>
      <c r="Q61" s="3">
        <v>1.1000000000000001</v>
      </c>
      <c r="R61" s="3">
        <v>1.4</v>
      </c>
      <c r="S61" s="3">
        <v>79.8</v>
      </c>
      <c r="T61" s="3">
        <v>0</v>
      </c>
      <c r="U61" s="3">
        <v>0</v>
      </c>
      <c r="V61" s="3">
        <v>94.8</v>
      </c>
      <c r="W61" s="3">
        <v>43.9</v>
      </c>
      <c r="X61" s="3">
        <v>73.099999999999994</v>
      </c>
      <c r="Y61" s="3">
        <v>0</v>
      </c>
      <c r="Z61" s="3">
        <v>0.2</v>
      </c>
      <c r="AA61" s="3">
        <v>0</v>
      </c>
    </row>
    <row r="62" spans="1:27" x14ac:dyDescent="0.2">
      <c r="A62">
        <v>60</v>
      </c>
      <c r="B62" t="s">
        <v>119</v>
      </c>
      <c r="C62" s="2">
        <v>6.1</v>
      </c>
      <c r="D62" s="2">
        <v>0</v>
      </c>
      <c r="E62" s="2">
        <v>0</v>
      </c>
      <c r="F62" s="2">
        <v>310.3</v>
      </c>
      <c r="G62" s="2">
        <v>5.2</v>
      </c>
      <c r="H62" s="2">
        <v>0</v>
      </c>
      <c r="I62" s="2">
        <v>4.9000000000000004</v>
      </c>
      <c r="J62" s="2">
        <v>883.1</v>
      </c>
      <c r="K62" s="2">
        <v>0</v>
      </c>
      <c r="L62" s="2">
        <f>'[1]2_RetrofitMaterialIntensity'!AR66</f>
        <v>0</v>
      </c>
      <c r="M62" s="2">
        <v>0</v>
      </c>
      <c r="N62" s="2">
        <v>11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33.299999999999997</v>
      </c>
      <c r="X62" s="2">
        <v>49.1</v>
      </c>
      <c r="Y62" s="2">
        <v>0</v>
      </c>
      <c r="Z62" s="2">
        <v>0</v>
      </c>
      <c r="AA62" s="2">
        <v>0</v>
      </c>
    </row>
    <row r="63" spans="1:27" x14ac:dyDescent="0.2">
      <c r="A63">
        <v>61</v>
      </c>
      <c r="B63" t="s">
        <v>120</v>
      </c>
      <c r="C63" s="2">
        <v>0</v>
      </c>
      <c r="D63" s="2">
        <v>5.8437519379844964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f>'[1]2_RetrofitMaterialIntensity'!AR67</f>
        <v>8.0418604651162795</v>
      </c>
      <c r="M63" s="2">
        <v>0</v>
      </c>
      <c r="N63" s="2">
        <v>0</v>
      </c>
      <c r="O63" s="2">
        <v>0</v>
      </c>
      <c r="P63" s="2">
        <v>21.048625219795003</v>
      </c>
      <c r="Q63" s="2">
        <v>0</v>
      </c>
      <c r="R63" s="2">
        <v>1.6460854915433407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</row>
    <row r="64" spans="1:27" x14ac:dyDescent="0.2">
      <c r="A64">
        <v>62</v>
      </c>
      <c r="B64" t="s">
        <v>121</v>
      </c>
      <c r="C64" s="2">
        <v>6.1</v>
      </c>
      <c r="D64" s="2">
        <v>0</v>
      </c>
      <c r="E64" s="2">
        <v>0</v>
      </c>
      <c r="F64" s="2">
        <v>310.3</v>
      </c>
      <c r="G64" s="2">
        <v>5.2</v>
      </c>
      <c r="H64" s="2">
        <v>0</v>
      </c>
      <c r="I64" s="2">
        <v>4.9000000000000004</v>
      </c>
      <c r="J64" s="2">
        <v>883.1</v>
      </c>
      <c r="K64" s="2">
        <v>0</v>
      </c>
      <c r="L64" s="2">
        <f>'[1]2_RetrofitMaterialIntensity'!AR68</f>
        <v>0</v>
      </c>
      <c r="M64" s="2">
        <v>0</v>
      </c>
      <c r="N64" s="2">
        <v>11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33.299999999999997</v>
      </c>
      <c r="X64" s="2">
        <v>49.1</v>
      </c>
      <c r="Y64" s="2">
        <v>0</v>
      </c>
      <c r="Z64" s="2">
        <v>0</v>
      </c>
      <c r="AA64" s="2">
        <v>0</v>
      </c>
    </row>
    <row r="65" spans="1:27" x14ac:dyDescent="0.2">
      <c r="A65">
        <v>63</v>
      </c>
      <c r="B65" t="s">
        <v>122</v>
      </c>
      <c r="C65" s="2">
        <v>0</v>
      </c>
      <c r="D65" s="2">
        <v>6.2568831168831167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f>'[1]2_RetrofitMaterialIntensity'!AR69</f>
        <v>8.6103896103896087</v>
      </c>
      <c r="M65" s="2">
        <v>0</v>
      </c>
      <c r="N65" s="2">
        <v>0</v>
      </c>
      <c r="O65" s="2">
        <v>0</v>
      </c>
      <c r="P65" s="2">
        <v>12.731291656457209</v>
      </c>
      <c r="Q65" s="2">
        <v>0</v>
      </c>
      <c r="R65" s="2">
        <v>0.66673520555032295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</row>
    <row r="66" spans="1:27" x14ac:dyDescent="0.2">
      <c r="A66">
        <v>64</v>
      </c>
      <c r="B66" t="s">
        <v>123</v>
      </c>
      <c r="C66" s="2">
        <v>6.1</v>
      </c>
      <c r="D66" s="2">
        <v>0</v>
      </c>
      <c r="E66" s="2">
        <v>0</v>
      </c>
      <c r="F66" s="2">
        <v>310.3</v>
      </c>
      <c r="G66" s="2">
        <v>5.2</v>
      </c>
      <c r="H66" s="2">
        <v>0</v>
      </c>
      <c r="I66" s="2">
        <v>4.9000000000000004</v>
      </c>
      <c r="J66" s="2">
        <v>883.1</v>
      </c>
      <c r="K66" s="2">
        <v>0</v>
      </c>
      <c r="L66" s="2">
        <f>'[1]2_RetrofitMaterialIntensity'!AR70</f>
        <v>0</v>
      </c>
      <c r="M66" s="2">
        <v>0</v>
      </c>
      <c r="N66" s="2">
        <v>11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33.299999999999997</v>
      </c>
      <c r="X66" s="2">
        <v>49.1</v>
      </c>
      <c r="Y66" s="2">
        <v>0</v>
      </c>
      <c r="Z66" s="2">
        <v>0</v>
      </c>
      <c r="AA66" s="2">
        <v>0</v>
      </c>
    </row>
    <row r="67" spans="1:27" x14ac:dyDescent="0.2">
      <c r="A67">
        <v>65</v>
      </c>
      <c r="B67" t="s">
        <v>124</v>
      </c>
      <c r="C67" s="2">
        <v>0</v>
      </c>
      <c r="D67" s="2">
        <v>5.1527272727272724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f>'[1]2_RetrofitMaterialIntensity'!AR71</f>
        <v>7.0909090909090899</v>
      </c>
      <c r="M67" s="2">
        <v>0</v>
      </c>
      <c r="N67" s="2">
        <v>0</v>
      </c>
      <c r="O67" s="2">
        <v>0</v>
      </c>
      <c r="P67" s="2">
        <v>19.778008689839574</v>
      </c>
      <c r="Q67" s="2">
        <v>0</v>
      </c>
      <c r="R67" s="2">
        <v>1.6930044843549306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</row>
    <row r="68" spans="1:27" x14ac:dyDescent="0.2">
      <c r="A68">
        <v>66</v>
      </c>
      <c r="B68" t="s">
        <v>125</v>
      </c>
      <c r="C68" s="2">
        <v>6.1</v>
      </c>
      <c r="D68" s="2">
        <v>0</v>
      </c>
      <c r="E68" s="2">
        <v>0</v>
      </c>
      <c r="F68" s="2">
        <v>310.3</v>
      </c>
      <c r="G68" s="2">
        <v>5.2</v>
      </c>
      <c r="H68" s="2">
        <v>0</v>
      </c>
      <c r="I68" s="2">
        <v>4.9000000000000004</v>
      </c>
      <c r="J68" s="2">
        <v>883.1</v>
      </c>
      <c r="K68" s="2">
        <v>0</v>
      </c>
      <c r="L68" s="2">
        <f>'[1]2_RetrofitMaterialIntensity'!AR72</f>
        <v>0</v>
      </c>
      <c r="M68" s="2">
        <v>0</v>
      </c>
      <c r="N68" s="2">
        <v>11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33.299999999999997</v>
      </c>
      <c r="X68" s="2">
        <v>49.1</v>
      </c>
      <c r="Y68" s="2">
        <v>0</v>
      </c>
      <c r="Z68" s="2">
        <v>0</v>
      </c>
      <c r="AA68" s="2">
        <v>0</v>
      </c>
    </row>
    <row r="69" spans="1:27" x14ac:dyDescent="0.2">
      <c r="A69">
        <v>67</v>
      </c>
      <c r="B69" t="s">
        <v>126</v>
      </c>
      <c r="C69" s="2">
        <v>0</v>
      </c>
      <c r="D69" s="2">
        <v>5.5297560975609761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f>'[1]2_RetrofitMaterialIntensity'!AR73</f>
        <v>7.6097560975609753</v>
      </c>
      <c r="M69" s="2">
        <v>0</v>
      </c>
      <c r="N69" s="2">
        <v>0</v>
      </c>
      <c r="O69" s="2">
        <v>0</v>
      </c>
      <c r="P69" s="2">
        <v>17.718482195311463</v>
      </c>
      <c r="Q69" s="2">
        <v>0</v>
      </c>
      <c r="R69" s="2">
        <v>1.4017875140380689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</row>
    <row r="70" spans="1:27" x14ac:dyDescent="0.2">
      <c r="A70">
        <v>68</v>
      </c>
      <c r="B70" t="s">
        <v>127</v>
      </c>
      <c r="C70" s="2">
        <v>6.1</v>
      </c>
      <c r="D70" s="2">
        <v>0</v>
      </c>
      <c r="E70" s="2">
        <v>0</v>
      </c>
      <c r="F70" s="2">
        <v>310.3</v>
      </c>
      <c r="G70" s="2">
        <v>5.2</v>
      </c>
      <c r="H70" s="2">
        <v>0</v>
      </c>
      <c r="I70" s="2">
        <v>4.9000000000000004</v>
      </c>
      <c r="J70" s="2">
        <v>883.1</v>
      </c>
      <c r="K70" s="2">
        <v>0</v>
      </c>
      <c r="L70" s="2">
        <f>'[1]2_RetrofitMaterialIntensity'!AR74</f>
        <v>0</v>
      </c>
      <c r="M70" s="2">
        <v>0</v>
      </c>
      <c r="N70" s="2">
        <v>11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33.299999999999997</v>
      </c>
      <c r="X70" s="2">
        <v>49.1</v>
      </c>
      <c r="Y70" s="2">
        <v>0</v>
      </c>
      <c r="Z70" s="2">
        <v>0</v>
      </c>
      <c r="AA70" s="2">
        <v>0</v>
      </c>
    </row>
    <row r="71" spans="1:27" x14ac:dyDescent="0.2">
      <c r="A71">
        <v>69</v>
      </c>
      <c r="B71" t="s">
        <v>128</v>
      </c>
      <c r="C71" s="2">
        <v>0</v>
      </c>
      <c r="D71" s="2">
        <v>6.213862796833773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f>'[1]2_RetrofitMaterialIntensity'!AR75</f>
        <v>8.5511873350923473</v>
      </c>
      <c r="M71" s="2">
        <v>0</v>
      </c>
      <c r="N71" s="2">
        <v>0</v>
      </c>
      <c r="O71" s="2">
        <v>0</v>
      </c>
      <c r="P71" s="2">
        <v>11.285619608574756</v>
      </c>
      <c r="Q71" s="2">
        <v>0</v>
      </c>
      <c r="R71" s="2">
        <v>1.2317526447611697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</row>
    <row r="72" spans="1:27" x14ac:dyDescent="0.2">
      <c r="A72">
        <v>70</v>
      </c>
      <c r="B72" t="s">
        <v>129</v>
      </c>
      <c r="C72" s="3">
        <v>6.61</v>
      </c>
      <c r="D72" s="3">
        <v>0</v>
      </c>
      <c r="E72" s="3">
        <v>4.7</v>
      </c>
      <c r="F72" s="3">
        <v>55.44</v>
      </c>
      <c r="G72" s="3">
        <v>4.7</v>
      </c>
      <c r="H72" s="3">
        <v>0</v>
      </c>
      <c r="I72" s="3">
        <v>0</v>
      </c>
      <c r="J72" s="3">
        <v>750.2</v>
      </c>
      <c r="K72" s="3">
        <v>0.12</v>
      </c>
      <c r="L72" s="3">
        <v>1.96</v>
      </c>
      <c r="M72" s="3">
        <v>12.5</v>
      </c>
      <c r="N72" s="3">
        <v>0</v>
      </c>
      <c r="O72" s="3">
        <v>7.86</v>
      </c>
      <c r="P72" s="3">
        <v>6.39</v>
      </c>
      <c r="Q72" s="3">
        <v>0.01</v>
      </c>
      <c r="R72" s="3">
        <v>1.35</v>
      </c>
      <c r="S72" s="3">
        <v>6.13</v>
      </c>
      <c r="T72" s="3">
        <v>284.48</v>
      </c>
      <c r="U72" s="3">
        <v>571.89</v>
      </c>
      <c r="V72" s="3">
        <v>105.79</v>
      </c>
      <c r="W72" s="3">
        <v>0</v>
      </c>
      <c r="X72" s="3">
        <v>0</v>
      </c>
      <c r="Y72" s="3">
        <v>0</v>
      </c>
      <c r="Z72" s="3">
        <v>0</v>
      </c>
      <c r="AA72" s="3">
        <v>0.69</v>
      </c>
    </row>
    <row r="73" spans="1:27" x14ac:dyDescent="0.2">
      <c r="A73">
        <v>71</v>
      </c>
      <c r="B73" t="s">
        <v>130</v>
      </c>
      <c r="C73" s="2">
        <v>0</v>
      </c>
      <c r="D73" s="2">
        <v>6.213862796833773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f>'[1]2_RetrofitMaterialIntensity'!AR77</f>
        <v>8.5511873350923473</v>
      </c>
      <c r="M73" s="2">
        <v>0</v>
      </c>
      <c r="N73" s="2">
        <v>0</v>
      </c>
      <c r="O73" s="2">
        <v>0</v>
      </c>
      <c r="P73" s="2">
        <v>11.122683919227457</v>
      </c>
      <c r="Q73" s="2">
        <v>0</v>
      </c>
      <c r="R73" s="2">
        <v>1.3618715037436178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</row>
    <row r="74" spans="1:27" x14ac:dyDescent="0.2">
      <c r="A74">
        <v>72</v>
      </c>
      <c r="B74" t="s">
        <v>131</v>
      </c>
      <c r="C74" s="3">
        <v>3.44</v>
      </c>
      <c r="D74" s="3">
        <v>0</v>
      </c>
      <c r="E74" s="3">
        <v>4.7</v>
      </c>
      <c r="F74" s="3">
        <v>10.49</v>
      </c>
      <c r="G74" s="3">
        <v>4.7</v>
      </c>
      <c r="H74" s="3">
        <v>0</v>
      </c>
      <c r="I74" s="3">
        <v>0</v>
      </c>
      <c r="J74" s="3">
        <v>678.46</v>
      </c>
      <c r="K74" s="3">
        <v>0.16</v>
      </c>
      <c r="L74" s="3">
        <v>1.96</v>
      </c>
      <c r="M74" s="3">
        <v>12.5</v>
      </c>
      <c r="N74" s="3">
        <v>0</v>
      </c>
      <c r="O74" s="3">
        <v>7.86</v>
      </c>
      <c r="P74" s="3">
        <v>18.03</v>
      </c>
      <c r="Q74" s="3">
        <v>0.01</v>
      </c>
      <c r="R74" s="3">
        <v>1.43</v>
      </c>
      <c r="S74" s="3">
        <v>6.13</v>
      </c>
      <c r="T74" s="3">
        <v>284.48</v>
      </c>
      <c r="U74" s="3">
        <v>571.89</v>
      </c>
      <c r="V74" s="3">
        <v>105.79</v>
      </c>
      <c r="W74" s="3">
        <v>0</v>
      </c>
      <c r="X74" s="3">
        <v>0</v>
      </c>
      <c r="Y74" s="3">
        <v>4.92</v>
      </c>
      <c r="Z74" s="3">
        <v>0.25</v>
      </c>
      <c r="AA74" s="3">
        <v>0.69</v>
      </c>
    </row>
    <row r="75" spans="1:27" x14ac:dyDescent="0.2">
      <c r="P75" s="2"/>
    </row>
    <row r="86" spans="2:3" x14ac:dyDescent="0.2">
      <c r="B86" s="2"/>
      <c r="C86" s="2"/>
    </row>
    <row r="87" spans="2:3" x14ac:dyDescent="0.2">
      <c r="B87" s="2"/>
      <c r="C87" s="2"/>
    </row>
    <row r="88" spans="2:3" x14ac:dyDescent="0.2">
      <c r="B88" s="2"/>
      <c r="C88" s="2"/>
    </row>
    <row r="89" spans="2:3" x14ac:dyDescent="0.2">
      <c r="B89" s="2"/>
      <c r="C89" s="2"/>
    </row>
    <row r="90" spans="2:3" x14ac:dyDescent="0.2">
      <c r="B90" s="2"/>
      <c r="C90" s="2"/>
    </row>
    <row r="91" spans="2:3" x14ac:dyDescent="0.2">
      <c r="B91" s="2"/>
      <c r="C91" s="2"/>
    </row>
    <row r="92" spans="2:3" x14ac:dyDescent="0.2">
      <c r="B92" s="2"/>
      <c r="C92" s="2"/>
    </row>
    <row r="93" spans="2:3" x14ac:dyDescent="0.2">
      <c r="B93" s="2"/>
      <c r="C93" s="2"/>
    </row>
    <row r="94" spans="2:3" x14ac:dyDescent="0.2">
      <c r="B94" s="2"/>
      <c r="C94" s="2"/>
    </row>
    <row r="95" spans="2:3" x14ac:dyDescent="0.2">
      <c r="B95" s="2"/>
      <c r="C95" s="2"/>
    </row>
    <row r="96" spans="2:3" x14ac:dyDescent="0.2">
      <c r="B96" s="2"/>
      <c r="C96" s="2"/>
    </row>
    <row r="97" spans="2:3" x14ac:dyDescent="0.2">
      <c r="B97" s="2"/>
      <c r="C97" s="2"/>
    </row>
    <row r="98" spans="2:3" x14ac:dyDescent="0.2">
      <c r="B98" s="2"/>
      <c r="C98" s="2"/>
    </row>
    <row r="99" spans="2:3" x14ac:dyDescent="0.2">
      <c r="B99" s="2"/>
      <c r="C99" s="2"/>
    </row>
    <row r="100" spans="2:3" x14ac:dyDescent="0.2">
      <c r="B100" s="2"/>
      <c r="C100" s="2"/>
    </row>
    <row r="101" spans="2:3" x14ac:dyDescent="0.2">
      <c r="B101" s="2"/>
      <c r="C101" s="2"/>
    </row>
    <row r="102" spans="2:3" x14ac:dyDescent="0.2">
      <c r="B102" s="2"/>
      <c r="C102" s="2"/>
    </row>
    <row r="103" spans="2:3" x14ac:dyDescent="0.2">
      <c r="B103" s="2"/>
      <c r="C103" s="2"/>
    </row>
    <row r="104" spans="2:3" x14ac:dyDescent="0.2">
      <c r="B104" s="2"/>
      <c r="C104" s="2"/>
    </row>
    <row r="105" spans="2:3" x14ac:dyDescent="0.2">
      <c r="B105" s="2"/>
      <c r="C105" s="2"/>
    </row>
    <row r="106" spans="2:3" x14ac:dyDescent="0.2">
      <c r="B106" s="2"/>
      <c r="C106" s="2"/>
    </row>
    <row r="107" spans="2:3" x14ac:dyDescent="0.2">
      <c r="B107" s="2"/>
      <c r="C107" s="2"/>
    </row>
    <row r="108" spans="2:3" x14ac:dyDescent="0.2">
      <c r="B108" s="2"/>
      <c r="C108" s="2"/>
    </row>
  </sheetData>
  <conditionalFormatting sqref="C3:AA7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">
      <colorScale>
        <cfvo type="min"/>
        <cfvo type="max"/>
        <color rgb="FFFFEF9C"/>
        <color rgb="FF63BE7B"/>
      </colorScale>
    </cfRule>
  </conditionalFormatting>
  <conditionalFormatting sqref="N75">
    <cfRule type="colorScale" priority="56">
      <colorScale>
        <cfvo type="min"/>
        <cfvo type="max"/>
        <color rgb="FFFCFCFF"/>
        <color rgb="FF63BE7B"/>
      </colorScale>
    </cfRule>
  </conditionalFormatting>
  <conditionalFormatting sqref="X75">
    <cfRule type="colorScale" priority="5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5508C-1033-BE47-91A1-8FE0F4A357A3}">
  <dimension ref="B2:AA5"/>
  <sheetViews>
    <sheetView workbookViewId="0">
      <selection activeCell="D16" sqref="D16"/>
    </sheetView>
  </sheetViews>
  <sheetFormatPr baseColWidth="10" defaultRowHeight="16" x14ac:dyDescent="0.2"/>
  <sheetData>
    <row r="2" spans="2:27" x14ac:dyDescent="0.2">
      <c r="B2" t="s">
        <v>132</v>
      </c>
    </row>
    <row r="3" spans="2:27" x14ac:dyDescent="0.2">
      <c r="B3" s="1" t="s">
        <v>133</v>
      </c>
      <c r="C3" s="2">
        <v>6.1</v>
      </c>
      <c r="D3" s="2">
        <v>0</v>
      </c>
      <c r="E3" s="2">
        <v>0</v>
      </c>
      <c r="F3" s="2">
        <v>310.3</v>
      </c>
      <c r="G3" s="2">
        <v>5.2</v>
      </c>
      <c r="H3" s="2">
        <v>0</v>
      </c>
      <c r="I3" s="2">
        <v>4.9000000000000004</v>
      </c>
      <c r="J3" s="2">
        <v>883.1</v>
      </c>
      <c r="K3" s="2">
        <v>0</v>
      </c>
      <c r="L3" s="2">
        <v>0</v>
      </c>
      <c r="M3" s="2">
        <v>0</v>
      </c>
      <c r="N3" s="2">
        <v>11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33.299999999999997</v>
      </c>
      <c r="X3" s="2">
        <v>49.1</v>
      </c>
      <c r="Y3" s="2">
        <v>0</v>
      </c>
      <c r="Z3" s="2">
        <v>0</v>
      </c>
      <c r="AA3" s="2">
        <v>0</v>
      </c>
    </row>
    <row r="4" spans="2:27" x14ac:dyDescent="0.2">
      <c r="B4" s="1" t="s">
        <v>134</v>
      </c>
      <c r="C4" s="2">
        <v>6.1</v>
      </c>
      <c r="D4" s="2">
        <v>0</v>
      </c>
      <c r="E4" s="2">
        <v>0</v>
      </c>
      <c r="F4" s="2">
        <v>245.8</v>
      </c>
      <c r="G4" s="2">
        <v>5.2</v>
      </c>
      <c r="H4" s="2">
        <v>0</v>
      </c>
      <c r="I4" s="2">
        <v>4.9000000000000004</v>
      </c>
      <c r="J4" s="2">
        <v>699.5</v>
      </c>
      <c r="K4" s="2">
        <v>0</v>
      </c>
      <c r="L4" s="2">
        <v>0</v>
      </c>
      <c r="M4" s="2">
        <v>0</v>
      </c>
      <c r="N4" s="2">
        <v>6.7</v>
      </c>
      <c r="O4" s="2">
        <v>0</v>
      </c>
      <c r="P4" s="2">
        <v>0</v>
      </c>
      <c r="Q4" s="2">
        <v>5.0999999999999996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26.9</v>
      </c>
      <c r="X4" s="2">
        <v>61.1</v>
      </c>
      <c r="Y4" s="2">
        <v>0</v>
      </c>
      <c r="Z4" s="2">
        <v>0</v>
      </c>
      <c r="AA4" s="2">
        <v>0</v>
      </c>
    </row>
    <row r="5" spans="2:27" x14ac:dyDescent="0.2">
      <c r="B5" s="2" t="s">
        <v>135</v>
      </c>
      <c r="C5" s="2">
        <f t="shared" ref="C5:AA5" si="0">AVERAGE(C3:C4)</f>
        <v>6.1</v>
      </c>
      <c r="D5" s="2">
        <f t="shared" si="0"/>
        <v>0</v>
      </c>
      <c r="E5" s="2">
        <f t="shared" si="0"/>
        <v>0</v>
      </c>
      <c r="F5" s="2">
        <f t="shared" si="0"/>
        <v>278.05</v>
      </c>
      <c r="G5" s="2">
        <f t="shared" si="0"/>
        <v>5.2</v>
      </c>
      <c r="H5" s="2">
        <f t="shared" si="0"/>
        <v>0</v>
      </c>
      <c r="I5" s="2">
        <f t="shared" si="0"/>
        <v>4.9000000000000004</v>
      </c>
      <c r="J5" s="2">
        <f t="shared" si="0"/>
        <v>791.3</v>
      </c>
      <c r="K5" s="2">
        <f t="shared" si="0"/>
        <v>0</v>
      </c>
      <c r="L5" s="2">
        <f t="shared" si="0"/>
        <v>0</v>
      </c>
      <c r="M5" s="2">
        <f t="shared" si="0"/>
        <v>0</v>
      </c>
      <c r="N5" s="2">
        <f t="shared" si="0"/>
        <v>8.85</v>
      </c>
      <c r="O5" s="2">
        <f t="shared" si="0"/>
        <v>0</v>
      </c>
      <c r="P5" s="2">
        <f t="shared" si="0"/>
        <v>0</v>
      </c>
      <c r="Q5" s="2">
        <f t="shared" si="0"/>
        <v>2.5499999999999998</v>
      </c>
      <c r="R5" s="2">
        <f t="shared" si="0"/>
        <v>0</v>
      </c>
      <c r="S5" s="2">
        <f t="shared" si="0"/>
        <v>0</v>
      </c>
      <c r="T5" s="2">
        <f t="shared" si="0"/>
        <v>0</v>
      </c>
      <c r="U5" s="2">
        <f t="shared" si="0"/>
        <v>0</v>
      </c>
      <c r="V5" s="2">
        <f t="shared" si="0"/>
        <v>0</v>
      </c>
      <c r="W5" s="2">
        <f t="shared" si="0"/>
        <v>30.099999999999998</v>
      </c>
      <c r="X5" s="2">
        <f t="shared" si="0"/>
        <v>55.1</v>
      </c>
      <c r="Y5" s="2">
        <f t="shared" si="0"/>
        <v>0</v>
      </c>
      <c r="Z5" s="2">
        <f t="shared" si="0"/>
        <v>0</v>
      </c>
      <c r="AA5" s="2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FF041-AD6A-994C-A223-633D976C08CD}">
  <dimension ref="A1:BC91"/>
  <sheetViews>
    <sheetView zoomScale="59" zoomScaleNormal="34" workbookViewId="0">
      <pane xSplit="1" topLeftCell="B1" activePane="topRight" state="frozen"/>
      <selection pane="topRight" activeCell="AS27" sqref="AS27"/>
    </sheetView>
  </sheetViews>
  <sheetFormatPr baseColWidth="10" defaultColWidth="8.6640625" defaultRowHeight="16" x14ac:dyDescent="0.2"/>
  <cols>
    <col min="1" max="1" width="24.1640625" customWidth="1"/>
    <col min="2" max="2" width="8.1640625" customWidth="1"/>
    <col min="3" max="3" width="10.1640625" customWidth="1"/>
    <col min="4" max="4" width="8.6640625" customWidth="1"/>
    <col min="5" max="5" width="8.5" customWidth="1"/>
    <col min="8" max="8" width="10.6640625" customWidth="1"/>
    <col min="9" max="10" width="12.1640625" customWidth="1"/>
    <col min="14" max="14" width="8.6640625" customWidth="1"/>
    <col min="15" max="16" width="13.1640625" customWidth="1"/>
    <col min="20" max="20" width="10" customWidth="1"/>
    <col min="21" max="22" width="14.1640625" customWidth="1"/>
    <col min="23" max="23" width="14.6640625" bestFit="1" customWidth="1"/>
    <col min="24" max="24" width="11.5" customWidth="1"/>
    <col min="25" max="25" width="8.6640625" bestFit="1" customWidth="1"/>
    <col min="26" max="26" width="9.1640625" bestFit="1" customWidth="1"/>
    <col min="27" max="27" width="10.1640625" bestFit="1" customWidth="1"/>
    <col min="28" max="28" width="9.1640625" bestFit="1" customWidth="1"/>
    <col min="31" max="31" width="15.6640625" bestFit="1" customWidth="1"/>
    <col min="32" max="32" width="11" customWidth="1"/>
    <col min="35" max="35" width="14.6640625" bestFit="1" customWidth="1"/>
    <col min="36" max="36" width="17.5" customWidth="1"/>
    <col min="37" max="37" width="22" customWidth="1"/>
    <col min="39" max="39" width="12.1640625" customWidth="1"/>
    <col min="52" max="52" width="18.6640625" customWidth="1"/>
    <col min="53" max="53" width="17.5" customWidth="1"/>
    <col min="54" max="54" width="20.6640625" customWidth="1"/>
  </cols>
  <sheetData>
    <row r="1" spans="1:55" x14ac:dyDescent="0.2">
      <c r="A1" t="s">
        <v>142</v>
      </c>
      <c r="B1" t="s">
        <v>143</v>
      </c>
    </row>
    <row r="2" spans="1:55" x14ac:dyDescent="0.2">
      <c r="A2" t="s">
        <v>2</v>
      </c>
      <c r="B2" t="s">
        <v>144</v>
      </c>
    </row>
    <row r="3" spans="1:55" x14ac:dyDescent="0.2">
      <c r="A3" t="s">
        <v>145</v>
      </c>
      <c r="B3" t="s">
        <v>146</v>
      </c>
    </row>
    <row r="5" spans="1:55" x14ac:dyDescent="0.2">
      <c r="H5" t="s">
        <v>147</v>
      </c>
      <c r="N5" t="s">
        <v>148</v>
      </c>
      <c r="T5" t="s">
        <v>149</v>
      </c>
      <c r="AI5" s="1" t="s">
        <v>150</v>
      </c>
      <c r="AJ5" t="s">
        <v>151</v>
      </c>
      <c r="AZ5" s="1"/>
      <c r="BC5" s="1"/>
    </row>
    <row r="6" spans="1:55" x14ac:dyDescent="0.2">
      <c r="A6" s="1" t="s">
        <v>34</v>
      </c>
      <c r="B6" t="s">
        <v>152</v>
      </c>
      <c r="C6" t="s">
        <v>153</v>
      </c>
      <c r="D6" t="s">
        <v>154</v>
      </c>
      <c r="E6" t="s">
        <v>155</v>
      </c>
      <c r="F6" t="s">
        <v>156</v>
      </c>
      <c r="G6" t="s">
        <v>157</v>
      </c>
      <c r="H6" t="s">
        <v>152</v>
      </c>
      <c r="I6" t="s">
        <v>153</v>
      </c>
      <c r="J6" t="s">
        <v>154</v>
      </c>
      <c r="K6" t="s">
        <v>155</v>
      </c>
      <c r="L6" t="s">
        <v>156</v>
      </c>
      <c r="M6" t="s">
        <v>157</v>
      </c>
      <c r="N6" t="s">
        <v>152</v>
      </c>
      <c r="O6" t="s">
        <v>153</v>
      </c>
      <c r="P6" t="s">
        <v>154</v>
      </c>
      <c r="Q6" t="s">
        <v>155</v>
      </c>
      <c r="R6" t="s">
        <v>156</v>
      </c>
      <c r="S6" t="s">
        <v>157</v>
      </c>
      <c r="T6" s="1" t="s">
        <v>158</v>
      </c>
      <c r="U6" s="1" t="s">
        <v>37</v>
      </c>
      <c r="V6" s="1" t="s">
        <v>38</v>
      </c>
      <c r="W6" s="1" t="s">
        <v>39</v>
      </c>
      <c r="X6" s="1" t="s">
        <v>40</v>
      </c>
      <c r="Y6" s="1" t="s">
        <v>41</v>
      </c>
      <c r="Z6" s="1" t="s">
        <v>42</v>
      </c>
      <c r="AA6" s="1" t="s">
        <v>43</v>
      </c>
      <c r="AB6" s="1" t="s">
        <v>159</v>
      </c>
      <c r="AC6" s="1" t="s">
        <v>45</v>
      </c>
      <c r="AD6" s="1" t="s">
        <v>46</v>
      </c>
      <c r="AE6" s="1" t="s">
        <v>47</v>
      </c>
      <c r="AF6" s="1" t="s">
        <v>160</v>
      </c>
      <c r="AG6" s="1" t="s">
        <v>49</v>
      </c>
      <c r="AH6" s="1" t="s">
        <v>50</v>
      </c>
      <c r="AI6" s="1" t="s">
        <v>161</v>
      </c>
      <c r="AJ6" s="1" t="s">
        <v>158</v>
      </c>
      <c r="AK6" s="1" t="s">
        <v>37</v>
      </c>
      <c r="AL6" s="1" t="s">
        <v>38</v>
      </c>
      <c r="AM6" s="1" t="s">
        <v>39</v>
      </c>
      <c r="AN6" s="1" t="s">
        <v>40</v>
      </c>
      <c r="AO6" s="1" t="s">
        <v>41</v>
      </c>
      <c r="AP6" s="1" t="s">
        <v>42</v>
      </c>
      <c r="AQ6" s="1" t="s">
        <v>43</v>
      </c>
      <c r="AR6" s="1" t="s">
        <v>159</v>
      </c>
      <c r="AS6" s="1" t="s">
        <v>45</v>
      </c>
      <c r="AT6" s="1" t="s">
        <v>46</v>
      </c>
      <c r="AU6" s="1" t="s">
        <v>47</v>
      </c>
      <c r="AV6" s="1" t="s">
        <v>160</v>
      </c>
      <c r="AW6" s="1" t="s">
        <v>49</v>
      </c>
      <c r="AX6" s="1" t="s">
        <v>50</v>
      </c>
      <c r="AZ6" s="1"/>
      <c r="BA6" s="1"/>
      <c r="BC6" s="6"/>
    </row>
    <row r="7" spans="1:55" x14ac:dyDescent="0.2">
      <c r="A7" t="s">
        <v>60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AI7" s="6">
        <v>143</v>
      </c>
    </row>
    <row r="8" spans="1:55" x14ac:dyDescent="0.2">
      <c r="A8" t="s">
        <v>61</v>
      </c>
      <c r="B8" s="5">
        <v>1.54</v>
      </c>
      <c r="C8" s="5">
        <v>1.61</v>
      </c>
      <c r="D8" s="5">
        <v>1.72</v>
      </c>
      <c r="E8" s="5">
        <v>5.2</v>
      </c>
      <c r="F8" s="5">
        <v>2.9</v>
      </c>
      <c r="G8" s="5">
        <v>3.5</v>
      </c>
      <c r="H8" s="5">
        <v>128.1</v>
      </c>
      <c r="I8" s="5">
        <v>136.69999999999999</v>
      </c>
      <c r="J8" s="5">
        <v>93</v>
      </c>
      <c r="K8" s="5">
        <v>8</v>
      </c>
      <c r="L8" s="5">
        <v>20.3</v>
      </c>
      <c r="M8" s="5">
        <v>2.9</v>
      </c>
      <c r="N8" s="5">
        <v>0.15</v>
      </c>
      <c r="O8" s="5">
        <v>0.18</v>
      </c>
      <c r="P8" s="5">
        <v>0.18</v>
      </c>
      <c r="Q8" s="5">
        <v>1</v>
      </c>
      <c r="R8" s="5">
        <v>1</v>
      </c>
      <c r="S8" s="5">
        <v>1.4</v>
      </c>
      <c r="T8" s="7">
        <f>(K8+L8)*2/100*$C$91</f>
        <v>802.02200000000005</v>
      </c>
      <c r="V8" s="7"/>
      <c r="W8" s="7"/>
      <c r="X8" s="7"/>
      <c r="Y8" s="7"/>
      <c r="AB8" s="7">
        <f t="shared" ref="AB8:AB71" si="0">(K8+L8)*5/1000*3*$C$90</f>
        <v>1103.7</v>
      </c>
      <c r="AF8" s="7">
        <f>(1/O8-1/C8)*$C$85*I8*$D$85+(1/P8-1/D8)*$C$87*J8*$D$87</f>
        <v>5890.3567689023694</v>
      </c>
      <c r="AH8" s="7">
        <f>(1/N8-1/B8)*$C$84*H8*$D$84+(1/S8-1/G8)*$C$86*M8*$D$86</f>
        <v>868.56866883116891</v>
      </c>
      <c r="AI8" s="6">
        <v>143</v>
      </c>
      <c r="AJ8" s="8">
        <f t="shared" ref="AJ8:AJ71" si="1">T8/$AI8</f>
        <v>5.6085454545454549</v>
      </c>
      <c r="AK8" s="8"/>
      <c r="AL8" s="8"/>
      <c r="AM8" s="8"/>
      <c r="AN8" s="8"/>
      <c r="AO8" s="8"/>
      <c r="AP8" s="8"/>
      <c r="AQ8" s="8"/>
      <c r="AR8" s="8">
        <f t="shared" ref="AR8:AR71" si="2">AB8/$AI8</f>
        <v>7.7181818181818187</v>
      </c>
      <c r="AS8" s="8"/>
      <c r="AT8" s="8"/>
      <c r="AU8" s="8"/>
      <c r="AV8" s="8">
        <f t="shared" ref="AV8:AV71" si="3">AF8/$AI8</f>
        <v>41.191306076240345</v>
      </c>
      <c r="AW8" s="8"/>
      <c r="AX8" s="8">
        <f t="shared" ref="AX8:AX71" si="4">AH8/$AI8</f>
        <v>6.073906775043139</v>
      </c>
    </row>
    <row r="9" spans="1:55" x14ac:dyDescent="0.2">
      <c r="A9" t="s">
        <v>62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AB9" s="7">
        <f t="shared" si="0"/>
        <v>0</v>
      </c>
      <c r="AH9" s="7"/>
      <c r="AI9">
        <v>135</v>
      </c>
      <c r="AJ9" s="8">
        <f t="shared" si="1"/>
        <v>0</v>
      </c>
      <c r="AK9" s="8"/>
      <c r="AL9" s="8"/>
      <c r="AM9" s="8"/>
      <c r="AN9" s="8"/>
      <c r="AO9" s="8"/>
      <c r="AP9" s="8"/>
      <c r="AQ9" s="8"/>
      <c r="AR9" s="8">
        <f t="shared" si="2"/>
        <v>0</v>
      </c>
      <c r="AS9" s="8"/>
      <c r="AT9" s="8"/>
      <c r="AU9" s="8"/>
      <c r="AV9" s="8">
        <f t="shared" si="3"/>
        <v>0</v>
      </c>
      <c r="AW9" s="8"/>
      <c r="AX9" s="8">
        <f t="shared" si="4"/>
        <v>0</v>
      </c>
    </row>
    <row r="10" spans="1:55" x14ac:dyDescent="0.2">
      <c r="A10" t="s">
        <v>63</v>
      </c>
      <c r="B10" s="5">
        <v>0.89</v>
      </c>
      <c r="C10" s="5">
        <v>1.45</v>
      </c>
      <c r="D10" s="5">
        <v>2.33</v>
      </c>
      <c r="E10" s="5">
        <v>5.2</v>
      </c>
      <c r="F10" s="5">
        <v>2.9</v>
      </c>
      <c r="G10" s="5">
        <v>3.5</v>
      </c>
      <c r="H10" s="5">
        <f>65.2+14</f>
        <v>79.2</v>
      </c>
      <c r="I10" s="5">
        <v>104.7</v>
      </c>
      <c r="J10" s="5">
        <v>60</v>
      </c>
      <c r="K10" s="5">
        <v>6.7</v>
      </c>
      <c r="L10" s="5">
        <v>24.6</v>
      </c>
      <c r="M10" s="5">
        <v>1.9</v>
      </c>
      <c r="N10" s="5">
        <v>0.14000000000000001</v>
      </c>
      <c r="O10" s="5">
        <v>0.18</v>
      </c>
      <c r="P10" s="5">
        <v>0.18</v>
      </c>
      <c r="Q10" s="5">
        <v>1</v>
      </c>
      <c r="R10" s="5">
        <v>1</v>
      </c>
      <c r="S10" s="5">
        <v>1.4</v>
      </c>
      <c r="T10" s="7">
        <f>(K10+L10)*2/100*$C$91</f>
        <v>887.04200000000003</v>
      </c>
      <c r="V10" s="7"/>
      <c r="W10" s="7"/>
      <c r="X10" s="7"/>
      <c r="Y10" s="7"/>
      <c r="AB10" s="7">
        <f t="shared" si="0"/>
        <v>1220.7</v>
      </c>
      <c r="AF10" s="7">
        <f>(1/O10-1/C10)*$C$85*I10*$D$85+(1/P10-1/D10)*$C$87*J10*$D$87</f>
        <v>4232.2777179221548</v>
      </c>
      <c r="AH10" s="7">
        <f>(1/N10-1/B10)*$C$84*H10*$D$84+(1/S10-1/G10)*$C$86*M10*$D$86</f>
        <v>537.23228330658105</v>
      </c>
      <c r="AI10">
        <v>135</v>
      </c>
      <c r="AJ10" s="8">
        <f t="shared" si="1"/>
        <v>6.5706814814814818</v>
      </c>
      <c r="AK10" s="8"/>
      <c r="AL10" s="8"/>
      <c r="AM10" s="8"/>
      <c r="AN10" s="8"/>
      <c r="AO10" s="8"/>
      <c r="AP10" s="8"/>
      <c r="AQ10" s="8"/>
      <c r="AR10" s="8">
        <f t="shared" si="2"/>
        <v>9.0422222222222217</v>
      </c>
      <c r="AS10" s="8"/>
      <c r="AT10" s="8"/>
      <c r="AU10" s="8"/>
      <c r="AV10" s="8">
        <f t="shared" si="3"/>
        <v>31.350205317941889</v>
      </c>
      <c r="AW10" s="8"/>
      <c r="AX10" s="8">
        <f t="shared" si="4"/>
        <v>3.9794983948635632</v>
      </c>
    </row>
    <row r="11" spans="1:55" x14ac:dyDescent="0.2">
      <c r="A11" t="s">
        <v>64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AB11" s="7">
        <f t="shared" si="0"/>
        <v>0</v>
      </c>
      <c r="AH11" s="7"/>
      <c r="AI11">
        <v>135</v>
      </c>
      <c r="AJ11" s="8">
        <f t="shared" si="1"/>
        <v>0</v>
      </c>
      <c r="AK11" s="8"/>
      <c r="AL11" s="8"/>
      <c r="AM11" s="8"/>
      <c r="AN11" s="8"/>
      <c r="AO11" s="8"/>
      <c r="AP11" s="8"/>
      <c r="AQ11" s="8"/>
      <c r="AR11" s="8">
        <f t="shared" si="2"/>
        <v>0</v>
      </c>
      <c r="AS11" s="8"/>
      <c r="AT11" s="8"/>
      <c r="AU11" s="8"/>
      <c r="AV11" s="8">
        <f t="shared" si="3"/>
        <v>0</v>
      </c>
      <c r="AW11" s="8"/>
      <c r="AX11" s="8">
        <f t="shared" si="4"/>
        <v>0</v>
      </c>
    </row>
    <row r="12" spans="1:55" x14ac:dyDescent="0.2">
      <c r="A12" t="s">
        <v>65</v>
      </c>
      <c r="B12" s="5">
        <v>0.64</v>
      </c>
      <c r="C12" s="5">
        <v>0.64</v>
      </c>
      <c r="D12" s="5">
        <v>0.64</v>
      </c>
      <c r="E12" s="5">
        <v>5.2</v>
      </c>
      <c r="F12" s="5">
        <v>2.9</v>
      </c>
      <c r="G12" s="5">
        <v>3.5</v>
      </c>
      <c r="H12" s="5">
        <v>73.400000000000006</v>
      </c>
      <c r="I12" s="5">
        <v>96.6</v>
      </c>
      <c r="J12" s="5">
        <v>66</v>
      </c>
      <c r="K12" s="5">
        <v>3.4</v>
      </c>
      <c r="L12" s="5">
        <v>23</v>
      </c>
      <c r="M12" s="5">
        <v>1.9</v>
      </c>
      <c r="N12" s="5">
        <v>0.13</v>
      </c>
      <c r="O12" s="5">
        <v>0.15</v>
      </c>
      <c r="P12" s="5">
        <v>0.15</v>
      </c>
      <c r="Q12" s="5">
        <v>1</v>
      </c>
      <c r="R12" s="5">
        <v>1</v>
      </c>
      <c r="S12" s="5">
        <v>1.4</v>
      </c>
      <c r="T12" s="7">
        <f>(K12+L12)*2/100*$C$91</f>
        <v>748.17600000000004</v>
      </c>
      <c r="V12" s="7"/>
      <c r="W12" s="7"/>
      <c r="X12" s="7"/>
      <c r="Y12" s="7"/>
      <c r="AB12" s="7">
        <f t="shared" si="0"/>
        <v>1029.6000000000001</v>
      </c>
      <c r="AF12" s="7">
        <f>(1/O12-1/C12)*$C$85*I12*$D$85+(1/P12-1/D12)*$C$87*J12*$D$87</f>
        <v>4299.0762500000001</v>
      </c>
      <c r="AH12" s="7">
        <f>(1/N12-1/B12)*$C$84*H12*$D$84+(1/S12-1/G12)*$C$86*M12*$D$86</f>
        <v>507.08494162087914</v>
      </c>
      <c r="AI12">
        <v>135</v>
      </c>
      <c r="AJ12" s="8">
        <f t="shared" si="1"/>
        <v>5.5420444444444446</v>
      </c>
      <c r="AK12" s="8"/>
      <c r="AL12" s="8"/>
      <c r="AM12" s="8"/>
      <c r="AN12" s="8"/>
      <c r="AO12" s="8"/>
      <c r="AP12" s="8"/>
      <c r="AQ12" s="8"/>
      <c r="AR12" s="8">
        <f t="shared" si="2"/>
        <v>7.6266666666666678</v>
      </c>
      <c r="AS12" s="8"/>
      <c r="AT12" s="8"/>
      <c r="AU12" s="8"/>
      <c r="AV12" s="8">
        <f t="shared" si="3"/>
        <v>31.84500925925926</v>
      </c>
      <c r="AW12" s="8"/>
      <c r="AX12" s="8">
        <f t="shared" si="4"/>
        <v>3.7561847527472527</v>
      </c>
    </row>
    <row r="13" spans="1:55" x14ac:dyDescent="0.2">
      <c r="A13" t="s">
        <v>66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AB13" s="7">
        <f t="shared" si="0"/>
        <v>0</v>
      </c>
      <c r="AH13" s="7"/>
      <c r="AI13">
        <v>189</v>
      </c>
      <c r="AJ13" s="8">
        <f t="shared" si="1"/>
        <v>0</v>
      </c>
      <c r="AK13" s="8"/>
      <c r="AL13" s="8"/>
      <c r="AM13" s="8"/>
      <c r="AN13" s="8"/>
      <c r="AO13" s="8"/>
      <c r="AP13" s="8"/>
      <c r="AQ13" s="8"/>
      <c r="AR13" s="8">
        <f t="shared" si="2"/>
        <v>0</v>
      </c>
      <c r="AS13" s="8"/>
      <c r="AT13" s="8"/>
      <c r="AU13" s="8"/>
      <c r="AV13" s="8">
        <f t="shared" si="3"/>
        <v>0</v>
      </c>
      <c r="AW13" s="8"/>
      <c r="AX13" s="8">
        <f t="shared" si="4"/>
        <v>0</v>
      </c>
    </row>
    <row r="14" spans="1:55" x14ac:dyDescent="0.2">
      <c r="A14" t="s">
        <v>67</v>
      </c>
      <c r="B14" s="5">
        <v>0.36</v>
      </c>
      <c r="C14" s="5">
        <v>0.36</v>
      </c>
      <c r="D14" s="5">
        <v>0.36</v>
      </c>
      <c r="E14" s="5">
        <v>2.9</v>
      </c>
      <c r="F14" s="5">
        <v>1.8</v>
      </c>
      <c r="G14" s="5">
        <v>3.5</v>
      </c>
      <c r="H14" s="5">
        <f>120.8+17.4</f>
        <v>138.19999999999999</v>
      </c>
      <c r="I14" s="5">
        <v>150.9</v>
      </c>
      <c r="J14" s="5">
        <v>104</v>
      </c>
      <c r="K14" s="5">
        <v>18.100000000000001</v>
      </c>
      <c r="L14" s="5">
        <v>21.5</v>
      </c>
      <c r="M14" s="5">
        <v>4</v>
      </c>
      <c r="N14" s="5">
        <v>0.11</v>
      </c>
      <c r="O14" s="5">
        <v>0.13</v>
      </c>
      <c r="P14" s="5">
        <v>0.13</v>
      </c>
      <c r="Q14" s="5">
        <v>1</v>
      </c>
      <c r="R14" s="5">
        <v>1</v>
      </c>
      <c r="S14" s="5">
        <v>1.4</v>
      </c>
      <c r="T14" s="7">
        <f>(K14+L14)*2/100*$C$91</f>
        <v>1122.2640000000001</v>
      </c>
      <c r="V14" s="7"/>
      <c r="W14" s="7"/>
      <c r="X14" s="7"/>
      <c r="Y14" s="7"/>
      <c r="AB14" s="7">
        <f t="shared" si="0"/>
        <v>1544.4000000000003</v>
      </c>
      <c r="AF14" s="7">
        <f>(1/O14-1/C14)*$C$85*I14*$D$85+(1/P14-1/D14)*$C$87*J14*$D$87</f>
        <v>6489.0568376068368</v>
      </c>
      <c r="AH14" s="7">
        <f>(1/N14-1/B14)*$C$84*H14*$D$84+(1/S14-1/G14)*$C$86*M14*$D$86</f>
        <v>983.46266233766255</v>
      </c>
      <c r="AI14">
        <v>189</v>
      </c>
      <c r="AJ14" s="8">
        <f t="shared" si="1"/>
        <v>5.9379047619047629</v>
      </c>
      <c r="AK14" s="8"/>
      <c r="AL14" s="8"/>
      <c r="AM14" s="8"/>
      <c r="AN14" s="8"/>
      <c r="AO14" s="8"/>
      <c r="AP14" s="8"/>
      <c r="AQ14" s="8"/>
      <c r="AR14" s="8">
        <f t="shared" si="2"/>
        <v>8.1714285714285726</v>
      </c>
      <c r="AS14" s="8"/>
      <c r="AT14" s="8"/>
      <c r="AU14" s="8"/>
      <c r="AV14" s="8">
        <f t="shared" si="3"/>
        <v>34.333634061411836</v>
      </c>
      <c r="AW14" s="8"/>
      <c r="AX14" s="8">
        <f t="shared" si="4"/>
        <v>5.2035061499347224</v>
      </c>
    </row>
    <row r="15" spans="1:55" x14ac:dyDescent="0.2">
      <c r="A15" t="s">
        <v>68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AB15" s="7">
        <f t="shared" si="0"/>
        <v>0</v>
      </c>
      <c r="AH15" s="7"/>
      <c r="AI15">
        <v>186</v>
      </c>
      <c r="AJ15" s="8">
        <f t="shared" si="1"/>
        <v>0</v>
      </c>
      <c r="AK15" s="8"/>
      <c r="AL15" s="8"/>
      <c r="AM15" s="8"/>
      <c r="AN15" s="8"/>
      <c r="AO15" s="8"/>
      <c r="AP15" s="8"/>
      <c r="AQ15" s="8"/>
      <c r="AR15" s="8">
        <f t="shared" si="2"/>
        <v>0</v>
      </c>
      <c r="AS15" s="8"/>
      <c r="AT15" s="8"/>
      <c r="AU15" s="8"/>
      <c r="AV15" s="8">
        <f t="shared" si="3"/>
        <v>0</v>
      </c>
      <c r="AW15" s="8"/>
      <c r="AX15" s="8">
        <f t="shared" si="4"/>
        <v>0</v>
      </c>
    </row>
    <row r="16" spans="1:55" x14ac:dyDescent="0.2">
      <c r="A16" t="s">
        <v>69</v>
      </c>
      <c r="B16" s="5">
        <v>0.23</v>
      </c>
      <c r="C16" s="5">
        <v>0.27</v>
      </c>
      <c r="D16" s="5">
        <v>0.27</v>
      </c>
      <c r="E16" s="5">
        <v>1.8</v>
      </c>
      <c r="F16" s="5"/>
      <c r="G16" s="5">
        <v>1.65</v>
      </c>
      <c r="H16" s="5">
        <f>80.5+1</f>
        <v>81.5</v>
      </c>
      <c r="I16" s="5">
        <v>186.5</v>
      </c>
      <c r="J16" s="5">
        <v>61.5</v>
      </c>
      <c r="K16" s="5">
        <v>41.5</v>
      </c>
      <c r="L16" s="5"/>
      <c r="M16" s="5">
        <v>2.4</v>
      </c>
      <c r="N16" s="5">
        <v>0.1</v>
      </c>
      <c r="O16" s="5">
        <v>0.11</v>
      </c>
      <c r="P16" s="5">
        <v>0.11</v>
      </c>
      <c r="Q16" s="5">
        <v>1</v>
      </c>
      <c r="R16" s="5">
        <v>1</v>
      </c>
      <c r="S16" s="5">
        <v>1.4</v>
      </c>
      <c r="T16" s="7">
        <f>(K16+L16)*2/100*$C$91</f>
        <v>1176.1099999999999</v>
      </c>
      <c r="V16" s="7"/>
      <c r="W16" s="7"/>
      <c r="X16" s="7"/>
      <c r="Y16" s="7"/>
      <c r="AB16" s="7">
        <f t="shared" si="0"/>
        <v>1618.4999999999998</v>
      </c>
      <c r="AF16" s="7">
        <f>(1/O16-1/C16)*$C$85*I16*$D$85+(1/P16-1/D16)*$C$87*J16*$D$87</f>
        <v>6920.6195286195298</v>
      </c>
      <c r="AH16" s="7">
        <f>(1/N16-1/B16)*$C$84*H16*$D$84+(1/S16-1/G16)*$C$86*M16*$D$86</f>
        <v>518.52590344438181</v>
      </c>
      <c r="AI16">
        <v>186</v>
      </c>
      <c r="AJ16" s="8">
        <f t="shared" si="1"/>
        <v>6.3231720430107519</v>
      </c>
      <c r="AK16" s="8"/>
      <c r="AL16" s="8"/>
      <c r="AM16" s="8"/>
      <c r="AN16" s="8"/>
      <c r="AO16" s="8"/>
      <c r="AP16" s="8"/>
      <c r="AQ16" s="8"/>
      <c r="AR16" s="8">
        <f t="shared" si="2"/>
        <v>8.7016129032258061</v>
      </c>
      <c r="AS16" s="8"/>
      <c r="AT16" s="8"/>
      <c r="AU16" s="8"/>
      <c r="AV16" s="8">
        <f t="shared" si="3"/>
        <v>37.207631874298549</v>
      </c>
      <c r="AW16" s="8"/>
      <c r="AX16" s="8">
        <f t="shared" si="4"/>
        <v>2.7877736744321604</v>
      </c>
    </row>
    <row r="17" spans="1:50" x14ac:dyDescent="0.2">
      <c r="A17" t="s">
        <v>70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AB17" s="7">
        <f t="shared" si="0"/>
        <v>0</v>
      </c>
      <c r="AH17" s="7"/>
      <c r="AI17">
        <v>186</v>
      </c>
      <c r="AJ17" s="8">
        <f t="shared" si="1"/>
        <v>0</v>
      </c>
      <c r="AK17" s="8"/>
      <c r="AL17" s="8"/>
      <c r="AM17" s="8"/>
      <c r="AN17" s="8"/>
      <c r="AO17" s="8"/>
      <c r="AP17" s="8"/>
      <c r="AQ17" s="8"/>
      <c r="AR17" s="8">
        <f t="shared" si="2"/>
        <v>0</v>
      </c>
      <c r="AS17" s="8"/>
      <c r="AT17" s="8"/>
      <c r="AU17" s="8"/>
      <c r="AV17" s="8">
        <f t="shared" si="3"/>
        <v>0</v>
      </c>
      <c r="AW17" s="8"/>
      <c r="AX17" s="8">
        <f t="shared" si="4"/>
        <v>0</v>
      </c>
    </row>
    <row r="18" spans="1:50" x14ac:dyDescent="0.2">
      <c r="A18" t="s">
        <v>71</v>
      </c>
      <c r="B18" s="5">
        <v>0.16</v>
      </c>
      <c r="C18" s="5">
        <v>0.21</v>
      </c>
      <c r="D18" s="5">
        <v>0.27</v>
      </c>
      <c r="E18" s="5">
        <v>1.8</v>
      </c>
      <c r="F18" s="5"/>
      <c r="G18" s="5">
        <v>1.65</v>
      </c>
      <c r="H18" s="5">
        <f>80.5+1</f>
        <v>81.5</v>
      </c>
      <c r="I18" s="5">
        <v>186.5</v>
      </c>
      <c r="J18" s="5">
        <v>61.5</v>
      </c>
      <c r="K18" s="5">
        <v>41.5</v>
      </c>
      <c r="L18" s="5"/>
      <c r="M18" s="5">
        <v>2.4</v>
      </c>
      <c r="N18" s="5">
        <v>0.08</v>
      </c>
      <c r="O18" s="5">
        <v>0.1</v>
      </c>
      <c r="P18" s="5">
        <v>0.11</v>
      </c>
      <c r="Q18" s="5">
        <v>1</v>
      </c>
      <c r="R18" s="5">
        <v>1</v>
      </c>
      <c r="S18" s="5">
        <v>1.4</v>
      </c>
      <c r="T18" s="7">
        <f>(K18+L18)*2/100*$C$91</f>
        <v>1176.1099999999999</v>
      </c>
      <c r="V18" s="7"/>
      <c r="W18" s="7"/>
      <c r="X18" s="7"/>
      <c r="Y18" s="7"/>
      <c r="AB18" s="7">
        <f t="shared" si="0"/>
        <v>1618.4999999999998</v>
      </c>
      <c r="AF18" s="7">
        <f>(1/O18-1/C18)*$C$85*I18*$D$85+(1/P18-1/D18)*$C$87*J18*$D$87</f>
        <v>6776.5686868686871</v>
      </c>
      <c r="AH18" s="7">
        <f>(1/N18-1/B18)*$C$84*H18*$D$84+(1/S18-1/G18)*$C$86*M18*$D$86</f>
        <v>573.33908279220782</v>
      </c>
      <c r="AI18">
        <v>186</v>
      </c>
      <c r="AJ18" s="8">
        <f t="shared" si="1"/>
        <v>6.3231720430107519</v>
      </c>
      <c r="AK18" s="8"/>
      <c r="AL18" s="8"/>
      <c r="AM18" s="8"/>
      <c r="AN18" s="8"/>
      <c r="AO18" s="8"/>
      <c r="AP18" s="8"/>
      <c r="AQ18" s="8"/>
      <c r="AR18" s="8">
        <f t="shared" si="2"/>
        <v>8.7016129032258061</v>
      </c>
      <c r="AS18" s="8"/>
      <c r="AT18" s="8"/>
      <c r="AU18" s="8"/>
      <c r="AV18" s="8">
        <f t="shared" si="3"/>
        <v>36.433164983164986</v>
      </c>
      <c r="AW18" s="8"/>
      <c r="AX18" s="8">
        <f t="shared" si="4"/>
        <v>3.0824681870548809</v>
      </c>
    </row>
    <row r="19" spans="1:50" x14ac:dyDescent="0.2">
      <c r="A19" t="s">
        <v>72</v>
      </c>
      <c r="B19" s="5">
        <v>0.08</v>
      </c>
      <c r="C19" s="5">
        <v>0.1</v>
      </c>
      <c r="D19" s="5">
        <v>0.11</v>
      </c>
      <c r="E19" s="5">
        <v>1</v>
      </c>
      <c r="F19" s="5"/>
      <c r="G19" s="5">
        <v>1.4</v>
      </c>
      <c r="H19" s="5">
        <f>80.5+1</f>
        <v>81.5</v>
      </c>
      <c r="I19" s="5">
        <v>186.5</v>
      </c>
      <c r="J19" s="5">
        <v>61.5</v>
      </c>
      <c r="K19" s="5">
        <v>41.5</v>
      </c>
      <c r="L19" s="5"/>
      <c r="M19" s="5">
        <v>2.4</v>
      </c>
      <c r="N19" s="5">
        <v>0.08</v>
      </c>
      <c r="O19" s="5">
        <v>0.1</v>
      </c>
      <c r="P19" s="5">
        <v>0.11</v>
      </c>
      <c r="Q19" s="5">
        <v>1</v>
      </c>
      <c r="R19" s="5">
        <v>1</v>
      </c>
      <c r="S19" s="5">
        <v>1.4</v>
      </c>
      <c r="T19" s="7">
        <v>0</v>
      </c>
      <c r="V19" s="7"/>
      <c r="W19" s="7"/>
      <c r="X19" s="7"/>
      <c r="Y19" s="7"/>
      <c r="AB19" s="7">
        <f t="shared" si="0"/>
        <v>1618.4999999999998</v>
      </c>
      <c r="AF19" s="7">
        <f>(1/O19-1/C19)*$C$85*I19*$D$85+(1/P19-1/D19)*$C$87*J19*$D$87</f>
        <v>0</v>
      </c>
      <c r="AH19" s="7">
        <f>(1/N19-1/B19)*$C$84*H19*$D$84+(1/S19-1/G19)*$C$86*M19*$D$86</f>
        <v>0</v>
      </c>
      <c r="AI19">
        <v>186</v>
      </c>
      <c r="AJ19" s="8">
        <f t="shared" si="1"/>
        <v>0</v>
      </c>
      <c r="AK19" s="8"/>
      <c r="AL19" s="8"/>
      <c r="AM19" s="8"/>
      <c r="AN19" s="8"/>
      <c r="AO19" s="8"/>
      <c r="AP19" s="8"/>
      <c r="AQ19" s="8"/>
      <c r="AR19" s="8">
        <f t="shared" si="2"/>
        <v>8.7016129032258061</v>
      </c>
      <c r="AS19" s="8"/>
      <c r="AT19" s="8"/>
      <c r="AU19" s="8"/>
      <c r="AV19" s="8">
        <f t="shared" si="3"/>
        <v>0</v>
      </c>
      <c r="AW19" s="8"/>
      <c r="AX19" s="8">
        <f t="shared" si="4"/>
        <v>0</v>
      </c>
    </row>
    <row r="20" spans="1:50" x14ac:dyDescent="0.2">
      <c r="A20" t="s">
        <v>73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AB20" s="7">
        <f t="shared" si="0"/>
        <v>0</v>
      </c>
      <c r="AI20">
        <v>96</v>
      </c>
      <c r="AJ20" s="8">
        <f t="shared" si="1"/>
        <v>0</v>
      </c>
      <c r="AK20" s="8"/>
      <c r="AL20" s="8"/>
      <c r="AM20" s="8"/>
      <c r="AN20" s="8"/>
      <c r="AO20" s="8"/>
      <c r="AP20" s="8"/>
      <c r="AQ20" s="8"/>
      <c r="AR20" s="8">
        <f t="shared" si="2"/>
        <v>0</v>
      </c>
      <c r="AS20" s="8"/>
      <c r="AT20" s="8"/>
      <c r="AU20" s="8"/>
      <c r="AV20" s="8">
        <f t="shared" si="3"/>
        <v>0</v>
      </c>
      <c r="AW20" s="8"/>
      <c r="AX20" s="8">
        <f t="shared" si="4"/>
        <v>0</v>
      </c>
    </row>
    <row r="21" spans="1:50" x14ac:dyDescent="0.2">
      <c r="A21" t="s">
        <v>74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AB21" s="7">
        <f t="shared" si="0"/>
        <v>0</v>
      </c>
      <c r="AH21" s="7"/>
      <c r="AI21">
        <v>96</v>
      </c>
      <c r="AJ21" s="8">
        <f t="shared" si="1"/>
        <v>0</v>
      </c>
      <c r="AK21" s="8"/>
      <c r="AL21" s="8"/>
      <c r="AM21" s="8"/>
      <c r="AN21" s="8"/>
      <c r="AO21" s="8"/>
      <c r="AP21" s="8"/>
      <c r="AQ21" s="8"/>
      <c r="AR21" s="8">
        <f t="shared" si="2"/>
        <v>0</v>
      </c>
      <c r="AS21" s="8"/>
      <c r="AT21" s="8"/>
      <c r="AU21" s="8"/>
      <c r="AV21" s="8">
        <f t="shared" si="3"/>
        <v>0</v>
      </c>
      <c r="AW21" s="8"/>
      <c r="AX21" s="8">
        <f t="shared" si="4"/>
        <v>0</v>
      </c>
    </row>
    <row r="22" spans="1:50" x14ac:dyDescent="0.2">
      <c r="A22" t="s">
        <v>75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AB22" s="7">
        <f t="shared" si="0"/>
        <v>0</v>
      </c>
      <c r="AH22" s="7"/>
      <c r="AI22">
        <v>96</v>
      </c>
      <c r="AJ22" s="8">
        <f t="shared" si="1"/>
        <v>0</v>
      </c>
      <c r="AK22" s="8"/>
      <c r="AL22" s="8"/>
      <c r="AM22" s="8"/>
      <c r="AN22" s="8"/>
      <c r="AO22" s="8"/>
      <c r="AP22" s="8"/>
      <c r="AQ22" s="8"/>
      <c r="AR22" s="8">
        <f t="shared" si="2"/>
        <v>0</v>
      </c>
      <c r="AS22" s="8"/>
      <c r="AT22" s="8"/>
      <c r="AU22" s="8"/>
      <c r="AV22" s="8">
        <f t="shared" si="3"/>
        <v>0</v>
      </c>
      <c r="AW22" s="8"/>
      <c r="AX22" s="8">
        <f t="shared" si="4"/>
        <v>0</v>
      </c>
    </row>
    <row r="23" spans="1:50" x14ac:dyDescent="0.2">
      <c r="A23" t="s">
        <v>76</v>
      </c>
      <c r="B23" s="5">
        <v>2.08</v>
      </c>
      <c r="C23" s="5">
        <v>2.2200000000000002</v>
      </c>
      <c r="D23" s="5">
        <v>2.44</v>
      </c>
      <c r="E23" s="5">
        <v>5.2</v>
      </c>
      <c r="F23" s="5">
        <v>2.9</v>
      </c>
      <c r="G23" s="5">
        <v>3.5</v>
      </c>
      <c r="H23" s="5">
        <f>55.9+17.6</f>
        <v>73.5</v>
      </c>
      <c r="I23" s="5">
        <v>49</v>
      </c>
      <c r="J23" s="5">
        <v>55</v>
      </c>
      <c r="K23" s="5">
        <v>7</v>
      </c>
      <c r="L23" s="5">
        <v>14.2</v>
      </c>
      <c r="M23" s="5">
        <v>2.5</v>
      </c>
      <c r="N23" s="5">
        <v>0.15</v>
      </c>
      <c r="O23" s="5">
        <v>0.18</v>
      </c>
      <c r="P23" s="5">
        <v>0.18</v>
      </c>
      <c r="Q23" s="5">
        <v>1</v>
      </c>
      <c r="R23" s="5">
        <v>1</v>
      </c>
      <c r="S23" s="5">
        <v>1.4</v>
      </c>
      <c r="T23" s="7">
        <f>(K23+L23)*2/100*$C$91</f>
        <v>600.80799999999999</v>
      </c>
      <c r="V23" s="7"/>
      <c r="W23" s="7"/>
      <c r="X23" s="7"/>
      <c r="Y23" s="7"/>
      <c r="AB23" s="7">
        <f t="shared" si="0"/>
        <v>826.80000000000007</v>
      </c>
      <c r="AF23" s="7">
        <f>(1/O23-1/C23)*$C$85*I23*$D$85+(1/P23-1/D23)*$C$87*J23*$D$87</f>
        <v>2761.7932604735879</v>
      </c>
      <c r="AH23" s="7">
        <f>(1/N23-1/B23)*$C$84*H23*$D$84+(1/S23-1/G23)*$C$86*M23*$D$86</f>
        <v>512.70175137362639</v>
      </c>
      <c r="AI23">
        <v>96</v>
      </c>
      <c r="AJ23" s="8">
        <f t="shared" si="1"/>
        <v>6.2584166666666663</v>
      </c>
      <c r="AK23" s="8"/>
      <c r="AL23" s="8"/>
      <c r="AM23" s="8"/>
      <c r="AN23" s="8"/>
      <c r="AO23" s="8"/>
      <c r="AP23" s="8"/>
      <c r="AQ23" s="8"/>
      <c r="AR23" s="8">
        <f t="shared" si="2"/>
        <v>8.6125000000000007</v>
      </c>
      <c r="AS23" s="8"/>
      <c r="AT23" s="8"/>
      <c r="AU23" s="8"/>
      <c r="AV23" s="8">
        <f t="shared" si="3"/>
        <v>28.768679796599873</v>
      </c>
      <c r="AW23" s="8"/>
      <c r="AX23" s="8">
        <f t="shared" si="4"/>
        <v>5.3406432434752746</v>
      </c>
    </row>
    <row r="24" spans="1:50" x14ac:dyDescent="0.2">
      <c r="A24" t="s">
        <v>77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AB24" s="7">
        <f t="shared" si="0"/>
        <v>0</v>
      </c>
      <c r="AH24" s="7"/>
      <c r="AI24">
        <v>117</v>
      </c>
      <c r="AJ24" s="8">
        <f t="shared" si="1"/>
        <v>0</v>
      </c>
      <c r="AK24" s="8"/>
      <c r="AL24" s="8"/>
      <c r="AM24" s="8"/>
      <c r="AN24" s="8"/>
      <c r="AO24" s="8"/>
      <c r="AP24" s="8"/>
      <c r="AQ24" s="8"/>
      <c r="AR24" s="8">
        <f t="shared" si="2"/>
        <v>0</v>
      </c>
      <c r="AS24" s="8"/>
      <c r="AT24" s="8"/>
      <c r="AU24" s="8"/>
      <c r="AV24" s="8">
        <f t="shared" si="3"/>
        <v>0</v>
      </c>
      <c r="AW24" s="8"/>
      <c r="AX24" s="8">
        <f t="shared" si="4"/>
        <v>0</v>
      </c>
    </row>
    <row r="25" spans="1:50" x14ac:dyDescent="0.2">
      <c r="A25" t="s">
        <v>78</v>
      </c>
      <c r="B25" s="5">
        <v>0.89</v>
      </c>
      <c r="C25" s="5">
        <v>1.45</v>
      </c>
      <c r="D25" s="5">
        <v>2.33</v>
      </c>
      <c r="E25" s="5">
        <v>5.2</v>
      </c>
      <c r="F25" s="5">
        <v>2.9</v>
      </c>
      <c r="G25" s="5">
        <v>3.5</v>
      </c>
      <c r="H25" s="5">
        <v>65.5</v>
      </c>
      <c r="I25" s="5">
        <v>40.5</v>
      </c>
      <c r="J25" s="5">
        <v>52</v>
      </c>
      <c r="K25" s="5">
        <v>4.3</v>
      </c>
      <c r="L25" s="5">
        <v>21.3</v>
      </c>
      <c r="M25" s="5">
        <v>1.6</v>
      </c>
      <c r="N25" s="5">
        <v>0.14000000000000001</v>
      </c>
      <c r="O25" s="5">
        <v>0.18</v>
      </c>
      <c r="P25" s="5">
        <v>0.18</v>
      </c>
      <c r="Q25" s="5">
        <v>1</v>
      </c>
      <c r="R25" s="5">
        <v>1</v>
      </c>
      <c r="S25" s="5">
        <v>1.4</v>
      </c>
      <c r="T25" s="7">
        <f>(K25+L25)*2/100*$C$91</f>
        <v>725.50400000000002</v>
      </c>
      <c r="V25" s="7"/>
      <c r="W25" s="7"/>
      <c r="X25" s="7"/>
      <c r="Y25" s="7"/>
      <c r="AB25" s="7">
        <f t="shared" si="0"/>
        <v>998.4</v>
      </c>
      <c r="AF25" s="7">
        <f>(1/O25-1/C25)*$C$85*I25*$D$85+(1/P25-1/D25)*$C$87*J25*$D$87</f>
        <v>2401.6565356091623</v>
      </c>
      <c r="AH25" s="7">
        <f>(1/N25-1/B25)*$C$84*H25*$D$84+(1/S25-1/G25)*$C$86*M25*$D$86</f>
        <v>444.31577046548949</v>
      </c>
      <c r="AI25">
        <v>117</v>
      </c>
      <c r="AJ25" s="8">
        <f t="shared" si="1"/>
        <v>6.2008888888888887</v>
      </c>
      <c r="AK25" s="8"/>
      <c r="AL25" s="8"/>
      <c r="AM25" s="8"/>
      <c r="AN25" s="8"/>
      <c r="AO25" s="8"/>
      <c r="AP25" s="8"/>
      <c r="AQ25" s="8"/>
      <c r="AR25" s="8">
        <f t="shared" si="2"/>
        <v>8.5333333333333332</v>
      </c>
      <c r="AS25" s="8"/>
      <c r="AT25" s="8"/>
      <c r="AU25" s="8"/>
      <c r="AV25" s="8">
        <f t="shared" si="3"/>
        <v>20.526978936830446</v>
      </c>
      <c r="AW25" s="8"/>
      <c r="AX25" s="8">
        <f t="shared" si="4"/>
        <v>3.7975706877392263</v>
      </c>
    </row>
    <row r="26" spans="1:50" x14ac:dyDescent="0.2">
      <c r="A26" t="s">
        <v>79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AB26" s="7">
        <f t="shared" si="0"/>
        <v>0</v>
      </c>
      <c r="AH26" s="7"/>
      <c r="AI26">
        <v>117</v>
      </c>
      <c r="AJ26" s="8">
        <f t="shared" si="1"/>
        <v>0</v>
      </c>
      <c r="AK26" s="8"/>
      <c r="AL26" s="8"/>
      <c r="AM26" s="8"/>
      <c r="AN26" s="8"/>
      <c r="AO26" s="8"/>
      <c r="AP26" s="8"/>
      <c r="AQ26" s="8"/>
      <c r="AR26" s="8">
        <f t="shared" si="2"/>
        <v>0</v>
      </c>
      <c r="AS26" s="8"/>
      <c r="AT26" s="8"/>
      <c r="AU26" s="8"/>
      <c r="AV26" s="8">
        <f t="shared" si="3"/>
        <v>0</v>
      </c>
      <c r="AW26" s="8"/>
      <c r="AX26" s="8">
        <f t="shared" si="4"/>
        <v>0</v>
      </c>
    </row>
    <row r="27" spans="1:50" x14ac:dyDescent="0.2">
      <c r="A27" t="s">
        <v>80</v>
      </c>
      <c r="B27" s="5">
        <v>0.64</v>
      </c>
      <c r="C27" s="5">
        <v>0.64</v>
      </c>
      <c r="D27" s="5">
        <v>1.28</v>
      </c>
      <c r="E27" s="5">
        <v>5.2</v>
      </c>
      <c r="F27" s="5">
        <v>2.9</v>
      </c>
      <c r="G27" s="5">
        <v>3.5</v>
      </c>
      <c r="H27" s="5">
        <v>68.599999999999994</v>
      </c>
      <c r="I27" s="5">
        <v>40.6</v>
      </c>
      <c r="J27" s="5">
        <v>51</v>
      </c>
      <c r="K27" s="5">
        <v>3.1</v>
      </c>
      <c r="L27" s="5">
        <v>16.2</v>
      </c>
      <c r="M27" s="5">
        <v>1.8</v>
      </c>
      <c r="N27" s="5">
        <v>0.13</v>
      </c>
      <c r="O27" s="5">
        <v>0.15</v>
      </c>
      <c r="P27" s="5">
        <v>0.17</v>
      </c>
      <c r="Q27" s="5">
        <v>1</v>
      </c>
      <c r="R27" s="5">
        <v>1</v>
      </c>
      <c r="S27" s="5">
        <v>1.4</v>
      </c>
      <c r="T27" s="7">
        <f>(K27+L27)*2/100*$C$91</f>
        <v>546.96199999999999</v>
      </c>
      <c r="V27" s="7"/>
      <c r="W27" s="7"/>
      <c r="X27" s="7"/>
      <c r="Y27" s="7"/>
      <c r="AB27" s="7">
        <f t="shared" si="0"/>
        <v>752.69999999999993</v>
      </c>
      <c r="AF27" s="7">
        <f>(1/O27-1/C27)*$C$85*I27*$D$85+(1/P27-1/D27)*$C$87*J27*$D$87</f>
        <v>2421.0564583333335</v>
      </c>
      <c r="AH27" s="7">
        <f>(1/N27-1/B27)*$C$84*H27*$D$84+(1/S27-1/G27)*$C$86*M27*$D$86</f>
        <v>473.93576579670315</v>
      </c>
      <c r="AI27">
        <v>117</v>
      </c>
      <c r="AJ27" s="8">
        <f t="shared" si="1"/>
        <v>4.6748888888888889</v>
      </c>
      <c r="AK27" s="8"/>
      <c r="AL27" s="8"/>
      <c r="AM27" s="8"/>
      <c r="AN27" s="8"/>
      <c r="AO27" s="8"/>
      <c r="AP27" s="8"/>
      <c r="AQ27" s="8"/>
      <c r="AR27" s="8">
        <f t="shared" si="2"/>
        <v>6.4333333333333327</v>
      </c>
      <c r="AS27" s="8"/>
      <c r="AT27" s="8"/>
      <c r="AU27" s="8"/>
      <c r="AV27" s="8">
        <f t="shared" si="3"/>
        <v>20.692790242165245</v>
      </c>
      <c r="AW27" s="8"/>
      <c r="AX27" s="8">
        <f t="shared" si="4"/>
        <v>4.0507330409974625</v>
      </c>
    </row>
    <row r="28" spans="1:50" x14ac:dyDescent="0.2">
      <c r="A28" t="s">
        <v>81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AB28" s="7">
        <f t="shared" si="0"/>
        <v>0</v>
      </c>
      <c r="AH28" s="7"/>
      <c r="AI28">
        <v>125</v>
      </c>
      <c r="AJ28" s="8">
        <f t="shared" si="1"/>
        <v>0</v>
      </c>
      <c r="AK28" s="8"/>
      <c r="AL28" s="8"/>
      <c r="AM28" s="8"/>
      <c r="AN28" s="8"/>
      <c r="AO28" s="8"/>
      <c r="AP28" s="8"/>
      <c r="AQ28" s="8"/>
      <c r="AR28" s="8">
        <f t="shared" si="2"/>
        <v>0</v>
      </c>
      <c r="AS28" s="8"/>
      <c r="AT28" s="8"/>
      <c r="AU28" s="8"/>
      <c r="AV28" s="8">
        <f t="shared" si="3"/>
        <v>0</v>
      </c>
      <c r="AW28" s="8"/>
      <c r="AX28" s="8">
        <f t="shared" si="4"/>
        <v>0</v>
      </c>
    </row>
    <row r="29" spans="1:50" x14ac:dyDescent="0.2">
      <c r="A29" t="s">
        <v>82</v>
      </c>
      <c r="B29" s="5">
        <v>0.36</v>
      </c>
      <c r="C29" s="5">
        <v>0.36</v>
      </c>
      <c r="D29" s="5">
        <v>0.36</v>
      </c>
      <c r="E29" s="5">
        <v>2.9</v>
      </c>
      <c r="F29" s="5">
        <v>1.8</v>
      </c>
      <c r="G29" s="5">
        <v>3.5</v>
      </c>
      <c r="H29" s="5">
        <v>56.1</v>
      </c>
      <c r="I29" s="5">
        <v>49.9</v>
      </c>
      <c r="J29" s="5">
        <v>56</v>
      </c>
      <c r="K29" s="5">
        <v>7</v>
      </c>
      <c r="L29" s="5">
        <v>14.8</v>
      </c>
      <c r="M29" s="5">
        <v>2.2999999999999998</v>
      </c>
      <c r="N29" s="5">
        <v>0.11</v>
      </c>
      <c r="O29" s="5">
        <v>0.13</v>
      </c>
      <c r="P29" s="5">
        <v>0.13</v>
      </c>
      <c r="Q29" s="5">
        <v>1</v>
      </c>
      <c r="R29" s="5">
        <v>1</v>
      </c>
      <c r="S29" s="5">
        <v>1.4</v>
      </c>
      <c r="T29" s="7">
        <f>(K29+L29)*2/100*$C$91</f>
        <v>617.81200000000001</v>
      </c>
      <c r="V29" s="7"/>
      <c r="W29" s="7"/>
      <c r="X29" s="7"/>
      <c r="Y29" s="7"/>
      <c r="AB29" s="7">
        <f t="shared" si="0"/>
        <v>850.2</v>
      </c>
      <c r="AF29" s="7">
        <f>(1/O29-1/C29)*$C$85*I29*$D$85+(1/P29-1/D29)*$C$87*J29*$D$87</f>
        <v>2695.9243589743583</v>
      </c>
      <c r="AH29" s="7">
        <f>(1/N29-1/B29)*$C$84*H29*$D$84+(1/S29-1/G29)*$C$86*M29*$D$86</f>
        <v>399.54642857142869</v>
      </c>
      <c r="AI29">
        <v>125</v>
      </c>
      <c r="AJ29" s="8">
        <f t="shared" si="1"/>
        <v>4.9424960000000002</v>
      </c>
      <c r="AK29" s="8"/>
      <c r="AL29" s="8"/>
      <c r="AM29" s="8"/>
      <c r="AN29" s="8"/>
      <c r="AO29" s="8"/>
      <c r="AP29" s="8"/>
      <c r="AQ29" s="8"/>
      <c r="AR29" s="8">
        <f t="shared" si="2"/>
        <v>6.8016000000000005</v>
      </c>
      <c r="AS29" s="8"/>
      <c r="AT29" s="8"/>
      <c r="AU29" s="8"/>
      <c r="AV29" s="8">
        <f t="shared" si="3"/>
        <v>21.567394871794868</v>
      </c>
      <c r="AW29" s="8"/>
      <c r="AX29" s="8">
        <f t="shared" si="4"/>
        <v>3.1963714285714295</v>
      </c>
    </row>
    <row r="30" spans="1:50" x14ac:dyDescent="0.2">
      <c r="A30" t="s">
        <v>83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AB30" s="7">
        <f t="shared" si="0"/>
        <v>0</v>
      </c>
      <c r="AH30" s="7"/>
      <c r="AI30">
        <v>137</v>
      </c>
      <c r="AJ30" s="8">
        <f t="shared" si="1"/>
        <v>0</v>
      </c>
      <c r="AK30" s="8"/>
      <c r="AL30" s="8"/>
      <c r="AM30" s="8"/>
      <c r="AN30" s="8"/>
      <c r="AO30" s="8"/>
      <c r="AP30" s="8"/>
      <c r="AQ30" s="8"/>
      <c r="AR30" s="8">
        <f t="shared" si="2"/>
        <v>0</v>
      </c>
      <c r="AS30" s="8"/>
      <c r="AT30" s="8"/>
      <c r="AU30" s="8"/>
      <c r="AV30" s="8">
        <f t="shared" si="3"/>
        <v>0</v>
      </c>
      <c r="AW30" s="8"/>
      <c r="AX30" s="8">
        <f t="shared" si="4"/>
        <v>0</v>
      </c>
    </row>
    <row r="31" spans="1:50" x14ac:dyDescent="0.2">
      <c r="A31" t="s">
        <v>84</v>
      </c>
      <c r="B31" s="5">
        <v>0.23</v>
      </c>
      <c r="C31" s="5">
        <v>0.27</v>
      </c>
      <c r="D31" s="5">
        <v>0.27</v>
      </c>
      <c r="E31" s="5">
        <v>1.8</v>
      </c>
      <c r="F31" s="5"/>
      <c r="G31" s="5">
        <v>1.65</v>
      </c>
      <c r="H31" s="5">
        <v>60.8</v>
      </c>
      <c r="I31" s="5">
        <v>37.299999999999997</v>
      </c>
      <c r="J31" s="5">
        <v>45.5</v>
      </c>
      <c r="K31" s="5">
        <v>24.1</v>
      </c>
      <c r="L31" s="5"/>
      <c r="M31" s="5">
        <v>2.4</v>
      </c>
      <c r="N31" s="5">
        <v>0.1</v>
      </c>
      <c r="O31" s="5">
        <v>0.11</v>
      </c>
      <c r="P31" s="5">
        <v>0.11</v>
      </c>
      <c r="Q31" s="5">
        <v>1</v>
      </c>
      <c r="R31" s="5">
        <v>1</v>
      </c>
      <c r="S31" s="5">
        <v>1.4</v>
      </c>
      <c r="T31" s="7">
        <f>(K31+L31)*2/100*$C$91</f>
        <v>682.99400000000003</v>
      </c>
      <c r="V31" s="7"/>
      <c r="W31" s="7"/>
      <c r="X31" s="7"/>
      <c r="Y31" s="7"/>
      <c r="AB31" s="7">
        <f t="shared" si="0"/>
        <v>939.9</v>
      </c>
      <c r="AF31" s="7">
        <f>(1/O31-1/C31)*$C$85*I31*$D$85+(1/P31-1/D31)*$C$87*J31*$D$87</f>
        <v>2310.5939393939398</v>
      </c>
      <c r="AH31" s="7">
        <f>(1/N31-1/B31)*$C$84*H31*$D$84+(1/S31-1/G31)*$C$86*M31*$D$86</f>
        <v>386.90090344438175</v>
      </c>
      <c r="AI31">
        <v>137</v>
      </c>
      <c r="AJ31" s="8">
        <f t="shared" si="1"/>
        <v>4.9853576642335771</v>
      </c>
      <c r="AK31" s="8"/>
      <c r="AL31" s="8"/>
      <c r="AM31" s="8"/>
      <c r="AN31" s="8"/>
      <c r="AO31" s="8"/>
      <c r="AP31" s="8"/>
      <c r="AQ31" s="8"/>
      <c r="AR31" s="8">
        <f t="shared" si="2"/>
        <v>6.8605839416058396</v>
      </c>
      <c r="AS31" s="8"/>
      <c r="AT31" s="8"/>
      <c r="AU31" s="8"/>
      <c r="AV31" s="8">
        <f t="shared" si="3"/>
        <v>16.865649192656495</v>
      </c>
      <c r="AW31" s="8"/>
      <c r="AX31" s="8">
        <f t="shared" si="4"/>
        <v>2.8240941857254143</v>
      </c>
    </row>
    <row r="32" spans="1:50" x14ac:dyDescent="0.2">
      <c r="A32" t="s">
        <v>85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AB32" s="7">
        <f t="shared" si="0"/>
        <v>0</v>
      </c>
      <c r="AH32" s="7"/>
      <c r="AI32">
        <v>137</v>
      </c>
      <c r="AJ32" s="8">
        <f t="shared" si="1"/>
        <v>0</v>
      </c>
      <c r="AK32" s="8"/>
      <c r="AL32" s="8"/>
      <c r="AM32" s="8"/>
      <c r="AN32" s="8"/>
      <c r="AO32" s="8"/>
      <c r="AP32" s="8"/>
      <c r="AQ32" s="8"/>
      <c r="AR32" s="8">
        <f t="shared" si="2"/>
        <v>0</v>
      </c>
      <c r="AS32" s="8"/>
      <c r="AT32" s="8"/>
      <c r="AU32" s="8"/>
      <c r="AV32" s="8">
        <f t="shared" si="3"/>
        <v>0</v>
      </c>
      <c r="AW32" s="8"/>
      <c r="AX32" s="8">
        <f t="shared" si="4"/>
        <v>0</v>
      </c>
    </row>
    <row r="33" spans="1:50" x14ac:dyDescent="0.2">
      <c r="A33" t="s">
        <v>86</v>
      </c>
      <c r="B33" s="5">
        <v>0.16</v>
      </c>
      <c r="C33" s="5">
        <v>0.21</v>
      </c>
      <c r="D33" s="5">
        <v>0.27</v>
      </c>
      <c r="E33" s="5">
        <v>1.8</v>
      </c>
      <c r="F33" s="5"/>
      <c r="G33" s="5">
        <v>1.65</v>
      </c>
      <c r="H33" s="5">
        <v>60.8</v>
      </c>
      <c r="I33" s="5">
        <v>37.299999999999997</v>
      </c>
      <c r="J33" s="5">
        <v>45.5</v>
      </c>
      <c r="K33" s="5">
        <v>24.1</v>
      </c>
      <c r="L33" s="5"/>
      <c r="M33" s="5">
        <v>2.4</v>
      </c>
      <c r="N33" s="5">
        <v>0.08</v>
      </c>
      <c r="O33" s="5">
        <v>0.1</v>
      </c>
      <c r="P33" s="5">
        <v>0.11</v>
      </c>
      <c r="Q33" s="5">
        <v>1</v>
      </c>
      <c r="R33" s="5">
        <v>1</v>
      </c>
      <c r="S33" s="5">
        <v>1.4</v>
      </c>
      <c r="T33" s="7">
        <f>(K33+L33)*2/100*$C$91</f>
        <v>682.99400000000003</v>
      </c>
      <c r="V33" s="7"/>
      <c r="W33" s="7"/>
      <c r="X33" s="7"/>
      <c r="Y33" s="7"/>
      <c r="AB33" s="7">
        <f t="shared" si="0"/>
        <v>939.9</v>
      </c>
      <c r="AF33" s="7">
        <f>(1/O33-1/C33)*$C$85*I33*$D$85+(1/P33-1/D33)*$C$87*J33*$D$87</f>
        <v>2281.7837710437711</v>
      </c>
      <c r="AH33" s="7">
        <f>(1/N33-1/B33)*$C$84*H33*$D$84+(1/S33-1/G33)*$C$86*M33*$D$86</f>
        <v>427.79220779220782</v>
      </c>
      <c r="AI33">
        <v>137</v>
      </c>
      <c r="AJ33" s="8">
        <f t="shared" si="1"/>
        <v>4.9853576642335771</v>
      </c>
      <c r="AK33" s="8"/>
      <c r="AL33" s="8"/>
      <c r="AM33" s="8"/>
      <c r="AN33" s="8"/>
      <c r="AO33" s="8"/>
      <c r="AP33" s="8"/>
      <c r="AQ33" s="8"/>
      <c r="AR33" s="8">
        <f t="shared" si="2"/>
        <v>6.8605839416058396</v>
      </c>
      <c r="AS33" s="8"/>
      <c r="AT33" s="8"/>
      <c r="AU33" s="8"/>
      <c r="AV33" s="8">
        <f t="shared" si="3"/>
        <v>16.655355993020226</v>
      </c>
      <c r="AW33" s="8"/>
      <c r="AX33" s="8">
        <f t="shared" si="4"/>
        <v>3.1225708597971376</v>
      </c>
    </row>
    <row r="34" spans="1:50" x14ac:dyDescent="0.2">
      <c r="A34" t="s">
        <v>87</v>
      </c>
      <c r="B34" s="5">
        <v>0.08</v>
      </c>
      <c r="C34" s="5">
        <v>0.1</v>
      </c>
      <c r="D34" s="5">
        <v>0.11</v>
      </c>
      <c r="E34" s="5">
        <v>1</v>
      </c>
      <c r="F34" s="5"/>
      <c r="G34" s="5">
        <v>1.4</v>
      </c>
      <c r="H34" s="5">
        <v>60.8</v>
      </c>
      <c r="I34" s="5">
        <v>37.299999999999997</v>
      </c>
      <c r="J34" s="5">
        <v>45.5</v>
      </c>
      <c r="K34" s="5">
        <v>24.1</v>
      </c>
      <c r="L34" s="5"/>
      <c r="M34" s="5">
        <v>2.4</v>
      </c>
      <c r="N34" s="5">
        <v>0.08</v>
      </c>
      <c r="O34" s="5">
        <v>0.1</v>
      </c>
      <c r="P34" s="5">
        <v>0.11</v>
      </c>
      <c r="Q34" s="5">
        <v>1</v>
      </c>
      <c r="R34" s="5">
        <v>1</v>
      </c>
      <c r="S34" s="5">
        <v>1.4</v>
      </c>
      <c r="T34" s="7">
        <v>0</v>
      </c>
      <c r="V34" s="7"/>
      <c r="W34" s="7"/>
      <c r="X34" s="7"/>
      <c r="Y34" s="7"/>
      <c r="AB34" s="7">
        <f t="shared" si="0"/>
        <v>939.9</v>
      </c>
      <c r="AF34" s="7">
        <f>(1/O34-1/C34)*$C$85*I34*$D$85+(1/P34-1/D34)*$C$87*J34*$D$87</f>
        <v>0</v>
      </c>
      <c r="AH34" s="7">
        <f>(1/N34-1/B34)*$C$84*H34*$D$84+(1/S34-1/G34)*$C$86*M34*$D$86</f>
        <v>0</v>
      </c>
      <c r="AI34">
        <v>137</v>
      </c>
      <c r="AJ34" s="8">
        <f t="shared" si="1"/>
        <v>0</v>
      </c>
      <c r="AK34" s="8"/>
      <c r="AL34" s="8"/>
      <c r="AM34" s="8"/>
      <c r="AN34" s="8"/>
      <c r="AO34" s="8"/>
      <c r="AP34" s="8"/>
      <c r="AQ34" s="8"/>
      <c r="AR34" s="8">
        <f t="shared" si="2"/>
        <v>6.8605839416058396</v>
      </c>
      <c r="AS34" s="8"/>
      <c r="AT34" s="8"/>
      <c r="AU34" s="8"/>
      <c r="AV34" s="8">
        <f t="shared" si="3"/>
        <v>0</v>
      </c>
      <c r="AW34" s="8"/>
      <c r="AX34" s="8">
        <f t="shared" si="4"/>
        <v>0</v>
      </c>
    </row>
    <row r="35" spans="1:50" x14ac:dyDescent="0.2">
      <c r="A35" t="s">
        <v>88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AB35" s="7">
        <f t="shared" si="0"/>
        <v>0</v>
      </c>
      <c r="AI35">
        <v>96</v>
      </c>
      <c r="AJ35" s="8">
        <f t="shared" si="1"/>
        <v>0</v>
      </c>
      <c r="AK35" s="8"/>
      <c r="AL35" s="8"/>
      <c r="AM35" s="8"/>
      <c r="AN35" s="8"/>
      <c r="AO35" s="8"/>
      <c r="AP35" s="8"/>
      <c r="AQ35" s="8"/>
      <c r="AR35" s="8">
        <f t="shared" si="2"/>
        <v>0</v>
      </c>
      <c r="AS35" s="8"/>
      <c r="AT35" s="8"/>
      <c r="AU35" s="8"/>
      <c r="AV35" s="8">
        <f t="shared" si="3"/>
        <v>0</v>
      </c>
      <c r="AW35" s="8"/>
      <c r="AX35" s="8">
        <f t="shared" si="4"/>
        <v>0</v>
      </c>
    </row>
    <row r="36" spans="1:50" x14ac:dyDescent="0.2">
      <c r="A36" t="s">
        <v>89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AB36" s="7">
        <f t="shared" si="0"/>
        <v>0</v>
      </c>
      <c r="AH36" s="7"/>
      <c r="AI36">
        <v>96</v>
      </c>
      <c r="AJ36" s="8">
        <f t="shared" si="1"/>
        <v>0</v>
      </c>
      <c r="AK36" s="8"/>
      <c r="AL36" s="8"/>
      <c r="AM36" s="8"/>
      <c r="AN36" s="8"/>
      <c r="AO36" s="8"/>
      <c r="AP36" s="8"/>
      <c r="AQ36" s="8"/>
      <c r="AR36" s="8">
        <f t="shared" si="2"/>
        <v>0</v>
      </c>
      <c r="AS36" s="8"/>
      <c r="AT36" s="8"/>
      <c r="AU36" s="8"/>
      <c r="AV36" s="8">
        <f t="shared" si="3"/>
        <v>0</v>
      </c>
      <c r="AW36" s="8"/>
      <c r="AX36" s="8">
        <f t="shared" si="4"/>
        <v>0</v>
      </c>
    </row>
    <row r="37" spans="1:50" x14ac:dyDescent="0.2">
      <c r="A37" t="s">
        <v>90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AB37" s="7">
        <f t="shared" si="0"/>
        <v>0</v>
      </c>
      <c r="AH37" s="7"/>
      <c r="AI37">
        <v>96</v>
      </c>
      <c r="AJ37" s="8">
        <f t="shared" si="1"/>
        <v>0</v>
      </c>
      <c r="AK37" s="8"/>
      <c r="AL37" s="8"/>
      <c r="AM37" s="8"/>
      <c r="AN37" s="8"/>
      <c r="AO37" s="8"/>
      <c r="AP37" s="8"/>
      <c r="AQ37" s="8"/>
      <c r="AR37" s="8">
        <f t="shared" si="2"/>
        <v>0</v>
      </c>
      <c r="AS37" s="8"/>
      <c r="AT37" s="8"/>
      <c r="AU37" s="8"/>
      <c r="AV37" s="8">
        <f t="shared" si="3"/>
        <v>0</v>
      </c>
      <c r="AW37" s="8"/>
      <c r="AX37" s="8">
        <f t="shared" si="4"/>
        <v>0</v>
      </c>
    </row>
    <row r="38" spans="1:50" x14ac:dyDescent="0.2">
      <c r="A38" t="s">
        <v>91</v>
      </c>
      <c r="B38" s="5">
        <v>2.08</v>
      </c>
      <c r="C38" s="5">
        <v>2.2200000000000002</v>
      </c>
      <c r="D38" s="5">
        <v>2.44</v>
      </c>
      <c r="E38" s="5">
        <v>5.2</v>
      </c>
      <c r="F38" s="5">
        <v>2.9</v>
      </c>
      <c r="G38" s="5">
        <v>3.5</v>
      </c>
      <c r="H38" s="5">
        <f>55.9+17.6</f>
        <v>73.5</v>
      </c>
      <c r="I38" s="5">
        <v>49</v>
      </c>
      <c r="J38" s="5">
        <v>55</v>
      </c>
      <c r="K38" s="5">
        <v>7</v>
      </c>
      <c r="L38" s="5">
        <v>14.2</v>
      </c>
      <c r="M38" s="5">
        <v>2.5</v>
      </c>
      <c r="N38" s="5">
        <v>0.15</v>
      </c>
      <c r="O38" s="5">
        <v>0.18</v>
      </c>
      <c r="P38" s="5">
        <v>0.18</v>
      </c>
      <c r="Q38" s="5">
        <v>1</v>
      </c>
      <c r="R38" s="5">
        <v>1</v>
      </c>
      <c r="S38" s="5">
        <v>1.4</v>
      </c>
      <c r="T38" s="7">
        <f>(K38+L38)*2/100*$C$91</f>
        <v>600.80799999999999</v>
      </c>
      <c r="V38" s="7"/>
      <c r="W38" s="7"/>
      <c r="X38" s="7"/>
      <c r="Y38" s="7"/>
      <c r="AB38" s="7">
        <f t="shared" si="0"/>
        <v>826.80000000000007</v>
      </c>
      <c r="AF38" s="7">
        <f>(1/O38-1/C38)*$C$85*I38*$D$85+(1/P38-1/D38)*$C$87*J38*$D$87</f>
        <v>2761.7932604735879</v>
      </c>
      <c r="AH38" s="7">
        <f>(1/N38-1/B38)*$C$84*H38*$D$84+(1/S38-1/G38)*$C$86*M38*$D$86</f>
        <v>512.70175137362639</v>
      </c>
      <c r="AI38">
        <v>96</v>
      </c>
      <c r="AJ38" s="8">
        <f t="shared" si="1"/>
        <v>6.2584166666666663</v>
      </c>
      <c r="AK38" s="8"/>
      <c r="AL38" s="8"/>
      <c r="AM38" s="8"/>
      <c r="AN38" s="8"/>
      <c r="AO38" s="8"/>
      <c r="AP38" s="8"/>
      <c r="AQ38" s="8"/>
      <c r="AR38" s="8">
        <f t="shared" si="2"/>
        <v>8.6125000000000007</v>
      </c>
      <c r="AS38" s="8"/>
      <c r="AT38" s="8"/>
      <c r="AU38" s="8"/>
      <c r="AV38" s="8">
        <f t="shared" si="3"/>
        <v>28.768679796599873</v>
      </c>
      <c r="AW38" s="8"/>
      <c r="AX38" s="8">
        <f t="shared" si="4"/>
        <v>5.3406432434752746</v>
      </c>
    </row>
    <row r="39" spans="1:50" x14ac:dyDescent="0.2">
      <c r="A39" t="s">
        <v>92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AB39" s="7">
        <f t="shared" si="0"/>
        <v>0</v>
      </c>
      <c r="AH39" s="7"/>
      <c r="AI39">
        <v>117</v>
      </c>
      <c r="AJ39" s="8">
        <f t="shared" si="1"/>
        <v>0</v>
      </c>
      <c r="AK39" s="8"/>
      <c r="AL39" s="8"/>
      <c r="AM39" s="8"/>
      <c r="AN39" s="8"/>
      <c r="AO39" s="8"/>
      <c r="AP39" s="8"/>
      <c r="AQ39" s="8"/>
      <c r="AR39" s="8">
        <f t="shared" si="2"/>
        <v>0</v>
      </c>
      <c r="AS39" s="8"/>
      <c r="AT39" s="8"/>
      <c r="AU39" s="8"/>
      <c r="AV39" s="8">
        <f t="shared" si="3"/>
        <v>0</v>
      </c>
      <c r="AW39" s="8"/>
      <c r="AX39" s="8">
        <f t="shared" si="4"/>
        <v>0</v>
      </c>
    </row>
    <row r="40" spans="1:50" x14ac:dyDescent="0.2">
      <c r="A40" t="s">
        <v>93</v>
      </c>
      <c r="B40" s="5">
        <v>0.89</v>
      </c>
      <c r="C40" s="5">
        <v>1.45</v>
      </c>
      <c r="D40" s="5">
        <v>2.33</v>
      </c>
      <c r="E40" s="5">
        <v>5.2</v>
      </c>
      <c r="F40" s="5">
        <v>2.9</v>
      </c>
      <c r="G40" s="5">
        <v>3.5</v>
      </c>
      <c r="H40" s="5">
        <v>65.5</v>
      </c>
      <c r="I40" s="5">
        <v>40.5</v>
      </c>
      <c r="J40" s="5">
        <v>52</v>
      </c>
      <c r="K40" s="5">
        <v>4.3</v>
      </c>
      <c r="L40" s="5">
        <v>21.3</v>
      </c>
      <c r="M40" s="5">
        <v>1.6</v>
      </c>
      <c r="N40" s="5">
        <v>0.14000000000000001</v>
      </c>
      <c r="O40" s="5">
        <v>0.18</v>
      </c>
      <c r="P40" s="5">
        <v>0.18</v>
      </c>
      <c r="Q40" s="5">
        <v>1</v>
      </c>
      <c r="R40" s="5">
        <v>1</v>
      </c>
      <c r="S40" s="5">
        <v>1.4</v>
      </c>
      <c r="T40" s="7">
        <f>(K40+L40)*2/100*$C$91</f>
        <v>725.50400000000002</v>
      </c>
      <c r="V40" s="7"/>
      <c r="W40" s="7"/>
      <c r="X40" s="7"/>
      <c r="Y40" s="7"/>
      <c r="AB40" s="7">
        <f t="shared" si="0"/>
        <v>998.4</v>
      </c>
      <c r="AF40" s="7">
        <f>(1/O40-1/C40)*$C$85*I40*$D$85+(1/P40-1/D40)*$C$87*J40*$D$87</f>
        <v>2401.6565356091623</v>
      </c>
      <c r="AH40" s="7">
        <f>(1/N40-1/B40)*$C$84*H40*$D$84+(1/S40-1/G40)*$C$86*M40*$D$86</f>
        <v>444.31577046548949</v>
      </c>
      <c r="AI40">
        <v>117</v>
      </c>
      <c r="AJ40" s="8">
        <f t="shared" si="1"/>
        <v>6.2008888888888887</v>
      </c>
      <c r="AK40" s="8"/>
      <c r="AL40" s="8"/>
      <c r="AM40" s="8"/>
      <c r="AN40" s="8"/>
      <c r="AO40" s="8"/>
      <c r="AP40" s="8"/>
      <c r="AQ40" s="8"/>
      <c r="AR40" s="8">
        <f t="shared" si="2"/>
        <v>8.5333333333333332</v>
      </c>
      <c r="AS40" s="8"/>
      <c r="AT40" s="8"/>
      <c r="AU40" s="8"/>
      <c r="AV40" s="8">
        <f t="shared" si="3"/>
        <v>20.526978936830446</v>
      </c>
      <c r="AW40" s="8"/>
      <c r="AX40" s="8">
        <f t="shared" si="4"/>
        <v>3.7975706877392263</v>
      </c>
    </row>
    <row r="41" spans="1:50" x14ac:dyDescent="0.2">
      <c r="A41" t="s">
        <v>94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AB41" s="7">
        <f t="shared" si="0"/>
        <v>0</v>
      </c>
      <c r="AH41" s="7"/>
      <c r="AI41">
        <v>117</v>
      </c>
      <c r="AJ41" s="8">
        <f t="shared" si="1"/>
        <v>0</v>
      </c>
      <c r="AK41" s="8"/>
      <c r="AL41" s="8"/>
      <c r="AM41" s="8"/>
      <c r="AN41" s="8"/>
      <c r="AO41" s="8"/>
      <c r="AP41" s="8"/>
      <c r="AQ41" s="8"/>
      <c r="AR41" s="8">
        <f t="shared" si="2"/>
        <v>0</v>
      </c>
      <c r="AS41" s="8"/>
      <c r="AT41" s="8"/>
      <c r="AU41" s="8"/>
      <c r="AV41" s="8">
        <f t="shared" si="3"/>
        <v>0</v>
      </c>
      <c r="AW41" s="8"/>
      <c r="AX41" s="8">
        <f t="shared" si="4"/>
        <v>0</v>
      </c>
    </row>
    <row r="42" spans="1:50" x14ac:dyDescent="0.2">
      <c r="A42" t="s">
        <v>95</v>
      </c>
      <c r="B42" s="5">
        <v>0.64</v>
      </c>
      <c r="C42" s="5">
        <v>0.64</v>
      </c>
      <c r="D42" s="5">
        <v>1.28</v>
      </c>
      <c r="E42" s="5">
        <v>5.2</v>
      </c>
      <c r="F42" s="5">
        <v>2.9</v>
      </c>
      <c r="G42" s="5">
        <v>3.5</v>
      </c>
      <c r="H42" s="5">
        <v>68.599999999999994</v>
      </c>
      <c r="I42" s="5">
        <v>40.6</v>
      </c>
      <c r="J42" s="5">
        <v>51</v>
      </c>
      <c r="K42" s="5">
        <v>3.1</v>
      </c>
      <c r="L42" s="5">
        <v>16.2</v>
      </c>
      <c r="M42" s="5">
        <v>1.8</v>
      </c>
      <c r="N42" s="5">
        <v>0.13</v>
      </c>
      <c r="O42" s="5">
        <v>0.15</v>
      </c>
      <c r="P42" s="5">
        <v>0.17</v>
      </c>
      <c r="Q42" s="5">
        <v>1</v>
      </c>
      <c r="R42" s="5">
        <v>1</v>
      </c>
      <c r="S42" s="5">
        <v>1.4</v>
      </c>
      <c r="T42" s="7">
        <f>(K42+L42)*2/100*$C$91</f>
        <v>546.96199999999999</v>
      </c>
      <c r="V42" s="7"/>
      <c r="W42" s="7"/>
      <c r="X42" s="7"/>
      <c r="Y42" s="7"/>
      <c r="AB42" s="7">
        <f t="shared" si="0"/>
        <v>752.69999999999993</v>
      </c>
      <c r="AF42" s="7">
        <f>(1/O42-1/C42)*$C$85*I42*$D$85+(1/P42-1/D42)*$C$87*J42*$D$87</f>
        <v>2421.0564583333335</v>
      </c>
      <c r="AH42" s="7">
        <f>(1/N42-1/B42)*$C$84*H42*$D$84+(1/S42-1/G42)*$C$86*M42*$D$86</f>
        <v>473.93576579670315</v>
      </c>
      <c r="AI42">
        <v>117</v>
      </c>
      <c r="AJ42" s="8">
        <f t="shared" si="1"/>
        <v>4.6748888888888889</v>
      </c>
      <c r="AK42" s="8"/>
      <c r="AL42" s="8"/>
      <c r="AM42" s="8"/>
      <c r="AN42" s="8"/>
      <c r="AO42" s="8"/>
      <c r="AP42" s="8"/>
      <c r="AQ42" s="8"/>
      <c r="AR42" s="8">
        <f t="shared" si="2"/>
        <v>6.4333333333333327</v>
      </c>
      <c r="AS42" s="8"/>
      <c r="AT42" s="8"/>
      <c r="AU42" s="8"/>
      <c r="AV42" s="8">
        <f t="shared" si="3"/>
        <v>20.692790242165245</v>
      </c>
      <c r="AW42" s="8"/>
      <c r="AX42" s="8">
        <f t="shared" si="4"/>
        <v>4.0507330409974625</v>
      </c>
    </row>
    <row r="43" spans="1:50" x14ac:dyDescent="0.2">
      <c r="A43" t="s">
        <v>96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AB43" s="7">
        <f t="shared" si="0"/>
        <v>0</v>
      </c>
      <c r="AH43" s="7"/>
      <c r="AI43">
        <v>125</v>
      </c>
      <c r="AJ43" s="8">
        <f t="shared" si="1"/>
        <v>0</v>
      </c>
      <c r="AK43" s="8"/>
      <c r="AL43" s="8"/>
      <c r="AM43" s="8"/>
      <c r="AN43" s="8"/>
      <c r="AO43" s="8"/>
      <c r="AP43" s="8"/>
      <c r="AQ43" s="8"/>
      <c r="AR43" s="8">
        <f t="shared" si="2"/>
        <v>0</v>
      </c>
      <c r="AS43" s="8"/>
      <c r="AT43" s="8"/>
      <c r="AU43" s="8"/>
      <c r="AV43" s="8">
        <f t="shared" si="3"/>
        <v>0</v>
      </c>
      <c r="AW43" s="8"/>
      <c r="AX43" s="8">
        <f t="shared" si="4"/>
        <v>0</v>
      </c>
    </row>
    <row r="44" spans="1:50" x14ac:dyDescent="0.2">
      <c r="A44" t="s">
        <v>97</v>
      </c>
      <c r="B44" s="5">
        <v>0.36</v>
      </c>
      <c r="C44" s="5">
        <v>0.36</v>
      </c>
      <c r="D44" s="5">
        <v>0.36</v>
      </c>
      <c r="E44" s="5">
        <v>2.9</v>
      </c>
      <c r="F44" s="5">
        <v>1.8</v>
      </c>
      <c r="G44" s="5">
        <v>3.5</v>
      </c>
      <c r="H44" s="5">
        <v>56.1</v>
      </c>
      <c r="I44" s="5">
        <v>49.9</v>
      </c>
      <c r="J44" s="5">
        <v>56</v>
      </c>
      <c r="K44" s="5">
        <v>7</v>
      </c>
      <c r="L44" s="5">
        <v>14.8</v>
      </c>
      <c r="M44" s="5">
        <v>2.2999999999999998</v>
      </c>
      <c r="N44" s="5">
        <v>0.11</v>
      </c>
      <c r="O44" s="5">
        <v>0.13</v>
      </c>
      <c r="P44" s="5">
        <v>0.13</v>
      </c>
      <c r="Q44" s="5">
        <v>1</v>
      </c>
      <c r="R44" s="5">
        <v>1</v>
      </c>
      <c r="S44" s="5">
        <v>1.4</v>
      </c>
      <c r="T44" s="7">
        <f>(K44+L44)*2/100*$C$91</f>
        <v>617.81200000000001</v>
      </c>
      <c r="V44" s="7"/>
      <c r="W44" s="7"/>
      <c r="X44" s="7"/>
      <c r="Y44" s="7"/>
      <c r="AB44" s="7">
        <f t="shared" si="0"/>
        <v>850.2</v>
      </c>
      <c r="AF44" s="7">
        <f>(1/O44-1/C44)*$C$85*I44*$D$85+(1/P44-1/D44)*$C$87*J44*$D$87</f>
        <v>2695.9243589743583</v>
      </c>
      <c r="AH44" s="7">
        <f>(1/N44-1/B44)*$C$84*H44*$D$84+(1/S44-1/G44)*$C$86*M44*$D$86</f>
        <v>399.54642857142869</v>
      </c>
      <c r="AI44">
        <v>125</v>
      </c>
      <c r="AJ44" s="8">
        <f t="shared" si="1"/>
        <v>4.9424960000000002</v>
      </c>
      <c r="AK44" s="8"/>
      <c r="AL44" s="8"/>
      <c r="AM44" s="8"/>
      <c r="AN44" s="8"/>
      <c r="AO44" s="8"/>
      <c r="AP44" s="8"/>
      <c r="AQ44" s="8"/>
      <c r="AR44" s="8">
        <f t="shared" si="2"/>
        <v>6.8016000000000005</v>
      </c>
      <c r="AS44" s="8"/>
      <c r="AT44" s="8"/>
      <c r="AU44" s="8"/>
      <c r="AV44" s="8">
        <f t="shared" si="3"/>
        <v>21.567394871794868</v>
      </c>
      <c r="AW44" s="8"/>
      <c r="AX44" s="8">
        <f t="shared" si="4"/>
        <v>3.1963714285714295</v>
      </c>
    </row>
    <row r="45" spans="1:50" x14ac:dyDescent="0.2">
      <c r="A45" t="s">
        <v>98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AB45" s="7">
        <f t="shared" si="0"/>
        <v>0</v>
      </c>
      <c r="AH45" s="7"/>
      <c r="AI45">
        <v>137</v>
      </c>
      <c r="AJ45" s="8">
        <f t="shared" si="1"/>
        <v>0</v>
      </c>
      <c r="AK45" s="8"/>
      <c r="AL45" s="8"/>
      <c r="AM45" s="8"/>
      <c r="AN45" s="8"/>
      <c r="AO45" s="8"/>
      <c r="AP45" s="8"/>
      <c r="AQ45" s="8"/>
      <c r="AR45" s="8">
        <f t="shared" si="2"/>
        <v>0</v>
      </c>
      <c r="AS45" s="8"/>
      <c r="AT45" s="8"/>
      <c r="AU45" s="8"/>
      <c r="AV45" s="8">
        <f t="shared" si="3"/>
        <v>0</v>
      </c>
      <c r="AW45" s="8"/>
      <c r="AX45" s="8">
        <f t="shared" si="4"/>
        <v>0</v>
      </c>
    </row>
    <row r="46" spans="1:50" x14ac:dyDescent="0.2">
      <c r="A46" t="s">
        <v>99</v>
      </c>
      <c r="B46" s="5">
        <v>0.23</v>
      </c>
      <c r="C46" s="5">
        <v>0.27</v>
      </c>
      <c r="D46" s="5">
        <v>0.27</v>
      </c>
      <c r="E46" s="5">
        <v>1.8</v>
      </c>
      <c r="F46" s="5"/>
      <c r="G46" s="5">
        <v>1.65</v>
      </c>
      <c r="H46" s="5">
        <v>60.8</v>
      </c>
      <c r="I46" s="5">
        <v>37.299999999999997</v>
      </c>
      <c r="J46" s="5">
        <v>45.5</v>
      </c>
      <c r="K46" s="5">
        <v>24.1</v>
      </c>
      <c r="L46" s="5"/>
      <c r="M46" s="5">
        <v>2.4</v>
      </c>
      <c r="N46" s="5">
        <v>0.1</v>
      </c>
      <c r="O46" s="5">
        <v>0.11</v>
      </c>
      <c r="P46" s="5">
        <v>0.11</v>
      </c>
      <c r="Q46" s="5">
        <v>1</v>
      </c>
      <c r="R46" s="5">
        <v>1</v>
      </c>
      <c r="S46" s="5">
        <v>1.4</v>
      </c>
      <c r="T46" s="7">
        <f>(K46+L46)*2/100*$C$91</f>
        <v>682.99400000000003</v>
      </c>
      <c r="V46" s="7"/>
      <c r="W46" s="7"/>
      <c r="X46" s="7"/>
      <c r="Y46" s="7"/>
      <c r="AB46" s="7">
        <f t="shared" si="0"/>
        <v>939.9</v>
      </c>
      <c r="AF46" s="7">
        <f>(1/O46-1/C46)*$C$85*I46*$D$85+(1/P46-1/D46)*$C$87*J46*$D$87</f>
        <v>2310.5939393939398</v>
      </c>
      <c r="AH46" s="7">
        <f>(1/N46-1/B46)*$C$84*H46*$D$84+(1/S46-1/G46)*$C$86*M46*$D$86</f>
        <v>386.90090344438175</v>
      </c>
      <c r="AI46">
        <v>137</v>
      </c>
      <c r="AJ46" s="8">
        <f t="shared" si="1"/>
        <v>4.9853576642335771</v>
      </c>
      <c r="AK46" s="8"/>
      <c r="AL46" s="8"/>
      <c r="AM46" s="8"/>
      <c r="AN46" s="8"/>
      <c r="AO46" s="8"/>
      <c r="AP46" s="8"/>
      <c r="AQ46" s="8"/>
      <c r="AR46" s="8">
        <f t="shared" si="2"/>
        <v>6.8605839416058396</v>
      </c>
      <c r="AS46" s="8"/>
      <c r="AT46" s="8"/>
      <c r="AU46" s="8"/>
      <c r="AV46" s="8">
        <f t="shared" si="3"/>
        <v>16.865649192656495</v>
      </c>
      <c r="AW46" s="8"/>
      <c r="AX46" s="8">
        <f t="shared" si="4"/>
        <v>2.8240941857254143</v>
      </c>
    </row>
    <row r="47" spans="1:50" x14ac:dyDescent="0.2">
      <c r="A47" t="s">
        <v>100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AB47" s="7">
        <f t="shared" si="0"/>
        <v>0</v>
      </c>
      <c r="AH47" s="7"/>
      <c r="AI47">
        <v>137</v>
      </c>
      <c r="AJ47" s="8">
        <f t="shared" si="1"/>
        <v>0</v>
      </c>
      <c r="AK47" s="8"/>
      <c r="AL47" s="8"/>
      <c r="AM47" s="8"/>
      <c r="AN47" s="8"/>
      <c r="AO47" s="8"/>
      <c r="AP47" s="8"/>
      <c r="AQ47" s="8"/>
      <c r="AR47" s="8">
        <f t="shared" si="2"/>
        <v>0</v>
      </c>
      <c r="AS47" s="8"/>
      <c r="AT47" s="8"/>
      <c r="AU47" s="8"/>
      <c r="AV47" s="8">
        <f t="shared" si="3"/>
        <v>0</v>
      </c>
      <c r="AW47" s="8"/>
      <c r="AX47" s="8">
        <f t="shared" si="4"/>
        <v>0</v>
      </c>
    </row>
    <row r="48" spans="1:50" x14ac:dyDescent="0.2">
      <c r="A48" t="s">
        <v>101</v>
      </c>
      <c r="B48" s="5">
        <v>0.16</v>
      </c>
      <c r="C48" s="5">
        <v>0.21</v>
      </c>
      <c r="D48" s="5">
        <v>0.27</v>
      </c>
      <c r="E48" s="5">
        <v>1.8</v>
      </c>
      <c r="F48" s="5"/>
      <c r="G48" s="5">
        <v>1.65</v>
      </c>
      <c r="H48" s="5">
        <v>60.8</v>
      </c>
      <c r="I48" s="5">
        <v>37.299999999999997</v>
      </c>
      <c r="J48" s="5">
        <v>45.5</v>
      </c>
      <c r="K48" s="5">
        <v>24.1</v>
      </c>
      <c r="L48" s="5"/>
      <c r="M48" s="5">
        <v>2.4</v>
      </c>
      <c r="N48" s="5">
        <v>0.08</v>
      </c>
      <c r="O48" s="5">
        <v>0.1</v>
      </c>
      <c r="P48" s="5">
        <v>0.11</v>
      </c>
      <c r="Q48" s="5">
        <v>1</v>
      </c>
      <c r="R48" s="5">
        <v>1</v>
      </c>
      <c r="S48" s="5">
        <v>1.4</v>
      </c>
      <c r="T48" s="7">
        <f>(K48+L48)*2/100*$C$91</f>
        <v>682.99400000000003</v>
      </c>
      <c r="V48" s="7"/>
      <c r="W48" s="7"/>
      <c r="X48" s="7"/>
      <c r="Y48" s="7"/>
      <c r="AB48" s="7">
        <f t="shared" si="0"/>
        <v>939.9</v>
      </c>
      <c r="AF48" s="7">
        <f>(1/O48-1/C48)*$C$85*I48*$D$85+(1/P48-1/D48)*$C$87*J48*$D$87</f>
        <v>2281.7837710437711</v>
      </c>
      <c r="AH48" s="7">
        <f>(1/N48-1/B48)*$C$84*H48*$D$84+(1/S48-1/G48)*$C$86*M48*$D$86</f>
        <v>427.79220779220782</v>
      </c>
      <c r="AI48">
        <v>137</v>
      </c>
      <c r="AJ48" s="8">
        <f t="shared" si="1"/>
        <v>4.9853576642335771</v>
      </c>
      <c r="AK48" s="8"/>
      <c r="AL48" s="8"/>
      <c r="AM48" s="8"/>
      <c r="AN48" s="8"/>
      <c r="AO48" s="8"/>
      <c r="AP48" s="8"/>
      <c r="AQ48" s="8"/>
      <c r="AR48" s="8">
        <f t="shared" si="2"/>
        <v>6.8605839416058396</v>
      </c>
      <c r="AS48" s="8"/>
      <c r="AT48" s="8"/>
      <c r="AU48" s="8"/>
      <c r="AV48" s="8">
        <f t="shared" si="3"/>
        <v>16.655355993020226</v>
      </c>
      <c r="AW48" s="8"/>
      <c r="AX48" s="8">
        <f t="shared" si="4"/>
        <v>3.1225708597971376</v>
      </c>
    </row>
    <row r="49" spans="1:50" x14ac:dyDescent="0.2">
      <c r="A49" t="s">
        <v>102</v>
      </c>
      <c r="B49" s="5">
        <v>0.08</v>
      </c>
      <c r="C49" s="5">
        <v>0.1</v>
      </c>
      <c r="D49" s="5">
        <v>0.11</v>
      </c>
      <c r="E49" s="5">
        <v>1</v>
      </c>
      <c r="F49" s="5"/>
      <c r="G49" s="5">
        <v>1.4</v>
      </c>
      <c r="H49" s="5">
        <v>60.8</v>
      </c>
      <c r="I49" s="5">
        <v>37.299999999999997</v>
      </c>
      <c r="J49" s="5">
        <v>45.5</v>
      </c>
      <c r="K49" s="5">
        <v>24.1</v>
      </c>
      <c r="L49" s="5"/>
      <c r="M49" s="5">
        <v>2.4</v>
      </c>
      <c r="N49" s="5">
        <v>0.08</v>
      </c>
      <c r="O49" s="5">
        <v>0.1</v>
      </c>
      <c r="P49" s="5">
        <v>0.11</v>
      </c>
      <c r="Q49" s="5">
        <v>1</v>
      </c>
      <c r="R49" s="5">
        <v>1</v>
      </c>
      <c r="S49" s="5">
        <v>1.4</v>
      </c>
      <c r="T49" s="7">
        <v>0</v>
      </c>
      <c r="V49" s="7"/>
      <c r="W49" s="7"/>
      <c r="X49" s="7"/>
      <c r="Y49" s="7"/>
      <c r="AB49" s="7">
        <f t="shared" si="0"/>
        <v>939.9</v>
      </c>
      <c r="AF49" s="7">
        <f>(1/O49-1/C49)*$C$85*I49*$D$85+(1/P49-1/D49)*$C$87*J49*$D$87</f>
        <v>0</v>
      </c>
      <c r="AH49" s="7">
        <f>(1/N49-1/B49)*$C$84*H49*$D$84+(1/S49-1/G49)*$C$86*M49*$D$86</f>
        <v>0</v>
      </c>
      <c r="AI49">
        <v>137</v>
      </c>
      <c r="AJ49" s="8">
        <f t="shared" si="1"/>
        <v>0</v>
      </c>
      <c r="AK49" s="8"/>
      <c r="AL49" s="8"/>
      <c r="AM49" s="8"/>
      <c r="AN49" s="8"/>
      <c r="AO49" s="8"/>
      <c r="AP49" s="8"/>
      <c r="AQ49" s="8"/>
      <c r="AR49" s="8">
        <f t="shared" si="2"/>
        <v>6.8605839416058396</v>
      </c>
      <c r="AS49" s="8"/>
      <c r="AT49" s="8"/>
      <c r="AU49" s="8"/>
      <c r="AV49" s="8">
        <f t="shared" si="3"/>
        <v>0</v>
      </c>
      <c r="AW49" s="8"/>
      <c r="AX49" s="8">
        <f t="shared" si="4"/>
        <v>0</v>
      </c>
    </row>
    <row r="50" spans="1:50" x14ac:dyDescent="0.2">
      <c r="A50" t="s">
        <v>103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AB50" s="7">
        <f t="shared" si="0"/>
        <v>0</v>
      </c>
      <c r="AI50">
        <v>2033</v>
      </c>
      <c r="AJ50" s="8">
        <f t="shared" si="1"/>
        <v>0</v>
      </c>
      <c r="AK50" s="8"/>
      <c r="AL50" s="8"/>
      <c r="AM50" s="8"/>
      <c r="AN50" s="8"/>
      <c r="AO50" s="8"/>
      <c r="AP50" s="8"/>
      <c r="AQ50" s="8"/>
      <c r="AR50" s="8">
        <f t="shared" si="2"/>
        <v>0</v>
      </c>
      <c r="AS50" s="8"/>
      <c r="AT50" s="8"/>
      <c r="AU50" s="8"/>
      <c r="AV50" s="8">
        <f t="shared" si="3"/>
        <v>0</v>
      </c>
      <c r="AW50" s="8"/>
      <c r="AX50" s="8">
        <f t="shared" si="4"/>
        <v>0</v>
      </c>
    </row>
    <row r="51" spans="1:50" x14ac:dyDescent="0.2">
      <c r="A51" t="s">
        <v>104</v>
      </c>
      <c r="B51" s="5">
        <v>1.54</v>
      </c>
      <c r="C51" s="5">
        <v>1.61</v>
      </c>
      <c r="D51" s="5">
        <v>1.1399999999999999</v>
      </c>
      <c r="E51" s="5">
        <v>5.2</v>
      </c>
      <c r="F51" s="5">
        <v>2.9</v>
      </c>
      <c r="G51" s="5">
        <v>3.5</v>
      </c>
      <c r="H51" s="5">
        <v>501.9</v>
      </c>
      <c r="I51" s="5">
        <v>1189.7</v>
      </c>
      <c r="J51" s="5">
        <v>462</v>
      </c>
      <c r="K51" s="5">
        <v>81.2</v>
      </c>
      <c r="L51" s="5">
        <v>422.8</v>
      </c>
      <c r="M51" s="5">
        <v>58.8</v>
      </c>
      <c r="N51" s="5">
        <v>0.15</v>
      </c>
      <c r="O51" s="5">
        <v>0.18</v>
      </c>
      <c r="P51" s="5">
        <v>0.17</v>
      </c>
      <c r="Q51" s="5">
        <v>1</v>
      </c>
      <c r="R51" s="5">
        <v>1</v>
      </c>
      <c r="S51" s="5">
        <v>1.4</v>
      </c>
      <c r="T51" s="7">
        <f>(K51+L51)*2/100*$C$91</f>
        <v>14283.36</v>
      </c>
      <c r="V51" s="7"/>
      <c r="W51" s="7"/>
      <c r="X51" s="7"/>
      <c r="Y51" s="7"/>
      <c r="AB51" s="7">
        <f t="shared" si="0"/>
        <v>19656</v>
      </c>
      <c r="AF51" s="7">
        <f>(1/O51-1/C51)*$C$85*I51*$D$85+(1/P51-1/D51)*$C$87*J51*$D$87</f>
        <v>42387.34039425075</v>
      </c>
      <c r="AH51" s="7">
        <f>(1/N51-1/B51)*$C$84*H51*$D$84+(1/S51-1/G51)*$C$86*M51*$D$86</f>
        <v>3425.9522727272733</v>
      </c>
      <c r="AI51">
        <v>2033</v>
      </c>
      <c r="AJ51" s="8">
        <f t="shared" si="1"/>
        <v>7.0257550418101333</v>
      </c>
      <c r="AK51" s="8"/>
      <c r="AL51" s="8"/>
      <c r="AM51" s="8"/>
      <c r="AN51" s="8"/>
      <c r="AO51" s="8"/>
      <c r="AP51" s="8"/>
      <c r="AQ51" s="8"/>
      <c r="AR51" s="8">
        <f t="shared" si="2"/>
        <v>9.6684702410231189</v>
      </c>
      <c r="AS51" s="8"/>
      <c r="AT51" s="8"/>
      <c r="AU51" s="8"/>
      <c r="AV51" s="8">
        <f t="shared" si="3"/>
        <v>20.84965095634567</v>
      </c>
      <c r="AW51" s="8"/>
      <c r="AX51" s="8">
        <f t="shared" si="4"/>
        <v>1.6851708178688014</v>
      </c>
    </row>
    <row r="52" spans="1:50" x14ac:dyDescent="0.2">
      <c r="A52" t="s">
        <v>105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AB52" s="7">
        <f t="shared" si="0"/>
        <v>0</v>
      </c>
      <c r="AH52" s="7"/>
      <c r="AI52">
        <v>5051</v>
      </c>
      <c r="AJ52" s="8">
        <f t="shared" si="1"/>
        <v>0</v>
      </c>
      <c r="AK52" s="8"/>
      <c r="AL52" s="8"/>
      <c r="AM52" s="8"/>
      <c r="AN52" s="8"/>
      <c r="AO52" s="8"/>
      <c r="AP52" s="8"/>
      <c r="AQ52" s="8"/>
      <c r="AR52" s="8">
        <f t="shared" si="2"/>
        <v>0</v>
      </c>
      <c r="AS52" s="8"/>
      <c r="AT52" s="8"/>
      <c r="AU52" s="8"/>
      <c r="AV52" s="8">
        <f t="shared" si="3"/>
        <v>0</v>
      </c>
      <c r="AW52" s="8"/>
      <c r="AX52" s="8">
        <f t="shared" si="4"/>
        <v>0</v>
      </c>
    </row>
    <row r="53" spans="1:50" x14ac:dyDescent="0.2">
      <c r="A53" t="s">
        <v>106</v>
      </c>
      <c r="B53" s="5">
        <v>0.89</v>
      </c>
      <c r="C53" s="5">
        <v>1.45</v>
      </c>
      <c r="D53" s="5">
        <v>1.37</v>
      </c>
      <c r="E53" s="5">
        <v>5.2</v>
      </c>
      <c r="F53" s="5">
        <v>2.9</v>
      </c>
      <c r="G53" s="5">
        <v>3.5</v>
      </c>
      <c r="H53" s="5">
        <v>713.4</v>
      </c>
      <c r="I53" s="5">
        <v>1569.4</v>
      </c>
      <c r="J53" s="5">
        <v>656</v>
      </c>
      <c r="K53" s="5">
        <v>384.4</v>
      </c>
      <c r="L53" s="5">
        <v>884.8</v>
      </c>
      <c r="M53" s="5">
        <v>117.6</v>
      </c>
      <c r="N53" s="5">
        <v>0.14000000000000001</v>
      </c>
      <c r="O53" s="5">
        <v>0.18</v>
      </c>
      <c r="P53" s="5">
        <v>0.17</v>
      </c>
      <c r="Q53" s="5">
        <v>1</v>
      </c>
      <c r="R53" s="5">
        <v>1</v>
      </c>
      <c r="S53" s="5">
        <v>1.4</v>
      </c>
      <c r="T53" s="7">
        <f>(K53+L53)*2/100*$C$91</f>
        <v>35969.127999999997</v>
      </c>
      <c r="V53" s="7"/>
      <c r="W53" s="7"/>
      <c r="X53" s="7"/>
      <c r="Y53" s="7"/>
      <c r="AB53" s="7">
        <f t="shared" si="0"/>
        <v>49498.799999999988</v>
      </c>
      <c r="AF53" s="7">
        <f>(1/O53-1/C53)*$C$85*I53*$D$85+(1/P53-1/D53)*$C$87*J53*$D$87</f>
        <v>57065.653754937324</v>
      </c>
      <c r="AH53" s="7">
        <f>(1/N53-1/B53)*$C$84*H53*$D$84+(1/S53-1/G53)*$C$86*M53*$D$86</f>
        <v>4887.6089085072226</v>
      </c>
      <c r="AI53">
        <v>5051</v>
      </c>
      <c r="AJ53" s="8">
        <f t="shared" si="1"/>
        <v>7.1211894674321909</v>
      </c>
      <c r="AK53" s="8"/>
      <c r="AL53" s="8"/>
      <c r="AM53" s="8"/>
      <c r="AN53" s="8"/>
      <c r="AO53" s="8"/>
      <c r="AP53" s="8"/>
      <c r="AQ53" s="8"/>
      <c r="AR53" s="8">
        <f t="shared" si="2"/>
        <v>9.7998020194020956</v>
      </c>
      <c r="AS53" s="8"/>
      <c r="AT53" s="8"/>
      <c r="AU53" s="8"/>
      <c r="AV53" s="8">
        <f t="shared" si="3"/>
        <v>11.297892250037087</v>
      </c>
      <c r="AW53" s="8"/>
      <c r="AX53" s="8">
        <f t="shared" si="4"/>
        <v>0.96765173401449667</v>
      </c>
    </row>
    <row r="54" spans="1:50" x14ac:dyDescent="0.2">
      <c r="A54" t="s">
        <v>107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AB54" s="7">
        <f t="shared" si="0"/>
        <v>0</v>
      </c>
      <c r="AH54" s="7"/>
      <c r="AI54">
        <v>1155</v>
      </c>
      <c r="AJ54" s="8">
        <f t="shared" si="1"/>
        <v>0</v>
      </c>
      <c r="AK54" s="8"/>
      <c r="AL54" s="8"/>
      <c r="AM54" s="8"/>
      <c r="AN54" s="8"/>
      <c r="AO54" s="8"/>
      <c r="AP54" s="8"/>
      <c r="AQ54" s="8"/>
      <c r="AR54" s="8">
        <f t="shared" si="2"/>
        <v>0</v>
      </c>
      <c r="AS54" s="8"/>
      <c r="AT54" s="8"/>
      <c r="AU54" s="8"/>
      <c r="AV54" s="8">
        <f t="shared" si="3"/>
        <v>0</v>
      </c>
      <c r="AW54" s="8"/>
      <c r="AX54" s="8">
        <f t="shared" si="4"/>
        <v>0</v>
      </c>
    </row>
    <row r="55" spans="1:50" x14ac:dyDescent="0.2">
      <c r="A55" t="s">
        <v>108</v>
      </c>
      <c r="B55" s="5">
        <v>0.64</v>
      </c>
      <c r="C55" s="5">
        <v>0.64</v>
      </c>
      <c r="D55" s="5">
        <v>0.54</v>
      </c>
      <c r="E55" s="5">
        <v>2.9</v>
      </c>
      <c r="F55" s="5"/>
      <c r="G55" s="5">
        <v>3.5</v>
      </c>
      <c r="H55" s="5">
        <v>409.5</v>
      </c>
      <c r="I55" s="5">
        <v>656.7</v>
      </c>
      <c r="J55" s="5">
        <v>350</v>
      </c>
      <c r="K55" s="5">
        <v>195</v>
      </c>
      <c r="L55" s="5"/>
      <c r="M55" s="5">
        <v>33</v>
      </c>
      <c r="N55" s="5">
        <v>0.13</v>
      </c>
      <c r="O55" s="5">
        <v>0.15</v>
      </c>
      <c r="P55" s="5">
        <v>0.15</v>
      </c>
      <c r="Q55" s="5">
        <v>1</v>
      </c>
      <c r="R55" s="5">
        <v>1</v>
      </c>
      <c r="S55" s="5">
        <v>1.4</v>
      </c>
      <c r="T55" s="7">
        <f>(K55+L55)*2/100*$C$91</f>
        <v>5526.3</v>
      </c>
      <c r="V55" s="7"/>
      <c r="W55" s="7"/>
      <c r="X55" s="7"/>
      <c r="Y55" s="7"/>
      <c r="AB55" s="7">
        <f t="shared" si="0"/>
        <v>7604.9999999999991</v>
      </c>
      <c r="AF55" s="7">
        <f>(1/O55-1/C55)*$C$85*I55*$D$85+(1/P55-1/D55)*$C$87*J55*$D$87</f>
        <v>26092.133634259259</v>
      </c>
      <c r="AH55" s="7">
        <f>(1/N55-1/B55)*$C$84*H55*$D$84+(1/S55-1/G55)*$C$86*M55*$D$86</f>
        <v>2839.8364955357138</v>
      </c>
      <c r="AI55">
        <v>1155</v>
      </c>
      <c r="AJ55" s="8">
        <f t="shared" si="1"/>
        <v>4.7846753246753249</v>
      </c>
      <c r="AK55" s="8"/>
      <c r="AL55" s="8"/>
      <c r="AM55" s="8"/>
      <c r="AN55" s="8"/>
      <c r="AO55" s="8"/>
      <c r="AP55" s="8"/>
      <c r="AQ55" s="8"/>
      <c r="AR55" s="8">
        <f t="shared" si="2"/>
        <v>6.5844155844155834</v>
      </c>
      <c r="AS55" s="8"/>
      <c r="AT55" s="8"/>
      <c r="AU55" s="8"/>
      <c r="AV55" s="8">
        <f t="shared" si="3"/>
        <v>22.590591891133556</v>
      </c>
      <c r="AW55" s="8"/>
      <c r="AX55" s="8">
        <f t="shared" si="4"/>
        <v>2.4587328965677178</v>
      </c>
    </row>
    <row r="56" spans="1:50" x14ac:dyDescent="0.2">
      <c r="A56" t="s">
        <v>109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AB56" s="7">
        <f t="shared" si="0"/>
        <v>0</v>
      </c>
      <c r="AH56" s="7"/>
      <c r="AI56">
        <v>2607</v>
      </c>
      <c r="AJ56" s="8">
        <f t="shared" si="1"/>
        <v>0</v>
      </c>
      <c r="AK56" s="8"/>
      <c r="AL56" s="8"/>
      <c r="AM56" s="8"/>
      <c r="AN56" s="8"/>
      <c r="AO56" s="8"/>
      <c r="AP56" s="8"/>
      <c r="AQ56" s="8"/>
      <c r="AR56" s="8">
        <f t="shared" si="2"/>
        <v>0</v>
      </c>
      <c r="AS56" s="8"/>
      <c r="AT56" s="8"/>
      <c r="AU56" s="8"/>
      <c r="AV56" s="8">
        <f t="shared" si="3"/>
        <v>0</v>
      </c>
      <c r="AW56" s="8"/>
      <c r="AX56" s="8">
        <f t="shared" si="4"/>
        <v>0</v>
      </c>
    </row>
    <row r="57" spans="1:50" x14ac:dyDescent="0.2">
      <c r="A57" t="s">
        <v>110</v>
      </c>
      <c r="B57" s="5">
        <v>0.36</v>
      </c>
      <c r="C57" s="5">
        <v>0.36</v>
      </c>
      <c r="D57" s="5">
        <v>0.32</v>
      </c>
      <c r="E57" s="5">
        <v>2.9</v>
      </c>
      <c r="F57" s="5">
        <v>1.8</v>
      </c>
      <c r="G57" s="5">
        <v>2</v>
      </c>
      <c r="H57" s="5">
        <v>523.6</v>
      </c>
      <c r="I57" s="5">
        <v>1014.8</v>
      </c>
      <c r="J57" s="5">
        <v>474</v>
      </c>
      <c r="K57" s="5">
        <v>141</v>
      </c>
      <c r="L57" s="5">
        <v>375</v>
      </c>
      <c r="M57" s="5">
        <v>69</v>
      </c>
      <c r="N57" s="5">
        <v>0.11</v>
      </c>
      <c r="O57" s="5">
        <v>0.13</v>
      </c>
      <c r="P57" s="5">
        <v>0.12</v>
      </c>
      <c r="Q57" s="5">
        <v>1</v>
      </c>
      <c r="R57" s="5">
        <v>1</v>
      </c>
      <c r="S57" s="5">
        <v>1.4</v>
      </c>
      <c r="T57" s="7">
        <f>(K57+L57)*2/100*$C$91</f>
        <v>14623.44</v>
      </c>
      <c r="V57" s="7"/>
      <c r="W57" s="7"/>
      <c r="X57" s="7"/>
      <c r="Y57" s="7"/>
      <c r="AB57" s="7">
        <f t="shared" si="0"/>
        <v>20124</v>
      </c>
      <c r="AF57" s="7">
        <f>(1/O57-1/C57)*$C$85*I57*$D$85+(1/P57-1/D57)*$C$87*J57*$D$87</f>
        <v>38622.157478632471</v>
      </c>
      <c r="AH57" s="7">
        <f>(1/N57-1/B57)*$C$84*H57*$D$84+(1/S57-1/G57)*$C$86*M57*$D$86</f>
        <v>3735.3839285714294</v>
      </c>
      <c r="AI57">
        <v>2607</v>
      </c>
      <c r="AJ57" s="8">
        <f t="shared" si="1"/>
        <v>5.6092980437284234</v>
      </c>
      <c r="AK57" s="8"/>
      <c r="AL57" s="8"/>
      <c r="AM57" s="8"/>
      <c r="AN57" s="8"/>
      <c r="AO57" s="8"/>
      <c r="AP57" s="8"/>
      <c r="AQ57" s="8"/>
      <c r="AR57" s="8">
        <f t="shared" si="2"/>
        <v>7.7192174913693901</v>
      </c>
      <c r="AS57" s="8"/>
      <c r="AT57" s="8"/>
      <c r="AU57" s="8"/>
      <c r="AV57" s="8">
        <f t="shared" si="3"/>
        <v>14.814789980296306</v>
      </c>
      <c r="AW57" s="8"/>
      <c r="AX57" s="8">
        <f t="shared" si="4"/>
        <v>1.4328285111512962</v>
      </c>
    </row>
    <row r="58" spans="1:50" x14ac:dyDescent="0.2">
      <c r="A58" t="s">
        <v>111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AB58" s="7">
        <f t="shared" si="0"/>
        <v>0</v>
      </c>
      <c r="AH58" s="7"/>
      <c r="AI58">
        <v>3235</v>
      </c>
      <c r="AJ58" s="8">
        <f t="shared" si="1"/>
        <v>0</v>
      </c>
      <c r="AK58" s="8"/>
      <c r="AL58" s="8"/>
      <c r="AM58" s="8"/>
      <c r="AN58" s="8"/>
      <c r="AO58" s="8"/>
      <c r="AP58" s="8"/>
      <c r="AQ58" s="8"/>
      <c r="AR58" s="8">
        <f t="shared" si="2"/>
        <v>0</v>
      </c>
      <c r="AS58" s="8"/>
      <c r="AT58" s="8"/>
      <c r="AU58" s="8"/>
      <c r="AV58" s="8">
        <f t="shared" si="3"/>
        <v>0</v>
      </c>
      <c r="AW58" s="8"/>
      <c r="AX58" s="8">
        <f t="shared" si="4"/>
        <v>0</v>
      </c>
    </row>
    <row r="59" spans="1:50" x14ac:dyDescent="0.2">
      <c r="A59" t="s">
        <v>112</v>
      </c>
      <c r="B59" s="5">
        <v>0.23</v>
      </c>
      <c r="C59" s="5">
        <v>0.27</v>
      </c>
      <c r="D59" s="5">
        <v>0.25</v>
      </c>
      <c r="E59" s="5">
        <v>1.8</v>
      </c>
      <c r="F59" s="5"/>
      <c r="G59" s="5">
        <v>1.65</v>
      </c>
      <c r="H59" s="5">
        <v>729.1</v>
      </c>
      <c r="I59" s="5">
        <v>992.4</v>
      </c>
      <c r="J59" s="5">
        <v>729.1</v>
      </c>
      <c r="K59" s="5">
        <v>611.20000000000005</v>
      </c>
      <c r="L59" s="5"/>
      <c r="M59" s="5">
        <v>87.4</v>
      </c>
      <c r="N59" s="5">
        <v>0.1</v>
      </c>
      <c r="O59" s="5">
        <v>0.11</v>
      </c>
      <c r="P59" s="5">
        <v>0.11</v>
      </c>
      <c r="Q59" s="5">
        <v>1</v>
      </c>
      <c r="R59" s="5">
        <v>1</v>
      </c>
      <c r="S59" s="5">
        <v>1.4</v>
      </c>
      <c r="T59" s="7">
        <f>(K59+L59)*2/100*$C$91</f>
        <v>17321.407999999999</v>
      </c>
      <c r="V59" s="7"/>
      <c r="W59" s="7"/>
      <c r="X59" s="7"/>
      <c r="Y59" s="7"/>
      <c r="AB59" s="7">
        <f t="shared" si="0"/>
        <v>23836.799999999999</v>
      </c>
      <c r="AF59" s="7">
        <f>(1/O59-1/C59)*$C$85*I59*$D$85+(1/P59-1/D59)*$C$87*J59*$D$87</f>
        <v>46920.670222222223</v>
      </c>
      <c r="AH59" s="7">
        <f>(1/N59-1/B59)*$C$84*H59*$D$84+(1/S59-1/G59)*$C$86*M59*$D$86</f>
        <v>4646.766233766235</v>
      </c>
      <c r="AI59">
        <v>3235</v>
      </c>
      <c r="AJ59" s="8">
        <f t="shared" si="1"/>
        <v>5.3543765069551776</v>
      </c>
      <c r="AK59" s="8"/>
      <c r="AL59" s="8"/>
      <c r="AM59" s="8"/>
      <c r="AN59" s="8"/>
      <c r="AO59" s="8"/>
      <c r="AP59" s="8"/>
      <c r="AQ59" s="8"/>
      <c r="AR59" s="8">
        <f t="shared" si="2"/>
        <v>7.368408037094281</v>
      </c>
      <c r="AS59" s="8"/>
      <c r="AT59" s="8"/>
      <c r="AU59" s="8"/>
      <c r="AV59" s="8">
        <f t="shared" si="3"/>
        <v>14.504071166065602</v>
      </c>
      <c r="AW59" s="8"/>
      <c r="AX59" s="8">
        <f t="shared" si="4"/>
        <v>1.4364037816897171</v>
      </c>
    </row>
    <row r="60" spans="1:50" x14ac:dyDescent="0.2">
      <c r="A60" t="s">
        <v>113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AB60" s="7">
        <f t="shared" si="0"/>
        <v>0</v>
      </c>
      <c r="AH60" s="7"/>
      <c r="AI60">
        <v>3235</v>
      </c>
      <c r="AJ60" s="8">
        <f t="shared" si="1"/>
        <v>0</v>
      </c>
      <c r="AK60" s="8"/>
      <c r="AL60" s="8"/>
      <c r="AM60" s="8"/>
      <c r="AN60" s="8"/>
      <c r="AO60" s="8"/>
      <c r="AP60" s="8"/>
      <c r="AQ60" s="8"/>
      <c r="AR60" s="8">
        <f t="shared" si="2"/>
        <v>0</v>
      </c>
      <c r="AS60" s="8"/>
      <c r="AT60" s="8"/>
      <c r="AU60" s="8"/>
      <c r="AV60" s="8">
        <f t="shared" si="3"/>
        <v>0</v>
      </c>
      <c r="AW60" s="8"/>
      <c r="AX60" s="8">
        <f t="shared" si="4"/>
        <v>0</v>
      </c>
    </row>
    <row r="61" spans="1:50" x14ac:dyDescent="0.2">
      <c r="A61" t="s">
        <v>114</v>
      </c>
      <c r="B61" s="5">
        <v>0.16</v>
      </c>
      <c r="C61" s="5">
        <v>0.21</v>
      </c>
      <c r="D61" s="5">
        <v>0.25</v>
      </c>
      <c r="E61" s="5">
        <v>1.8</v>
      </c>
      <c r="F61" s="5"/>
      <c r="G61" s="5">
        <v>1.65</v>
      </c>
      <c r="H61" s="5">
        <v>729.1</v>
      </c>
      <c r="I61" s="5">
        <v>992.4</v>
      </c>
      <c r="J61" s="5">
        <v>729.1</v>
      </c>
      <c r="K61" s="5">
        <v>611.20000000000005</v>
      </c>
      <c r="L61" s="5"/>
      <c r="M61" s="5">
        <v>87.4</v>
      </c>
      <c r="N61" s="5">
        <v>0.08</v>
      </c>
      <c r="O61" s="5">
        <v>0.1</v>
      </c>
      <c r="P61" s="5">
        <v>0.11</v>
      </c>
      <c r="Q61" s="5">
        <v>1</v>
      </c>
      <c r="R61" s="5">
        <v>1</v>
      </c>
      <c r="S61" s="5">
        <v>1.4</v>
      </c>
      <c r="T61" s="7">
        <f>(K61+L61)*2/100*$C$91</f>
        <v>17321.407999999999</v>
      </c>
      <c r="V61" s="7"/>
      <c r="W61" s="7"/>
      <c r="X61" s="7"/>
      <c r="Y61" s="7"/>
      <c r="AB61" s="7">
        <f t="shared" si="0"/>
        <v>23836.799999999999</v>
      </c>
      <c r="AF61" s="7">
        <f>(1/O61-1/C61)*$C$85*I61*$D$85+(1/P61-1/D61)*$C$87*J61*$D$87</f>
        <v>46154.149818181817</v>
      </c>
      <c r="AH61" s="7">
        <f>(1/N61-1/B61)*$C$84*H61*$D$84+(1/S61-1/G61)*$C$86*M61*$D$86</f>
        <v>5137.1256087662341</v>
      </c>
      <c r="AI61">
        <v>3235</v>
      </c>
      <c r="AJ61" s="8">
        <f t="shared" si="1"/>
        <v>5.3543765069551776</v>
      </c>
      <c r="AK61" s="8"/>
      <c r="AL61" s="8"/>
      <c r="AM61" s="8"/>
      <c r="AN61" s="8"/>
      <c r="AO61" s="8"/>
      <c r="AP61" s="8"/>
      <c r="AQ61" s="8"/>
      <c r="AR61" s="8">
        <f t="shared" si="2"/>
        <v>7.368408037094281</v>
      </c>
      <c r="AS61" s="8"/>
      <c r="AT61" s="8"/>
      <c r="AU61" s="8"/>
      <c r="AV61" s="8">
        <f t="shared" si="3"/>
        <v>14.267125136995924</v>
      </c>
      <c r="AW61" s="8"/>
      <c r="AX61" s="8">
        <f t="shared" si="4"/>
        <v>1.5879831866356211</v>
      </c>
    </row>
    <row r="62" spans="1:50" x14ac:dyDescent="0.2">
      <c r="A62" t="s">
        <v>115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AB62" s="7">
        <f t="shared" si="0"/>
        <v>0</v>
      </c>
      <c r="AH62" s="7"/>
      <c r="AI62">
        <v>3235</v>
      </c>
      <c r="AJ62" s="8">
        <f t="shared" si="1"/>
        <v>0</v>
      </c>
      <c r="AK62" s="8"/>
      <c r="AL62" s="8"/>
      <c r="AM62" s="8"/>
      <c r="AN62" s="8"/>
      <c r="AO62" s="8"/>
      <c r="AP62" s="8"/>
      <c r="AQ62" s="8"/>
      <c r="AR62" s="8">
        <f t="shared" si="2"/>
        <v>0</v>
      </c>
      <c r="AS62" s="8"/>
      <c r="AT62" s="8"/>
      <c r="AU62" s="8"/>
      <c r="AV62" s="8">
        <f t="shared" si="3"/>
        <v>0</v>
      </c>
      <c r="AW62" s="8"/>
      <c r="AX62" s="8">
        <f t="shared" si="4"/>
        <v>0</v>
      </c>
    </row>
    <row r="63" spans="1:50" x14ac:dyDescent="0.2">
      <c r="A63" t="s">
        <v>116</v>
      </c>
      <c r="B63" s="5">
        <v>0.16</v>
      </c>
      <c r="C63" s="5">
        <v>0.21</v>
      </c>
      <c r="D63" s="5">
        <v>0.25</v>
      </c>
      <c r="E63" s="5">
        <v>1.8</v>
      </c>
      <c r="F63" s="5"/>
      <c r="G63" s="5">
        <v>1.65</v>
      </c>
      <c r="H63" s="5">
        <v>729.1</v>
      </c>
      <c r="I63" s="5">
        <v>992.4</v>
      </c>
      <c r="J63" s="5">
        <v>729.1</v>
      </c>
      <c r="K63" s="5">
        <v>611.20000000000005</v>
      </c>
      <c r="L63" s="5"/>
      <c r="M63" s="5">
        <v>87.4</v>
      </c>
      <c r="N63" s="5">
        <v>0.08</v>
      </c>
      <c r="O63" s="5">
        <v>0.1</v>
      </c>
      <c r="P63" s="5">
        <v>0.11</v>
      </c>
      <c r="Q63" s="5">
        <v>1</v>
      </c>
      <c r="R63" s="5">
        <v>1</v>
      </c>
      <c r="S63" s="5">
        <v>1.4</v>
      </c>
      <c r="T63" s="7">
        <f>(K63+L63)*2/100*$C$91</f>
        <v>17321.407999999999</v>
      </c>
      <c r="V63" s="7"/>
      <c r="W63" s="7"/>
      <c r="X63" s="7"/>
      <c r="Y63" s="7"/>
      <c r="AB63" s="7">
        <f t="shared" si="0"/>
        <v>23836.799999999999</v>
      </c>
      <c r="AF63" s="7">
        <f>(1/O63-1/C63)*$C$85*I63*$D$85+(1/P63-1/D63)*$C$87*J63*$D$87</f>
        <v>46154.149818181817</v>
      </c>
      <c r="AH63" s="7">
        <f>(1/N63-1/B63)*$C$84*H63*$D$84+(1/S63-1/G63)*$C$86*M63*$D$86</f>
        <v>5137.1256087662341</v>
      </c>
      <c r="AI63">
        <v>3235</v>
      </c>
      <c r="AJ63" s="8">
        <f t="shared" si="1"/>
        <v>5.3543765069551776</v>
      </c>
      <c r="AK63" s="8"/>
      <c r="AL63" s="8"/>
      <c r="AM63" s="8"/>
      <c r="AN63" s="8"/>
      <c r="AO63" s="8"/>
      <c r="AP63" s="8"/>
      <c r="AQ63" s="8"/>
      <c r="AR63" s="8">
        <f t="shared" si="2"/>
        <v>7.368408037094281</v>
      </c>
      <c r="AS63" s="8"/>
      <c r="AT63" s="8"/>
      <c r="AU63" s="8"/>
      <c r="AV63" s="8">
        <f t="shared" si="3"/>
        <v>14.267125136995924</v>
      </c>
      <c r="AW63" s="8"/>
      <c r="AX63" s="8">
        <f t="shared" si="4"/>
        <v>1.5879831866356211</v>
      </c>
    </row>
    <row r="64" spans="1:50" x14ac:dyDescent="0.2">
      <c r="A64" t="s">
        <v>117</v>
      </c>
      <c r="B64" s="5">
        <v>0.08</v>
      </c>
      <c r="C64" s="5">
        <v>0.1</v>
      </c>
      <c r="D64" s="5">
        <v>0.11</v>
      </c>
      <c r="E64" s="5">
        <v>1</v>
      </c>
      <c r="F64" s="5"/>
      <c r="G64" s="5">
        <v>1.4</v>
      </c>
      <c r="H64" s="5">
        <v>729.1</v>
      </c>
      <c r="I64" s="5">
        <v>992.4</v>
      </c>
      <c r="J64" s="5">
        <v>729.1</v>
      </c>
      <c r="K64" s="5">
        <v>611.20000000000005</v>
      </c>
      <c r="L64" s="5"/>
      <c r="M64" s="5">
        <v>87.4</v>
      </c>
      <c r="N64" s="5">
        <v>0.08</v>
      </c>
      <c r="O64" s="5">
        <v>0.1</v>
      </c>
      <c r="P64" s="5">
        <v>0.11</v>
      </c>
      <c r="Q64" s="5">
        <v>1</v>
      </c>
      <c r="R64" s="5">
        <v>1</v>
      </c>
      <c r="S64" s="5">
        <v>1.4</v>
      </c>
      <c r="T64" s="7">
        <v>0</v>
      </c>
      <c r="V64" s="7"/>
      <c r="W64" s="7"/>
      <c r="X64" s="7"/>
      <c r="Y64" s="7"/>
      <c r="AB64" s="7">
        <f t="shared" si="0"/>
        <v>23836.799999999999</v>
      </c>
      <c r="AF64" s="7">
        <f>(1/O64-1/C64)*$C$85*I64*$D$85+(1/P64-1/D64)*$C$87*J64*$D$87</f>
        <v>0</v>
      </c>
      <c r="AH64" s="7">
        <f>(1/N64-1/B64)*$C$84*H64*$D$84+(1/S64-1/G64)*$C$86*M64*$D$86</f>
        <v>0</v>
      </c>
      <c r="AI64">
        <v>3235</v>
      </c>
      <c r="AJ64" s="8">
        <f t="shared" si="1"/>
        <v>0</v>
      </c>
      <c r="AK64" s="8"/>
      <c r="AL64" s="8"/>
      <c r="AM64" s="8"/>
      <c r="AN64" s="8"/>
      <c r="AO64" s="8"/>
      <c r="AP64" s="8"/>
      <c r="AQ64" s="8"/>
      <c r="AR64" s="8">
        <f t="shared" si="2"/>
        <v>7.368408037094281</v>
      </c>
      <c r="AS64" s="8"/>
      <c r="AT64" s="8"/>
      <c r="AU64" s="8"/>
      <c r="AV64" s="8">
        <f t="shared" si="3"/>
        <v>0</v>
      </c>
      <c r="AW64" s="8"/>
      <c r="AX64" s="8">
        <f t="shared" si="4"/>
        <v>0</v>
      </c>
    </row>
    <row r="65" spans="1:50" x14ac:dyDescent="0.2">
      <c r="A65" t="s">
        <v>118</v>
      </c>
      <c r="B65" s="5">
        <v>0.08</v>
      </c>
      <c r="C65" s="5">
        <v>0.1</v>
      </c>
      <c r="D65" s="5">
        <v>0.11</v>
      </c>
      <c r="E65" s="5">
        <v>1</v>
      </c>
      <c r="F65" s="5"/>
      <c r="G65" s="5">
        <v>1.4</v>
      </c>
      <c r="H65" s="5">
        <v>729.1</v>
      </c>
      <c r="I65" s="5">
        <v>992.4</v>
      </c>
      <c r="J65" s="5">
        <v>729.1</v>
      </c>
      <c r="K65" s="5">
        <v>611.20000000000005</v>
      </c>
      <c r="L65" s="5"/>
      <c r="M65" s="5">
        <v>87.4</v>
      </c>
      <c r="N65" s="5">
        <v>0.08</v>
      </c>
      <c r="O65" s="5">
        <v>0.1</v>
      </c>
      <c r="P65" s="5">
        <v>0.11</v>
      </c>
      <c r="Q65" s="5">
        <v>1</v>
      </c>
      <c r="R65" s="5">
        <v>1</v>
      </c>
      <c r="S65" s="5">
        <v>1.4</v>
      </c>
      <c r="T65" s="7">
        <v>0</v>
      </c>
      <c r="V65" s="7"/>
      <c r="W65" s="7"/>
      <c r="X65" s="7"/>
      <c r="Y65" s="7"/>
      <c r="AB65" s="7">
        <f t="shared" si="0"/>
        <v>23836.799999999999</v>
      </c>
      <c r="AF65" s="7">
        <f>(1/O65-1/C65)*$C$85*I65*$D$85+(1/P65-1/D65)*$C$87*J65*$D$87</f>
        <v>0</v>
      </c>
      <c r="AH65" s="7">
        <f>(1/N65-1/B65)*$C$84*H65*$D$84+(1/S65-1/G65)*$C$86*M65*$D$86</f>
        <v>0</v>
      </c>
      <c r="AI65">
        <v>3235</v>
      </c>
      <c r="AJ65" s="8">
        <f t="shared" si="1"/>
        <v>0</v>
      </c>
      <c r="AK65" s="8"/>
      <c r="AL65" s="8"/>
      <c r="AM65" s="8"/>
      <c r="AN65" s="8"/>
      <c r="AO65" s="8"/>
      <c r="AP65" s="8"/>
      <c r="AQ65" s="8"/>
      <c r="AR65" s="8">
        <f t="shared" si="2"/>
        <v>7.368408037094281</v>
      </c>
      <c r="AS65" s="8"/>
      <c r="AT65" s="8"/>
      <c r="AU65" s="8"/>
      <c r="AV65" s="8">
        <f t="shared" si="3"/>
        <v>0</v>
      </c>
      <c r="AW65" s="8"/>
      <c r="AX65" s="8">
        <f t="shared" si="4"/>
        <v>0</v>
      </c>
    </row>
    <row r="66" spans="1:50" x14ac:dyDescent="0.2">
      <c r="A66" t="s">
        <v>119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AB66" s="7">
        <f t="shared" si="0"/>
        <v>0</v>
      </c>
      <c r="AI66">
        <v>2064</v>
      </c>
      <c r="AJ66" s="8">
        <f t="shared" si="1"/>
        <v>0</v>
      </c>
      <c r="AK66" s="8"/>
      <c r="AL66" s="8"/>
      <c r="AM66" s="8"/>
      <c r="AN66" s="8"/>
      <c r="AO66" s="8"/>
      <c r="AP66" s="8"/>
      <c r="AQ66" s="8"/>
      <c r="AR66" s="8">
        <f t="shared" si="2"/>
        <v>0</v>
      </c>
      <c r="AS66" s="8"/>
      <c r="AT66" s="8"/>
      <c r="AU66" s="8"/>
      <c r="AV66" s="8">
        <f t="shared" si="3"/>
        <v>0</v>
      </c>
      <c r="AW66" s="8"/>
      <c r="AX66" s="8">
        <f t="shared" si="4"/>
        <v>0</v>
      </c>
    </row>
    <row r="67" spans="1:50" x14ac:dyDescent="0.2">
      <c r="A67" t="s">
        <v>120</v>
      </c>
      <c r="B67" s="5">
        <v>1.54</v>
      </c>
      <c r="C67" s="5">
        <v>1.61</v>
      </c>
      <c r="D67" s="5">
        <v>1.72</v>
      </c>
      <c r="E67" s="5">
        <v>5.2</v>
      </c>
      <c r="F67" s="5">
        <v>2.9</v>
      </c>
      <c r="G67" s="5">
        <v>3.5</v>
      </c>
      <c r="H67" s="5">
        <v>497.7</v>
      </c>
      <c r="I67" s="5">
        <v>1226.9000000000001</v>
      </c>
      <c r="J67" s="5">
        <v>469</v>
      </c>
      <c r="K67" s="5">
        <v>78.400000000000006</v>
      </c>
      <c r="L67" s="5">
        <v>347.2</v>
      </c>
      <c r="M67" s="5">
        <v>58.8</v>
      </c>
      <c r="N67" s="5">
        <v>0.15</v>
      </c>
      <c r="O67" s="5">
        <v>0.18</v>
      </c>
      <c r="P67" s="5">
        <v>0.18</v>
      </c>
      <c r="Q67" s="5">
        <v>1</v>
      </c>
      <c r="R67" s="5">
        <v>1</v>
      </c>
      <c r="S67" s="5">
        <v>1.4</v>
      </c>
      <c r="T67" s="7">
        <f>(K67+L67)*2/100*$C$91</f>
        <v>12061.504000000001</v>
      </c>
      <c r="V67" s="7"/>
      <c r="W67" s="7"/>
      <c r="X67" s="7"/>
      <c r="Y67" s="7"/>
      <c r="AB67" s="7">
        <f t="shared" si="0"/>
        <v>16598.400000000001</v>
      </c>
      <c r="AF67" s="7">
        <f>(1/O67-1/C67)*$C$85*I67*$D$85+(1/P67-1/D67)*$C$87*J67*$D$87</f>
        <v>43444.36245365689</v>
      </c>
      <c r="AH67" s="7">
        <f>(1/N67-1/B67)*$C$84*H67*$D$84+(1/S67-1/G67)*$C$86*M67*$D$86</f>
        <v>3397.5204545454553</v>
      </c>
      <c r="AI67">
        <v>2064</v>
      </c>
      <c r="AJ67" s="8">
        <f t="shared" si="1"/>
        <v>5.8437519379844964</v>
      </c>
      <c r="AK67" s="8"/>
      <c r="AL67" s="8"/>
      <c r="AM67" s="8"/>
      <c r="AN67" s="8"/>
      <c r="AO67" s="8"/>
      <c r="AP67" s="8"/>
      <c r="AQ67" s="8"/>
      <c r="AR67" s="8">
        <f t="shared" si="2"/>
        <v>8.0418604651162795</v>
      </c>
      <c r="AS67" s="8"/>
      <c r="AT67" s="8"/>
      <c r="AU67" s="8"/>
      <c r="AV67" s="8">
        <f t="shared" si="3"/>
        <v>21.048625219795003</v>
      </c>
      <c r="AW67" s="8"/>
      <c r="AX67" s="8">
        <f t="shared" si="4"/>
        <v>1.6460854915433407</v>
      </c>
    </row>
    <row r="68" spans="1:50" x14ac:dyDescent="0.2">
      <c r="A68" t="s">
        <v>121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AB68" s="7">
        <f t="shared" si="0"/>
        <v>0</v>
      </c>
      <c r="AH68" s="7"/>
      <c r="AI68">
        <v>4235</v>
      </c>
      <c r="AJ68" s="8">
        <f t="shared" si="1"/>
        <v>0</v>
      </c>
      <c r="AK68" s="8"/>
      <c r="AL68" s="8"/>
      <c r="AM68" s="8"/>
      <c r="AN68" s="8"/>
      <c r="AO68" s="8"/>
      <c r="AP68" s="8"/>
      <c r="AQ68" s="8"/>
      <c r="AR68" s="8">
        <f t="shared" si="2"/>
        <v>0</v>
      </c>
      <c r="AS68" s="8"/>
      <c r="AT68" s="8"/>
      <c r="AU68" s="8"/>
      <c r="AV68" s="8">
        <f t="shared" si="3"/>
        <v>0</v>
      </c>
      <c r="AW68" s="8"/>
      <c r="AX68" s="8">
        <f t="shared" si="4"/>
        <v>0</v>
      </c>
    </row>
    <row r="69" spans="1:50" x14ac:dyDescent="0.2">
      <c r="A69" t="s">
        <v>122</v>
      </c>
      <c r="B69" s="5">
        <v>0.89</v>
      </c>
      <c r="C69" s="5">
        <v>1.45</v>
      </c>
      <c r="D69" s="5">
        <v>2.33</v>
      </c>
      <c r="E69" s="5">
        <v>5.2</v>
      </c>
      <c r="F69" s="5">
        <v>2.9</v>
      </c>
      <c r="G69" s="5">
        <v>3.5</v>
      </c>
      <c r="H69" s="5">
        <v>409.5</v>
      </c>
      <c r="I69" s="5">
        <v>1733.5</v>
      </c>
      <c r="J69" s="5">
        <v>385</v>
      </c>
      <c r="K69" s="5">
        <v>230</v>
      </c>
      <c r="L69" s="5">
        <v>705</v>
      </c>
      <c r="M69" s="5">
        <v>105</v>
      </c>
      <c r="N69" s="5">
        <v>0.14000000000000001</v>
      </c>
      <c r="O69" s="5">
        <v>0.18</v>
      </c>
      <c r="P69" s="5">
        <v>0.18</v>
      </c>
      <c r="Q69" s="5">
        <v>1</v>
      </c>
      <c r="R69" s="5">
        <v>1</v>
      </c>
      <c r="S69" s="5">
        <v>1.4</v>
      </c>
      <c r="T69" s="7">
        <f>(K69+L69)*2/100*$C$91</f>
        <v>26497.899999999998</v>
      </c>
      <c r="V69" s="7"/>
      <c r="W69" s="7"/>
      <c r="X69" s="7"/>
      <c r="Y69" s="7"/>
      <c r="AB69" s="7">
        <f t="shared" si="0"/>
        <v>36464.999999999993</v>
      </c>
      <c r="AF69" s="7">
        <f>(1/O69-1/C69)*$C$85*I69*$D$85+(1/P69-1/D69)*$C$87*J69*$D$87</f>
        <v>53917.020165096277</v>
      </c>
      <c r="AH69" s="7">
        <f>(1/N69-1/B69)*$C$84*H69*$D$84+(1/S69-1/G69)*$C$86*M69*$D$86</f>
        <v>2823.6235955056177</v>
      </c>
      <c r="AI69">
        <v>4235</v>
      </c>
      <c r="AJ69" s="8">
        <f t="shared" si="1"/>
        <v>6.2568831168831167</v>
      </c>
      <c r="AK69" s="8"/>
      <c r="AL69" s="8"/>
      <c r="AM69" s="8"/>
      <c r="AN69" s="8"/>
      <c r="AO69" s="8"/>
      <c r="AP69" s="8"/>
      <c r="AQ69" s="8"/>
      <c r="AR69" s="8">
        <f t="shared" si="2"/>
        <v>8.6103896103896087</v>
      </c>
      <c r="AS69" s="8"/>
      <c r="AT69" s="8"/>
      <c r="AU69" s="8"/>
      <c r="AV69" s="8">
        <f t="shared" si="3"/>
        <v>12.731291656457209</v>
      </c>
      <c r="AW69" s="8"/>
      <c r="AX69" s="8">
        <f t="shared" si="4"/>
        <v>0.66673520555032295</v>
      </c>
    </row>
    <row r="70" spans="1:50" x14ac:dyDescent="0.2">
      <c r="A70" t="s">
        <v>123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AB70" s="7">
        <f t="shared" si="0"/>
        <v>0</v>
      </c>
      <c r="AH70" s="7"/>
      <c r="AI70">
        <v>1540</v>
      </c>
      <c r="AJ70" s="8">
        <f t="shared" si="1"/>
        <v>0</v>
      </c>
      <c r="AK70" s="8"/>
      <c r="AL70" s="8"/>
      <c r="AM70" s="8"/>
      <c r="AN70" s="8"/>
      <c r="AO70" s="8"/>
      <c r="AP70" s="8"/>
      <c r="AQ70" s="8"/>
      <c r="AR70" s="8">
        <f t="shared" si="2"/>
        <v>0</v>
      </c>
      <c r="AS70" s="8"/>
      <c r="AT70" s="8"/>
      <c r="AU70" s="8"/>
      <c r="AV70" s="8">
        <f t="shared" si="3"/>
        <v>0</v>
      </c>
      <c r="AW70" s="8"/>
      <c r="AX70" s="8">
        <f t="shared" si="4"/>
        <v>0</v>
      </c>
    </row>
    <row r="71" spans="1:50" x14ac:dyDescent="0.2">
      <c r="A71" t="s">
        <v>124</v>
      </c>
      <c r="B71" s="5">
        <v>0.64</v>
      </c>
      <c r="C71" s="5">
        <v>0.64</v>
      </c>
      <c r="D71" s="5">
        <v>1.28</v>
      </c>
      <c r="E71" s="5">
        <v>5.2</v>
      </c>
      <c r="F71" s="5">
        <v>2.9</v>
      </c>
      <c r="G71" s="5">
        <v>3.5</v>
      </c>
      <c r="H71" s="5">
        <v>375</v>
      </c>
      <c r="I71" s="5">
        <v>802.2</v>
      </c>
      <c r="J71" s="5">
        <v>350</v>
      </c>
      <c r="K71" s="5">
        <v>22</v>
      </c>
      <c r="L71" s="5">
        <v>258</v>
      </c>
      <c r="M71" s="5">
        <v>44</v>
      </c>
      <c r="N71" s="5">
        <v>0.13</v>
      </c>
      <c r="O71" s="5">
        <v>0.15</v>
      </c>
      <c r="P71" s="5">
        <v>0.17</v>
      </c>
      <c r="Q71" s="5">
        <v>1</v>
      </c>
      <c r="R71" s="5">
        <v>1</v>
      </c>
      <c r="S71" s="5">
        <v>1.4</v>
      </c>
      <c r="T71" s="7">
        <f>(K71+L71)*2/100*$C$91</f>
        <v>7935.2</v>
      </c>
      <c r="V71" s="7"/>
      <c r="W71" s="7"/>
      <c r="X71" s="7"/>
      <c r="Y71" s="7"/>
      <c r="AB71" s="7">
        <f t="shared" si="0"/>
        <v>10919.999999999998</v>
      </c>
      <c r="AF71" s="7">
        <f>(1/O71-1/C71)*$C$85*I71*$D$85+(1/P71-1/D71)*$C$87*J71*$D$87</f>
        <v>30458.133382352942</v>
      </c>
      <c r="AH71" s="7">
        <f>(1/N71-1/B71)*$C$84*H71*$D$84+(1/S71-1/G71)*$C$86*M71*$D$86</f>
        <v>2607.2269059065929</v>
      </c>
      <c r="AI71">
        <v>1540</v>
      </c>
      <c r="AJ71" s="8">
        <f t="shared" si="1"/>
        <v>5.1527272727272724</v>
      </c>
      <c r="AK71" s="8"/>
      <c r="AL71" s="8"/>
      <c r="AM71" s="8"/>
      <c r="AN71" s="8"/>
      <c r="AO71" s="8"/>
      <c r="AP71" s="8"/>
      <c r="AQ71" s="8"/>
      <c r="AR71" s="8">
        <f t="shared" si="2"/>
        <v>7.0909090909090899</v>
      </c>
      <c r="AS71" s="8"/>
      <c r="AT71" s="8"/>
      <c r="AU71" s="8"/>
      <c r="AV71" s="8">
        <f t="shared" si="3"/>
        <v>19.778008689839574</v>
      </c>
      <c r="AW71" s="8"/>
      <c r="AX71" s="8">
        <f t="shared" si="4"/>
        <v>1.6930044843549306</v>
      </c>
    </row>
    <row r="72" spans="1:50" x14ac:dyDescent="0.2">
      <c r="A72" t="s">
        <v>125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AB72" s="7">
        <f t="shared" ref="AB72:AB78" si="5">(K72+L72)*5/1000*3*$C$90</f>
        <v>0</v>
      </c>
      <c r="AH72" s="7"/>
      <c r="AI72">
        <v>1804</v>
      </c>
      <c r="AJ72" s="8">
        <f t="shared" ref="AJ72:AJ78" si="6">T72/$AI72</f>
        <v>0</v>
      </c>
      <c r="AK72" s="8"/>
      <c r="AL72" s="8"/>
      <c r="AM72" s="8"/>
      <c r="AN72" s="8"/>
      <c r="AO72" s="8"/>
      <c r="AP72" s="8"/>
      <c r="AQ72" s="8"/>
      <c r="AR72" s="8">
        <f t="shared" ref="AR72:AR78" si="7">AB72/$AI72</f>
        <v>0</v>
      </c>
      <c r="AS72" s="8"/>
      <c r="AT72" s="8"/>
      <c r="AU72" s="8"/>
      <c r="AV72" s="8">
        <f t="shared" ref="AV72:AV78" si="8">AF72/$AI72</f>
        <v>0</v>
      </c>
      <c r="AW72" s="8"/>
      <c r="AX72" s="8">
        <f t="shared" ref="AX72:AX78" si="9">AH72/$AI72</f>
        <v>0</v>
      </c>
    </row>
    <row r="73" spans="1:50" x14ac:dyDescent="0.2">
      <c r="A73" t="s">
        <v>126</v>
      </c>
      <c r="B73" s="5">
        <v>0.36</v>
      </c>
      <c r="C73" s="5">
        <v>0.36</v>
      </c>
      <c r="D73" s="5">
        <v>0.36</v>
      </c>
      <c r="E73" s="5">
        <v>2.9</v>
      </c>
      <c r="F73" s="5">
        <v>1.8</v>
      </c>
      <c r="G73" s="5">
        <v>3.5</v>
      </c>
      <c r="H73" s="5">
        <v>352.8</v>
      </c>
      <c r="I73" s="5">
        <v>927.6</v>
      </c>
      <c r="J73" s="5">
        <v>328</v>
      </c>
      <c r="K73" s="5">
        <v>6</v>
      </c>
      <c r="L73" s="5">
        <v>346</v>
      </c>
      <c r="M73" s="5">
        <v>48</v>
      </c>
      <c r="N73" s="5">
        <v>0.11</v>
      </c>
      <c r="O73" s="5">
        <v>0.13</v>
      </c>
      <c r="P73" s="5">
        <v>0.13</v>
      </c>
      <c r="Q73" s="5">
        <v>1</v>
      </c>
      <c r="R73" s="5">
        <v>1</v>
      </c>
      <c r="S73" s="5">
        <v>1.4</v>
      </c>
      <c r="T73" s="7">
        <f>(K73+L73)*2/100*$C$91</f>
        <v>9975.68</v>
      </c>
      <c r="V73" s="7"/>
      <c r="W73" s="7"/>
      <c r="X73" s="7"/>
      <c r="Y73" s="7"/>
      <c r="AB73" s="7">
        <f t="shared" si="5"/>
        <v>13728</v>
      </c>
      <c r="AF73" s="7">
        <f>(1/O73-1/C73)*$C$85*I73*$D$85+(1/P73-1/D73)*$C$87*J73*$D$87</f>
        <v>31964.141880341878</v>
      </c>
      <c r="AH73" s="7">
        <f>(1/N73-1/B73)*$C$84*H73*$D$84+(1/S73-1/G73)*$C$86*M73*$D$86</f>
        <v>2528.8246753246763</v>
      </c>
      <c r="AI73">
        <v>1804</v>
      </c>
      <c r="AJ73" s="8">
        <f t="shared" si="6"/>
        <v>5.5297560975609761</v>
      </c>
      <c r="AK73" s="8"/>
      <c r="AL73" s="8"/>
      <c r="AM73" s="8"/>
      <c r="AN73" s="8"/>
      <c r="AO73" s="8"/>
      <c r="AP73" s="8"/>
      <c r="AQ73" s="8"/>
      <c r="AR73" s="8">
        <f t="shared" si="7"/>
        <v>7.6097560975609753</v>
      </c>
      <c r="AS73" s="8"/>
      <c r="AT73" s="8"/>
      <c r="AU73" s="8"/>
      <c r="AV73" s="8">
        <f t="shared" si="8"/>
        <v>17.718482195311463</v>
      </c>
      <c r="AW73" s="8"/>
      <c r="AX73" s="8">
        <f t="shared" si="9"/>
        <v>1.4017875140380689</v>
      </c>
    </row>
    <row r="74" spans="1:50" x14ac:dyDescent="0.2">
      <c r="A74" t="s">
        <v>127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AB74" s="7">
        <f t="shared" si="5"/>
        <v>0</v>
      </c>
      <c r="AH74" s="7"/>
      <c r="AI74">
        <v>3032</v>
      </c>
      <c r="AJ74" s="8">
        <f t="shared" si="6"/>
        <v>0</v>
      </c>
      <c r="AK74" s="8"/>
      <c r="AL74" s="8"/>
      <c r="AM74" s="8"/>
      <c r="AN74" s="8"/>
      <c r="AO74" s="8"/>
      <c r="AP74" s="8"/>
      <c r="AQ74" s="8"/>
      <c r="AR74" s="8">
        <f t="shared" si="7"/>
        <v>0</v>
      </c>
      <c r="AS74" s="8"/>
      <c r="AT74" s="8"/>
      <c r="AU74" s="8"/>
      <c r="AV74" s="8">
        <f t="shared" si="8"/>
        <v>0</v>
      </c>
      <c r="AW74" s="8"/>
      <c r="AX74" s="8">
        <f t="shared" si="9"/>
        <v>0</v>
      </c>
    </row>
    <row r="75" spans="1:50" x14ac:dyDescent="0.2">
      <c r="A75" t="s">
        <v>128</v>
      </c>
      <c r="B75" s="5">
        <v>0.23</v>
      </c>
      <c r="C75" s="5">
        <v>0.27</v>
      </c>
      <c r="D75" s="5">
        <v>0.27</v>
      </c>
      <c r="E75" s="5">
        <v>1.8</v>
      </c>
      <c r="F75" s="5"/>
      <c r="G75" s="5">
        <v>1.65</v>
      </c>
      <c r="H75" s="5">
        <v>586.6</v>
      </c>
      <c r="I75" s="5">
        <v>639.6</v>
      </c>
      <c r="J75" s="5">
        <v>586.6</v>
      </c>
      <c r="K75" s="5">
        <v>664.8</v>
      </c>
      <c r="L75" s="5"/>
      <c r="M75" s="5">
        <v>38.299999999999997</v>
      </c>
      <c r="N75" s="5">
        <v>0.1</v>
      </c>
      <c r="O75" s="5">
        <v>0.11</v>
      </c>
      <c r="P75" s="5">
        <v>0.11</v>
      </c>
      <c r="Q75" s="5">
        <v>1</v>
      </c>
      <c r="R75" s="5">
        <v>1</v>
      </c>
      <c r="S75" s="5">
        <v>1.4</v>
      </c>
      <c r="T75" s="7">
        <f>(K75+L75)*2/100*$C$91</f>
        <v>18840.432000000001</v>
      </c>
      <c r="V75" s="7"/>
      <c r="W75" s="7"/>
      <c r="X75" s="7"/>
      <c r="Y75" s="7"/>
      <c r="AB75" s="7">
        <f t="shared" si="5"/>
        <v>25927.199999999997</v>
      </c>
      <c r="AF75" s="7">
        <f>(1/O75-1/C75)*$C$85*I75*$D$85+(1/P75-1/D75)*$C$87*J75*$D$87</f>
        <v>34217.998653198658</v>
      </c>
      <c r="AH75" s="7">
        <f>(1/N75-1/B75)*$C$84*H75*$D$84+(1/S75-1/G75)*$C$86*M75*$D$86</f>
        <v>3734.6740189158668</v>
      </c>
      <c r="AI75">
        <v>3032</v>
      </c>
      <c r="AJ75" s="8">
        <f t="shared" si="6"/>
        <v>6.213862796833773</v>
      </c>
      <c r="AK75" s="8"/>
      <c r="AL75" s="8"/>
      <c r="AM75" s="8"/>
      <c r="AN75" s="8"/>
      <c r="AO75" s="8"/>
      <c r="AP75" s="8"/>
      <c r="AQ75" s="8"/>
      <c r="AR75" s="8">
        <f t="shared" si="7"/>
        <v>8.5511873350923473</v>
      </c>
      <c r="AS75" s="8"/>
      <c r="AT75" s="8"/>
      <c r="AU75" s="8"/>
      <c r="AV75" s="8">
        <f t="shared" si="8"/>
        <v>11.285619608574756</v>
      </c>
      <c r="AW75" s="8"/>
      <c r="AX75" s="8">
        <f t="shared" si="9"/>
        <v>1.2317526447611697</v>
      </c>
    </row>
    <row r="76" spans="1:50" x14ac:dyDescent="0.2">
      <c r="A76" t="s">
        <v>129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AB76" s="7">
        <f t="shared" si="5"/>
        <v>0</v>
      </c>
      <c r="AH76" s="7"/>
      <c r="AI76">
        <v>3032</v>
      </c>
      <c r="AJ76" s="8">
        <f t="shared" si="6"/>
        <v>0</v>
      </c>
      <c r="AK76" s="8"/>
      <c r="AL76" s="8"/>
      <c r="AM76" s="8"/>
      <c r="AN76" s="8"/>
      <c r="AO76" s="8"/>
      <c r="AP76" s="8"/>
      <c r="AQ76" s="8"/>
      <c r="AR76" s="8">
        <f t="shared" si="7"/>
        <v>0</v>
      </c>
      <c r="AS76" s="8"/>
      <c r="AT76" s="8"/>
      <c r="AU76" s="8"/>
      <c r="AV76" s="8">
        <f t="shared" si="8"/>
        <v>0</v>
      </c>
      <c r="AW76" s="8"/>
      <c r="AX76" s="8">
        <f t="shared" si="9"/>
        <v>0</v>
      </c>
    </row>
    <row r="77" spans="1:50" x14ac:dyDescent="0.2">
      <c r="A77" t="s">
        <v>130</v>
      </c>
      <c r="B77" s="5">
        <v>0.16</v>
      </c>
      <c r="C77" s="5">
        <v>0.21</v>
      </c>
      <c r="D77" s="5">
        <v>0.27</v>
      </c>
      <c r="E77" s="5">
        <v>1.8</v>
      </c>
      <c r="F77" s="5"/>
      <c r="G77" s="5">
        <v>1.65</v>
      </c>
      <c r="H77" s="5">
        <v>586.6</v>
      </c>
      <c r="I77" s="5">
        <v>639.6</v>
      </c>
      <c r="J77" s="5">
        <v>586.6</v>
      </c>
      <c r="K77" s="5">
        <v>664.8</v>
      </c>
      <c r="L77" s="5"/>
      <c r="M77" s="5">
        <v>38.299999999999997</v>
      </c>
      <c r="N77" s="5">
        <v>0.08</v>
      </c>
      <c r="O77" s="5">
        <v>0.1</v>
      </c>
      <c r="P77" s="5">
        <v>0.11</v>
      </c>
      <c r="Q77" s="5">
        <v>1</v>
      </c>
      <c r="R77" s="5">
        <v>1</v>
      </c>
      <c r="S77" s="5">
        <v>1.4</v>
      </c>
      <c r="T77" s="7">
        <f>(K77+L77)*2/100*$C$91</f>
        <v>18840.432000000001</v>
      </c>
      <c r="V77" s="7"/>
      <c r="W77" s="7"/>
      <c r="X77" s="7"/>
      <c r="Y77" s="7"/>
      <c r="AB77" s="7">
        <f t="shared" si="5"/>
        <v>25927.199999999997</v>
      </c>
      <c r="AF77" s="7">
        <f>(1/O77-1/C77)*$C$85*I77*$D$85+(1/P77-1/D77)*$C$87*J77*$D$87</f>
        <v>33723.977643097649</v>
      </c>
      <c r="AH77" s="7">
        <f>(1/N77-1/B77)*$C$84*H77*$D$84+(1/S77-1/G77)*$C$86*M77*$D$86</f>
        <v>4129.1943993506493</v>
      </c>
      <c r="AI77">
        <v>3032</v>
      </c>
      <c r="AJ77" s="8">
        <f t="shared" si="6"/>
        <v>6.213862796833773</v>
      </c>
      <c r="AK77" s="8"/>
      <c r="AL77" s="8"/>
      <c r="AM77" s="8"/>
      <c r="AN77" s="8"/>
      <c r="AO77" s="8"/>
      <c r="AP77" s="8"/>
      <c r="AQ77" s="8"/>
      <c r="AR77" s="8">
        <f t="shared" si="7"/>
        <v>8.5511873350923473</v>
      </c>
      <c r="AS77" s="8"/>
      <c r="AT77" s="8"/>
      <c r="AU77" s="8"/>
      <c r="AV77" s="8">
        <f t="shared" si="8"/>
        <v>11.122683919227457</v>
      </c>
      <c r="AW77" s="8"/>
      <c r="AX77" s="8">
        <f t="shared" si="9"/>
        <v>1.3618715037436178</v>
      </c>
    </row>
    <row r="78" spans="1:50" x14ac:dyDescent="0.2">
      <c r="A78" t="s">
        <v>131</v>
      </c>
      <c r="B78" s="5">
        <v>0.08</v>
      </c>
      <c r="C78" s="5">
        <v>0.1</v>
      </c>
      <c r="D78" s="5">
        <v>0.11</v>
      </c>
      <c r="E78" s="5">
        <v>1</v>
      </c>
      <c r="F78" s="5"/>
      <c r="G78" s="5">
        <v>1.4</v>
      </c>
      <c r="H78" s="5">
        <v>586.6</v>
      </c>
      <c r="I78" s="5">
        <v>639.6</v>
      </c>
      <c r="J78" s="5">
        <v>586.6</v>
      </c>
      <c r="K78" s="5">
        <v>664.8</v>
      </c>
      <c r="L78" s="5"/>
      <c r="M78" s="5">
        <v>38.299999999999997</v>
      </c>
      <c r="N78" s="5">
        <v>0.08</v>
      </c>
      <c r="O78" s="5">
        <v>0.1</v>
      </c>
      <c r="P78" s="5">
        <v>0.11</v>
      </c>
      <c r="Q78" s="5">
        <v>1</v>
      </c>
      <c r="R78" s="5">
        <v>1</v>
      </c>
      <c r="S78" s="5">
        <v>1.4</v>
      </c>
      <c r="T78" s="7">
        <v>0</v>
      </c>
      <c r="V78" s="7"/>
      <c r="W78" s="7"/>
      <c r="X78" s="7"/>
      <c r="Y78" s="7"/>
      <c r="AB78" s="7">
        <f t="shared" si="5"/>
        <v>25927.199999999997</v>
      </c>
      <c r="AF78" s="7">
        <f>(1/O78-1/C78)*$C$85*I78*$D$85+(1/P78-1/D78)*$C$87*J78*$D$87</f>
        <v>0</v>
      </c>
      <c r="AH78" s="7">
        <f>(1/N78-1/B78)*$C$84*H78*$D$84+(1/S78-1/G78)*$C$86*M78*$D$86</f>
        <v>0</v>
      </c>
      <c r="AI78">
        <v>3032</v>
      </c>
      <c r="AJ78" s="8">
        <f t="shared" si="6"/>
        <v>0</v>
      </c>
      <c r="AK78" s="8"/>
      <c r="AL78" s="8"/>
      <c r="AM78" s="8"/>
      <c r="AN78" s="8"/>
      <c r="AO78" s="8"/>
      <c r="AP78" s="8"/>
      <c r="AQ78" s="8"/>
      <c r="AR78" s="8">
        <f t="shared" si="7"/>
        <v>8.5511873350923473</v>
      </c>
      <c r="AS78" s="8"/>
      <c r="AT78" s="8"/>
      <c r="AU78" s="8"/>
      <c r="AV78" s="8">
        <f t="shared" si="8"/>
        <v>0</v>
      </c>
      <c r="AW78" s="8"/>
      <c r="AX78" s="8">
        <f t="shared" si="9"/>
        <v>0</v>
      </c>
    </row>
    <row r="82" spans="1:14" x14ac:dyDescent="0.2">
      <c r="F82" s="1" t="s">
        <v>162</v>
      </c>
      <c r="K82" s="1" t="s">
        <v>163</v>
      </c>
    </row>
    <row r="83" spans="1:14" x14ac:dyDescent="0.2">
      <c r="B83" t="s">
        <v>164</v>
      </c>
      <c r="C83" t="s">
        <v>165</v>
      </c>
      <c r="D83" t="s">
        <v>166</v>
      </c>
      <c r="G83" t="s">
        <v>164</v>
      </c>
      <c r="H83" t="s">
        <v>165</v>
      </c>
      <c r="I83" t="s">
        <v>166</v>
      </c>
      <c r="L83" t="s">
        <v>164</v>
      </c>
      <c r="M83" t="s">
        <v>165</v>
      </c>
      <c r="N83" t="s">
        <v>166</v>
      </c>
    </row>
    <row r="84" spans="1:14" x14ac:dyDescent="0.2">
      <c r="A84" t="s">
        <v>167</v>
      </c>
      <c r="B84" t="s">
        <v>50</v>
      </c>
      <c r="C84" s="5">
        <v>2.5000000000000001E-2</v>
      </c>
      <c r="D84" s="5">
        <v>45</v>
      </c>
      <c r="F84" t="s">
        <v>167</v>
      </c>
      <c r="G84" t="s">
        <v>168</v>
      </c>
      <c r="H84" s="5">
        <f>0.038</f>
        <v>3.7999999999999999E-2</v>
      </c>
      <c r="I84" s="5">
        <f>(30+80)/2</f>
        <v>55</v>
      </c>
      <c r="K84" t="s">
        <v>167</v>
      </c>
      <c r="L84" t="s">
        <v>169</v>
      </c>
      <c r="M84" s="5">
        <f>(0.038+0.067)/2</f>
        <v>5.2500000000000005E-2</v>
      </c>
      <c r="N84" s="5">
        <f>(100+109)/2</f>
        <v>104.5</v>
      </c>
    </row>
    <row r="85" spans="1:14" x14ac:dyDescent="0.2">
      <c r="A85" t="s">
        <v>170</v>
      </c>
      <c r="B85" t="s">
        <v>171</v>
      </c>
      <c r="C85" s="5">
        <v>3.6999999999999998E-2</v>
      </c>
      <c r="D85" s="5">
        <v>140</v>
      </c>
      <c r="F85" t="s">
        <v>170</v>
      </c>
      <c r="G85" t="s">
        <v>168</v>
      </c>
      <c r="H85" s="5">
        <f t="shared" ref="H85:H87" si="10">0.038</f>
        <v>3.7999999999999999E-2</v>
      </c>
      <c r="I85" s="5">
        <f t="shared" ref="I85:I87" si="11">(30+80)/2</f>
        <v>55</v>
      </c>
      <c r="K85" t="s">
        <v>170</v>
      </c>
      <c r="L85" t="s">
        <v>169</v>
      </c>
      <c r="M85" s="5">
        <f t="shared" ref="M85:M87" si="12">(0.038+0.067)/2</f>
        <v>5.2500000000000005E-2</v>
      </c>
      <c r="N85" s="5">
        <f t="shared" ref="N85:N87" si="13">(100+109)/2</f>
        <v>104.5</v>
      </c>
    </row>
    <row r="86" spans="1:14" x14ac:dyDescent="0.2">
      <c r="A86" t="s">
        <v>172</v>
      </c>
      <c r="B86" t="s">
        <v>50</v>
      </c>
      <c r="C86" s="5">
        <v>2.5000000000000001E-2</v>
      </c>
      <c r="D86" s="5">
        <v>45</v>
      </c>
      <c r="F86" t="s">
        <v>172</v>
      </c>
      <c r="G86" t="s">
        <v>168</v>
      </c>
      <c r="H86" s="5">
        <f t="shared" si="10"/>
        <v>3.7999999999999999E-2</v>
      </c>
      <c r="I86" s="5">
        <f t="shared" si="11"/>
        <v>55</v>
      </c>
      <c r="K86" t="s">
        <v>172</v>
      </c>
      <c r="L86" t="s">
        <v>169</v>
      </c>
      <c r="M86" s="5">
        <f t="shared" si="12"/>
        <v>5.2500000000000005E-2</v>
      </c>
      <c r="N86" s="5">
        <f t="shared" si="13"/>
        <v>104.5</v>
      </c>
    </row>
    <row r="87" spans="1:14" x14ac:dyDescent="0.2">
      <c r="A87" t="s">
        <v>173</v>
      </c>
      <c r="B87" t="s">
        <v>171</v>
      </c>
      <c r="C87" s="5">
        <v>3.6999999999999998E-2</v>
      </c>
      <c r="D87" s="5">
        <v>140</v>
      </c>
      <c r="F87" t="s">
        <v>173</v>
      </c>
      <c r="G87" t="s">
        <v>168</v>
      </c>
      <c r="H87" s="5">
        <f t="shared" si="10"/>
        <v>3.7999999999999999E-2</v>
      </c>
      <c r="I87" s="5">
        <f t="shared" si="11"/>
        <v>55</v>
      </c>
      <c r="K87" t="s">
        <v>173</v>
      </c>
      <c r="L87" t="s">
        <v>169</v>
      </c>
      <c r="M87" s="5">
        <f t="shared" si="12"/>
        <v>5.2500000000000005E-2</v>
      </c>
      <c r="N87" s="5">
        <f t="shared" si="13"/>
        <v>104.5</v>
      </c>
    </row>
    <row r="89" spans="1:14" x14ac:dyDescent="0.2">
      <c r="B89" t="s">
        <v>164</v>
      </c>
      <c r="C89" t="s">
        <v>174</v>
      </c>
    </row>
    <row r="90" spans="1:14" x14ac:dyDescent="0.2">
      <c r="A90" s="9" t="s">
        <v>175</v>
      </c>
      <c r="B90" t="s">
        <v>176</v>
      </c>
      <c r="C90" s="5">
        <f>(2400+2800)/2</f>
        <v>2600</v>
      </c>
    </row>
    <row r="91" spans="1:14" x14ac:dyDescent="0.2">
      <c r="A91" t="s">
        <v>175</v>
      </c>
      <c r="B91" t="s">
        <v>177</v>
      </c>
      <c r="C91" s="5">
        <v>1417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</vt:lpstr>
      <vt:lpstr>0_MaterialIntensity</vt:lpstr>
      <vt:lpstr>1_AverageAB_MI</vt:lpstr>
      <vt:lpstr>2_Retrofit_MI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Mira Kopp</dc:creator>
  <cp:lastModifiedBy>Mira Kopp</cp:lastModifiedBy>
  <dcterms:created xsi:type="dcterms:W3CDTF">2024-07-03T12:45:30Z</dcterms:created>
  <dcterms:modified xsi:type="dcterms:W3CDTF">2024-07-03T13:40:31Z</dcterms:modified>
</cp:coreProperties>
</file>