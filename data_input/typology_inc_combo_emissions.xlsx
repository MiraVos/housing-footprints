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ra/Documents/IE/REAL UTOPIAN HOUSING/Post-GrowthHousingScenarios/Code/housing-footprints/data_input/"/>
    </mc:Choice>
  </mc:AlternateContent>
  <xr:revisionPtr revIDLastSave="0" documentId="13_ncr:1_{76C1D2AF-D26F-314D-BDB8-8BB4B675A1D0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L43" i="1"/>
  <c r="M4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2" i="1"/>
  <c r="J4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</calcChain>
</file>

<file path=xl/sharedStrings.xml><?xml version="1.0" encoding="utf-8"?>
<sst xmlns="http://schemas.openxmlformats.org/spreadsheetml/2006/main" count="88" uniqueCount="22">
  <si>
    <t>typology_lab</t>
  </si>
  <si>
    <t>inc_lab</t>
  </si>
  <si>
    <t>highest_income_emission_per_capita</t>
  </si>
  <si>
    <t>lowest_income_emission_per_capita</t>
  </si>
  <si>
    <t>median_income_emission_per_capita</t>
  </si>
  <si>
    <t>mean_income_emission_per_capita</t>
  </si>
  <si>
    <t>total_population</t>
  </si>
  <si>
    <t>detached</t>
  </si>
  <si>
    <t>decile 1 (poorest)</t>
  </si>
  <si>
    <t>decile 10 (richest)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</si>
  <si>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</si>
  <si>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</si>
  <si>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</si>
  <si>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</si>
  <si>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</si>
  <si>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</si>
  <si>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</si>
  <si>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</si>
  <si>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multifamily</t>
  </si>
  <si>
    <t>row house</t>
  </si>
  <si>
    <t>semi-detached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</si>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</sst>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topLeftCell="A15" workbookViewId="0">
      <selection activeCell="M43" sqref="M43"/>
    </sheetView>
  </sheetViews>
  <sheetFormatPr baseColWidth="10" defaultColWidth="8.83203125" defaultRowHeight="15" x14ac:dyDescent="0.2"/>
  <cols>
    <col min="10" max="10" width="11.6640625" bestFit="1" customWidth="1"/>
    <col min="13" max="13" width="12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21</v>
      </c>
    </row>
    <row r="2" spans="1:13" x14ac:dyDescent="0.2">
      <c r="A2" t="s">
        <v>7</v>
      </c>
      <c r="B2" t="s">
        <v>8</v>
      </c>
      <c r="C2">
        <v>8235.3868152760224</v>
      </c>
      <c r="D2">
        <v>5118.0149199279276</v>
      </c>
      <c r="E2">
        <v>5797.2807197368247</v>
      </c>
      <c r="F2">
        <v>6279.8172412118174</v>
      </c>
      <c r="G2">
        <v>67935</v>
      </c>
      <c r="I2">
        <f>E2-F2</f>
        <v>-482.5365214749927</v>
      </c>
      <c r="J2">
        <f>I2*G2</f>
        <v>-32781118.586403631</v>
      </c>
      <c r="L2">
        <f>D2-F2</f>
        <v>-1161.8023212838898</v>
      </c>
      <c r="M2">
        <f>L2*G2</f>
        <v>-78927040.696421057</v>
      </c>
    </row>
    <row r="3" spans="1:13" x14ac:dyDescent="0.2">
      <c r="A3" t="s">
        <v>7</v>
      </c>
      <c r="B3" t="s">
        <v>9</v>
      </c>
      <c r="C3">
        <v>8646.1544503633231</v>
      </c>
      <c r="D3">
        <v>7354.3607574572025</v>
      </c>
      <c r="E3">
        <v>8040.970109387149</v>
      </c>
      <c r="F3">
        <v>8019.5707038484306</v>
      </c>
      <c r="G3">
        <v>618925</v>
      </c>
      <c r="I3">
        <f t="shared" ref="I3:I41" si="0">E3-F3</f>
        <v>21.399405538718383</v>
      </c>
      <c r="J3">
        <f t="shared" ref="J3:J41" si="1">I3*G3</f>
        <v>13244627.073051276</v>
      </c>
      <c r="L3">
        <f t="shared" ref="L3:L41" si="2">D3-F3</f>
        <v>-665.20994639122819</v>
      </c>
      <c r="M3">
        <f t="shared" ref="M3:M41" si="3">L3*G3</f>
        <v>-411715066.07019091</v>
      </c>
    </row>
    <row r="4" spans="1:13" x14ac:dyDescent="0.2">
      <c r="A4" t="s">
        <v>7</v>
      </c>
      <c r="B4" t="s">
        <v>10</v>
      </c>
      <c r="C4">
        <v>6513.0805057097277</v>
      </c>
      <c r="D4">
        <v>4826.6249273069216</v>
      </c>
      <c r="E4">
        <v>5160.9193214768366</v>
      </c>
      <c r="F4">
        <v>5371.6652602193226</v>
      </c>
      <c r="G4">
        <v>61965</v>
      </c>
      <c r="I4">
        <f t="shared" si="0"/>
        <v>-210.74593874248603</v>
      </c>
      <c r="J4">
        <f t="shared" si="1"/>
        <v>-13058872.094178148</v>
      </c>
      <c r="L4">
        <f t="shared" si="2"/>
        <v>-545.04033291240103</v>
      </c>
      <c r="M4">
        <f t="shared" si="3"/>
        <v>-33773424.228916928</v>
      </c>
    </row>
    <row r="5" spans="1:13" x14ac:dyDescent="0.2">
      <c r="A5" t="s">
        <v>7</v>
      </c>
      <c r="B5" t="s">
        <v>11</v>
      </c>
      <c r="C5">
        <v>6328.0640741728294</v>
      </c>
      <c r="D5">
        <v>5019.1877884263104</v>
      </c>
      <c r="E5">
        <v>5486.5415914509886</v>
      </c>
      <c r="F5">
        <v>5525.7095017787551</v>
      </c>
      <c r="G5">
        <v>92635</v>
      </c>
      <c r="I5">
        <f t="shared" si="0"/>
        <v>-39.167910327766549</v>
      </c>
      <c r="J5">
        <f t="shared" si="1"/>
        <v>-3628319.3732126541</v>
      </c>
      <c r="L5">
        <f t="shared" si="2"/>
        <v>-506.52171335244475</v>
      </c>
      <c r="M5">
        <f t="shared" si="3"/>
        <v>-46921638.916403718</v>
      </c>
    </row>
    <row r="6" spans="1:13" x14ac:dyDescent="0.2">
      <c r="A6" t="s">
        <v>7</v>
      </c>
      <c r="B6" t="s">
        <v>12</v>
      </c>
      <c r="C6">
        <v>6119.3361452909776</v>
      </c>
      <c r="D6">
        <v>5104.5855228298269</v>
      </c>
      <c r="E6">
        <v>5974.33393958539</v>
      </c>
      <c r="F6">
        <v>5747.0551360691234</v>
      </c>
      <c r="G6">
        <v>165500</v>
      </c>
      <c r="I6">
        <f t="shared" si="0"/>
        <v>227.27880351626663</v>
      </c>
      <c r="J6">
        <f t="shared" si="1"/>
        <v>37614641.981942125</v>
      </c>
      <c r="L6">
        <f t="shared" si="2"/>
        <v>-642.46961323929645</v>
      </c>
      <c r="M6">
        <f t="shared" si="3"/>
        <v>-106328720.99110356</v>
      </c>
    </row>
    <row r="7" spans="1:13" x14ac:dyDescent="0.2">
      <c r="A7" t="s">
        <v>7</v>
      </c>
      <c r="B7" t="s">
        <v>13</v>
      </c>
      <c r="C7">
        <v>5928.7253636061514</v>
      </c>
      <c r="D7">
        <v>4916.9421560670553</v>
      </c>
      <c r="E7">
        <v>5695.6796761846736</v>
      </c>
      <c r="F7">
        <v>5551.9572151363482</v>
      </c>
      <c r="G7">
        <v>200730</v>
      </c>
      <c r="I7">
        <f t="shared" si="0"/>
        <v>143.72246104832539</v>
      </c>
      <c r="J7">
        <f t="shared" si="1"/>
        <v>28849409.606230356</v>
      </c>
      <c r="L7">
        <f t="shared" si="2"/>
        <v>-635.01505906929287</v>
      </c>
      <c r="M7">
        <f t="shared" si="3"/>
        <v>-127466572.80697916</v>
      </c>
    </row>
    <row r="8" spans="1:13" x14ac:dyDescent="0.2">
      <c r="A8" t="s">
        <v>7</v>
      </c>
      <c r="B8" t="s">
        <v>14</v>
      </c>
      <c r="C8">
        <v>6690.969415793943</v>
      </c>
      <c r="D8">
        <v>5252.166228782703</v>
      </c>
      <c r="E8">
        <v>5618.1743778281752</v>
      </c>
      <c r="F8">
        <v>5796.706245705167</v>
      </c>
      <c r="G8">
        <v>237075</v>
      </c>
      <c r="I8">
        <f t="shared" si="0"/>
        <v>-178.53186787699178</v>
      </c>
      <c r="J8">
        <f t="shared" si="1"/>
        <v>-42325442.576937824</v>
      </c>
      <c r="L8">
        <f t="shared" si="2"/>
        <v>-544.54001692246402</v>
      </c>
      <c r="M8">
        <f t="shared" si="3"/>
        <v>-129096824.51189315</v>
      </c>
    </row>
    <row r="9" spans="1:13" x14ac:dyDescent="0.2">
      <c r="A9" t="s">
        <v>7</v>
      </c>
      <c r="B9" t="s">
        <v>15</v>
      </c>
      <c r="C9">
        <v>6130.6763611686592</v>
      </c>
      <c r="D9">
        <v>4734.777792763417</v>
      </c>
      <c r="E9">
        <v>5946.2666091088258</v>
      </c>
      <c r="F9">
        <v>5693.5724692669046</v>
      </c>
      <c r="G9">
        <v>282880</v>
      </c>
      <c r="I9">
        <f t="shared" si="0"/>
        <v>252.69413984192124</v>
      </c>
      <c r="J9">
        <f t="shared" si="1"/>
        <v>71482118.278482676</v>
      </c>
      <c r="L9">
        <f t="shared" si="2"/>
        <v>-958.79467650348761</v>
      </c>
      <c r="M9">
        <f t="shared" si="3"/>
        <v>-271223838.08930659</v>
      </c>
    </row>
    <row r="10" spans="1:13" x14ac:dyDescent="0.2">
      <c r="A10" t="s">
        <v>7</v>
      </c>
      <c r="B10" t="s">
        <v>16</v>
      </c>
      <c r="C10">
        <v>7318.4169829150214</v>
      </c>
      <c r="D10">
        <v>5438.8405616287291</v>
      </c>
      <c r="E10">
        <v>6318.9049486311224</v>
      </c>
      <c r="F10">
        <v>6327.4597125598857</v>
      </c>
      <c r="G10">
        <v>330060</v>
      </c>
      <c r="I10">
        <f t="shared" si="0"/>
        <v>-8.5547639287633501</v>
      </c>
      <c r="J10">
        <f t="shared" si="1"/>
        <v>-2823585.3823276311</v>
      </c>
      <c r="L10">
        <f t="shared" si="2"/>
        <v>-888.61915093115658</v>
      </c>
      <c r="M10">
        <f t="shared" si="3"/>
        <v>-293297636.95633757</v>
      </c>
    </row>
    <row r="11" spans="1:13" x14ac:dyDescent="0.2">
      <c r="A11" t="s">
        <v>7</v>
      </c>
      <c r="B11" t="s">
        <v>17</v>
      </c>
      <c r="C11">
        <v>7596.7559076234356</v>
      </c>
      <c r="D11">
        <v>5891.7662852689764</v>
      </c>
      <c r="E11">
        <v>6889.9499279268348</v>
      </c>
      <c r="F11">
        <v>6899.5491662889308</v>
      </c>
      <c r="G11">
        <v>409985</v>
      </c>
      <c r="I11">
        <f t="shared" si="0"/>
        <v>-9.5992383620960027</v>
      </c>
      <c r="J11">
        <f t="shared" si="1"/>
        <v>-3935543.7398839295</v>
      </c>
      <c r="L11">
        <f t="shared" si="2"/>
        <v>-1007.7828810199544</v>
      </c>
      <c r="M11">
        <f t="shared" si="3"/>
        <v>-413175864.47496599</v>
      </c>
    </row>
    <row r="12" spans="1:13" x14ac:dyDescent="0.2">
      <c r="A12" t="s">
        <v>18</v>
      </c>
      <c r="B12" t="s">
        <v>8</v>
      </c>
      <c r="C12">
        <v>6759.1034333621355</v>
      </c>
      <c r="D12">
        <v>2764.2647435481158</v>
      </c>
      <c r="E12">
        <v>3984.78200720532</v>
      </c>
      <c r="F12">
        <v>4376.606594734023</v>
      </c>
      <c r="G12">
        <v>687115</v>
      </c>
      <c r="I12">
        <f t="shared" si="0"/>
        <v>-391.82458752870298</v>
      </c>
      <c r="J12">
        <f t="shared" si="1"/>
        <v>-269228551.45978475</v>
      </c>
      <c r="L12">
        <f t="shared" si="2"/>
        <v>-1612.3418511859072</v>
      </c>
      <c r="M12">
        <f t="shared" si="3"/>
        <v>-1107864271.0776045</v>
      </c>
    </row>
    <row r="13" spans="1:13" x14ac:dyDescent="0.2">
      <c r="A13" t="s">
        <v>18</v>
      </c>
      <c r="B13" t="s">
        <v>9</v>
      </c>
      <c r="C13">
        <v>8074.5445680751409</v>
      </c>
      <c r="D13">
        <v>6170.1915559899717</v>
      </c>
      <c r="E13">
        <v>7999.4563676839543</v>
      </c>
      <c r="F13">
        <v>7599.8178944572956</v>
      </c>
      <c r="G13">
        <v>265415</v>
      </c>
      <c r="I13">
        <f t="shared" si="0"/>
        <v>399.63847322665879</v>
      </c>
      <c r="J13">
        <f t="shared" si="1"/>
        <v>106070045.37145364</v>
      </c>
      <c r="L13">
        <f t="shared" si="2"/>
        <v>-1429.6263384673239</v>
      </c>
      <c r="M13">
        <f t="shared" si="3"/>
        <v>-379444274.62430477</v>
      </c>
    </row>
    <row r="14" spans="1:13" x14ac:dyDescent="0.2">
      <c r="A14" t="s">
        <v>18</v>
      </c>
      <c r="B14" t="s">
        <v>10</v>
      </c>
      <c r="C14">
        <v>5875.3099162254421</v>
      </c>
      <c r="D14">
        <v>3658.999870779965</v>
      </c>
      <c r="E14">
        <v>4050.5915658166982</v>
      </c>
      <c r="F14">
        <v>4380.9230501571337</v>
      </c>
      <c r="G14">
        <v>553635</v>
      </c>
      <c r="I14">
        <f t="shared" si="0"/>
        <v>-330.33148434043551</v>
      </c>
      <c r="J14">
        <f t="shared" si="1"/>
        <v>-182883071.33281702</v>
      </c>
      <c r="L14">
        <f t="shared" si="2"/>
        <v>-721.92317937716871</v>
      </c>
      <c r="M14">
        <f t="shared" si="3"/>
        <v>-399681939.41447878</v>
      </c>
    </row>
    <row r="15" spans="1:13" x14ac:dyDescent="0.2">
      <c r="A15" t="s">
        <v>18</v>
      </c>
      <c r="B15" t="s">
        <v>11</v>
      </c>
      <c r="C15">
        <v>5823.8953263142139</v>
      </c>
      <c r="D15">
        <v>3566.2690791422328</v>
      </c>
      <c r="E15">
        <v>4758.4433657982436</v>
      </c>
      <c r="F15">
        <v>4663.4889769491974</v>
      </c>
      <c r="G15">
        <v>491155</v>
      </c>
      <c r="I15">
        <f t="shared" si="0"/>
        <v>94.954388849046154</v>
      </c>
      <c r="J15">
        <f t="shared" si="1"/>
        <v>46637322.855153263</v>
      </c>
      <c r="L15">
        <f t="shared" si="2"/>
        <v>-1097.2198978069646</v>
      </c>
      <c r="M15">
        <f t="shared" si="3"/>
        <v>-538905038.90737975</v>
      </c>
    </row>
    <row r="16" spans="1:13" x14ac:dyDescent="0.2">
      <c r="A16" t="s">
        <v>18</v>
      </c>
      <c r="B16" t="s">
        <v>12</v>
      </c>
      <c r="C16">
        <v>5677.8261732926794</v>
      </c>
      <c r="D16">
        <v>3701.032275544836</v>
      </c>
      <c r="E16">
        <v>5133.145868097924</v>
      </c>
      <c r="F16">
        <v>4900.7529655571652</v>
      </c>
      <c r="G16">
        <v>402485</v>
      </c>
      <c r="I16">
        <f t="shared" si="0"/>
        <v>232.39290254075877</v>
      </c>
      <c r="J16">
        <f t="shared" si="1"/>
        <v>93534657.379117295</v>
      </c>
      <c r="L16">
        <f t="shared" si="2"/>
        <v>-1199.7206900123292</v>
      </c>
      <c r="M16">
        <f t="shared" si="3"/>
        <v>-482869581.91961235</v>
      </c>
    </row>
    <row r="17" spans="1:13" x14ac:dyDescent="0.2">
      <c r="A17" t="s">
        <v>18</v>
      </c>
      <c r="B17" t="s">
        <v>13</v>
      </c>
      <c r="C17">
        <v>5631.1973123869166</v>
      </c>
      <c r="D17">
        <v>3913.344305429363</v>
      </c>
      <c r="E17">
        <v>5097.0462446561951</v>
      </c>
      <c r="F17">
        <v>5043.1638002612699</v>
      </c>
      <c r="G17">
        <v>348180</v>
      </c>
      <c r="I17">
        <f t="shared" si="0"/>
        <v>53.882444394925187</v>
      </c>
      <c r="J17">
        <f t="shared" si="1"/>
        <v>18760789.489425052</v>
      </c>
      <c r="L17">
        <f t="shared" si="2"/>
        <v>-1129.8194948319069</v>
      </c>
      <c r="M17">
        <f t="shared" si="3"/>
        <v>-393380551.71057338</v>
      </c>
    </row>
    <row r="18" spans="1:13" x14ac:dyDescent="0.2">
      <c r="A18" t="s">
        <v>18</v>
      </c>
      <c r="B18" t="s">
        <v>14</v>
      </c>
      <c r="C18">
        <v>7032.9111244110081</v>
      </c>
      <c r="D18">
        <v>4413.6777901797614</v>
      </c>
      <c r="E18">
        <v>5460.9266824834322</v>
      </c>
      <c r="F18">
        <v>5505.1036591156526</v>
      </c>
      <c r="G18">
        <v>312965</v>
      </c>
      <c r="I18">
        <f t="shared" si="0"/>
        <v>-44.17697663222043</v>
      </c>
      <c r="J18">
        <f t="shared" si="1"/>
        <v>-13825847.491702868</v>
      </c>
      <c r="L18">
        <f t="shared" si="2"/>
        <v>-1091.4258689358912</v>
      </c>
      <c r="M18">
        <f t="shared" si="3"/>
        <v>-341578097.07152122</v>
      </c>
    </row>
    <row r="19" spans="1:13" x14ac:dyDescent="0.2">
      <c r="A19" t="s">
        <v>18</v>
      </c>
      <c r="B19" t="s">
        <v>15</v>
      </c>
      <c r="C19">
        <v>5953.042864282811</v>
      </c>
      <c r="D19">
        <v>4054.751585972524</v>
      </c>
      <c r="E19">
        <v>5747.1658116024773</v>
      </c>
      <c r="F19">
        <v>5428.7358035205834</v>
      </c>
      <c r="G19">
        <v>282760</v>
      </c>
      <c r="I19">
        <f t="shared" si="0"/>
        <v>318.4300080818939</v>
      </c>
      <c r="J19">
        <f t="shared" si="1"/>
        <v>90039269.085236326</v>
      </c>
      <c r="L19">
        <f t="shared" si="2"/>
        <v>-1373.9842175480594</v>
      </c>
      <c r="M19">
        <f t="shared" si="3"/>
        <v>-388507777.35388929</v>
      </c>
    </row>
    <row r="20" spans="1:13" x14ac:dyDescent="0.2">
      <c r="A20" t="s">
        <v>18</v>
      </c>
      <c r="B20" t="s">
        <v>16</v>
      </c>
      <c r="C20">
        <v>6956.4197485017648</v>
      </c>
      <c r="D20">
        <v>4690.9698602761737</v>
      </c>
      <c r="E20">
        <v>6267.8432104336835</v>
      </c>
      <c r="F20">
        <v>6077.5358952231927</v>
      </c>
      <c r="G20">
        <v>264530</v>
      </c>
      <c r="I20">
        <f t="shared" si="0"/>
        <v>190.30731521049074</v>
      </c>
      <c r="J20">
        <f t="shared" si="1"/>
        <v>50341994.092631117</v>
      </c>
      <c r="L20">
        <f t="shared" si="2"/>
        <v>-1386.566034947019</v>
      </c>
      <c r="M20">
        <f t="shared" si="3"/>
        <v>-366788313.22453493</v>
      </c>
    </row>
    <row r="21" spans="1:13" x14ac:dyDescent="0.2">
      <c r="A21" t="s">
        <v>18</v>
      </c>
      <c r="B21" t="s">
        <v>17</v>
      </c>
      <c r="C21">
        <v>7440.5770616930786</v>
      </c>
      <c r="D21">
        <v>5016.3990237735816</v>
      </c>
      <c r="E21">
        <v>6958.3349896923028</v>
      </c>
      <c r="F21">
        <v>6658.2032177803849</v>
      </c>
      <c r="G21">
        <v>258150</v>
      </c>
      <c r="I21">
        <f t="shared" si="0"/>
        <v>300.13177191191789</v>
      </c>
      <c r="J21">
        <f t="shared" si="1"/>
        <v>77479016.919061601</v>
      </c>
      <c r="L21">
        <f t="shared" si="2"/>
        <v>-1641.8041940068033</v>
      </c>
      <c r="M21">
        <f t="shared" si="3"/>
        <v>-423831752.68285626</v>
      </c>
    </row>
    <row r="22" spans="1:13" x14ac:dyDescent="0.2">
      <c r="A22" t="s">
        <v>19</v>
      </c>
      <c r="B22" t="s">
        <v>8</v>
      </c>
      <c r="C22">
        <v>5287.7128478380582</v>
      </c>
      <c r="D22">
        <v>2644.48327988148</v>
      </c>
      <c r="E22">
        <v>3209.4044989346289</v>
      </c>
      <c r="F22">
        <v>3555.160604907273</v>
      </c>
      <c r="G22">
        <v>392845</v>
      </c>
      <c r="I22">
        <f t="shared" si="0"/>
        <v>-345.75610597264404</v>
      </c>
      <c r="J22">
        <f t="shared" si="1"/>
        <v>-135828557.45082334</v>
      </c>
      <c r="L22">
        <f t="shared" si="2"/>
        <v>-910.67732502579292</v>
      </c>
      <c r="M22">
        <f t="shared" si="3"/>
        <v>-357755033.74975765</v>
      </c>
    </row>
    <row r="23" spans="1:13" x14ac:dyDescent="0.2">
      <c r="A23" t="s">
        <v>19</v>
      </c>
      <c r="B23" t="s">
        <v>9</v>
      </c>
      <c r="C23">
        <v>7683.0521428663369</v>
      </c>
      <c r="D23">
        <v>5787.9806601371774</v>
      </c>
      <c r="E23">
        <v>7003.8254198479563</v>
      </c>
      <c r="F23">
        <v>6888.4675650622394</v>
      </c>
      <c r="G23">
        <v>482245</v>
      </c>
      <c r="I23">
        <f t="shared" si="0"/>
        <v>115.35785478571688</v>
      </c>
      <c r="J23">
        <f t="shared" si="1"/>
        <v>55630748.681138039</v>
      </c>
      <c r="L23">
        <f t="shared" si="2"/>
        <v>-1100.4869049250619</v>
      </c>
      <c r="M23">
        <f t="shared" si="3"/>
        <v>-530704307.46558648</v>
      </c>
    </row>
    <row r="24" spans="1:13" x14ac:dyDescent="0.2">
      <c r="A24" t="s">
        <v>19</v>
      </c>
      <c r="B24" t="s">
        <v>10</v>
      </c>
      <c r="C24">
        <v>5063.6575441605328</v>
      </c>
      <c r="D24">
        <v>3202.8214588627602</v>
      </c>
      <c r="E24">
        <v>3489.023179025136</v>
      </c>
      <c r="F24">
        <v>3801.2440173462001</v>
      </c>
      <c r="G24">
        <v>415735</v>
      </c>
      <c r="I24">
        <f t="shared" si="0"/>
        <v>-312.22083832106409</v>
      </c>
      <c r="J24">
        <f t="shared" si="1"/>
        <v>-129801130.21940757</v>
      </c>
      <c r="L24">
        <f t="shared" si="2"/>
        <v>-598.42255848343984</v>
      </c>
      <c r="M24">
        <f t="shared" si="3"/>
        <v>-248785202.35111287</v>
      </c>
    </row>
    <row r="25" spans="1:13" x14ac:dyDescent="0.2">
      <c r="A25" t="s">
        <v>19</v>
      </c>
      <c r="B25" t="s">
        <v>11</v>
      </c>
      <c r="C25">
        <v>4940.3881917109584</v>
      </c>
      <c r="D25">
        <v>3338.9947369376641</v>
      </c>
      <c r="E25">
        <v>3871.98010704843</v>
      </c>
      <c r="F25">
        <v>3937.2923180961529</v>
      </c>
      <c r="G25">
        <v>428905</v>
      </c>
      <c r="I25">
        <f t="shared" si="0"/>
        <v>-65.31221104772294</v>
      </c>
      <c r="J25">
        <f t="shared" si="1"/>
        <v>-28012733.879423607</v>
      </c>
      <c r="L25">
        <f t="shared" si="2"/>
        <v>-598.29758115848881</v>
      </c>
      <c r="M25">
        <f t="shared" si="3"/>
        <v>-256612824.04678163</v>
      </c>
    </row>
    <row r="26" spans="1:13" x14ac:dyDescent="0.2">
      <c r="A26" t="s">
        <v>19</v>
      </c>
      <c r="B26" t="s">
        <v>12</v>
      </c>
      <c r="C26">
        <v>4503.9532343711526</v>
      </c>
      <c r="D26">
        <v>3435.3062089485688</v>
      </c>
      <c r="E26">
        <v>4140.8327458137828</v>
      </c>
      <c r="F26">
        <v>4079.0555784163848</v>
      </c>
      <c r="G26">
        <v>559030</v>
      </c>
      <c r="I26">
        <f t="shared" si="0"/>
        <v>61.777167397397989</v>
      </c>
      <c r="J26">
        <f t="shared" si="1"/>
        <v>34535289.8901674</v>
      </c>
      <c r="L26">
        <f t="shared" si="2"/>
        <v>-643.749369467816</v>
      </c>
      <c r="M26">
        <f t="shared" si="3"/>
        <v>-359875210.0135932</v>
      </c>
    </row>
    <row r="27" spans="1:13" x14ac:dyDescent="0.2">
      <c r="A27" t="s">
        <v>19</v>
      </c>
      <c r="B27" t="s">
        <v>13</v>
      </c>
      <c r="C27">
        <v>4775.8414651929852</v>
      </c>
      <c r="D27">
        <v>3593.4935364672988</v>
      </c>
      <c r="E27">
        <v>4167.2324111674261</v>
      </c>
      <c r="F27">
        <v>4188.0223378370329</v>
      </c>
      <c r="G27">
        <v>617645</v>
      </c>
      <c r="I27">
        <f t="shared" si="0"/>
        <v>-20.789926669606757</v>
      </c>
      <c r="J27">
        <f t="shared" si="1"/>
        <v>-12840794.257849265</v>
      </c>
      <c r="L27">
        <f t="shared" si="2"/>
        <v>-594.52880136973408</v>
      </c>
      <c r="M27">
        <f t="shared" si="3"/>
        <v>-367207741.52200943</v>
      </c>
    </row>
    <row r="28" spans="1:13" x14ac:dyDescent="0.2">
      <c r="A28" t="s">
        <v>19</v>
      </c>
      <c r="B28" t="s">
        <v>14</v>
      </c>
      <c r="C28">
        <v>5593.0273657072466</v>
      </c>
      <c r="D28">
        <v>3870.1605191223111</v>
      </c>
      <c r="E28">
        <v>4344.3070325670133</v>
      </c>
      <c r="F28">
        <v>4562.0424978965866</v>
      </c>
      <c r="G28">
        <v>657360</v>
      </c>
      <c r="I28">
        <f t="shared" si="0"/>
        <v>-217.73546532957334</v>
      </c>
      <c r="J28">
        <f t="shared" si="1"/>
        <v>-143130585.48904833</v>
      </c>
      <c r="L28">
        <f t="shared" si="2"/>
        <v>-691.88197877427547</v>
      </c>
      <c r="M28">
        <f t="shared" si="3"/>
        <v>-454815537.56705773</v>
      </c>
    </row>
    <row r="29" spans="1:13" x14ac:dyDescent="0.2">
      <c r="A29" t="s">
        <v>19</v>
      </c>
      <c r="B29" t="s">
        <v>15</v>
      </c>
      <c r="C29">
        <v>5339.9777860111117</v>
      </c>
      <c r="D29">
        <v>3648.3564539383169</v>
      </c>
      <c r="E29">
        <v>4687.8557351415966</v>
      </c>
      <c r="F29">
        <v>4616.013461458504</v>
      </c>
      <c r="G29">
        <v>661105</v>
      </c>
      <c r="I29">
        <f t="shared" si="0"/>
        <v>71.842273683092571</v>
      </c>
      <c r="J29">
        <f t="shared" si="1"/>
        <v>47495286.343260914</v>
      </c>
      <c r="L29">
        <f t="shared" si="2"/>
        <v>-967.65700752018711</v>
      </c>
      <c r="M29">
        <f t="shared" si="3"/>
        <v>-639722885.95663333</v>
      </c>
    </row>
    <row r="30" spans="1:13" x14ac:dyDescent="0.2">
      <c r="A30" t="s">
        <v>19</v>
      </c>
      <c r="B30" t="s">
        <v>16</v>
      </c>
      <c r="C30">
        <v>6706.8224640528997</v>
      </c>
      <c r="D30">
        <v>4228.6252225779654</v>
      </c>
      <c r="E30">
        <v>5301.2191950130427</v>
      </c>
      <c r="F30">
        <v>5365.2285921264174</v>
      </c>
      <c r="G30">
        <v>654105</v>
      </c>
      <c r="I30">
        <f t="shared" si="0"/>
        <v>-64.009397113374689</v>
      </c>
      <c r="J30">
        <f t="shared" si="1"/>
        <v>-41868866.698843949</v>
      </c>
      <c r="L30">
        <f t="shared" si="2"/>
        <v>-1136.6033695484521</v>
      </c>
      <c r="M30">
        <f t="shared" si="3"/>
        <v>-743457947.0384903</v>
      </c>
    </row>
    <row r="31" spans="1:13" x14ac:dyDescent="0.2">
      <c r="A31" t="s">
        <v>19</v>
      </c>
      <c r="B31" t="s">
        <v>17</v>
      </c>
      <c r="C31">
        <v>6924.6238624493517</v>
      </c>
      <c r="D31">
        <v>4695.1110450919286</v>
      </c>
      <c r="E31">
        <v>6149.9341581031058</v>
      </c>
      <c r="F31">
        <v>5972.3265634852287</v>
      </c>
      <c r="G31">
        <v>624340</v>
      </c>
      <c r="I31">
        <f t="shared" si="0"/>
        <v>177.60759461787711</v>
      </c>
      <c r="J31">
        <f t="shared" si="1"/>
        <v>110887525.6237254</v>
      </c>
      <c r="L31">
        <f t="shared" si="2"/>
        <v>-1277.2155183933</v>
      </c>
      <c r="M31">
        <f t="shared" si="3"/>
        <v>-797416736.75367296</v>
      </c>
    </row>
    <row r="32" spans="1:13" x14ac:dyDescent="0.2">
      <c r="A32" t="s">
        <v>20</v>
      </c>
      <c r="B32" t="s">
        <v>8</v>
      </c>
      <c r="C32">
        <v>6178.2837934387253</v>
      </c>
      <c r="D32">
        <v>3125.6417223418639</v>
      </c>
      <c r="E32">
        <v>3759.733184154969</v>
      </c>
      <c r="F32">
        <v>4176.3557732490826</v>
      </c>
      <c r="G32">
        <v>212280</v>
      </c>
      <c r="I32">
        <f t="shared" si="0"/>
        <v>-416.62258909411366</v>
      </c>
      <c r="J32">
        <f t="shared" si="1"/>
        <v>-88440643.212898448</v>
      </c>
      <c r="L32">
        <f t="shared" si="2"/>
        <v>-1050.7140509072187</v>
      </c>
      <c r="M32">
        <f t="shared" si="3"/>
        <v>-223045578.7265844</v>
      </c>
    </row>
    <row r="33" spans="1:13" x14ac:dyDescent="0.2">
      <c r="A33" t="s">
        <v>20</v>
      </c>
      <c r="B33" t="s">
        <v>9</v>
      </c>
      <c r="C33">
        <v>7996.9446810022009</v>
      </c>
      <c r="D33">
        <v>6303.4758070227599</v>
      </c>
      <c r="E33">
        <v>7320.5136071196357</v>
      </c>
      <c r="F33">
        <v>7239.501548158476</v>
      </c>
      <c r="G33">
        <v>469840</v>
      </c>
      <c r="I33">
        <f t="shared" si="0"/>
        <v>81.01205896115971</v>
      </c>
      <c r="J33">
        <f t="shared" si="1"/>
        <v>38062705.782311276</v>
      </c>
      <c r="L33">
        <f t="shared" si="2"/>
        <v>-936.02574113571609</v>
      </c>
      <c r="M33">
        <f t="shared" si="3"/>
        <v>-439782334.21520483</v>
      </c>
    </row>
    <row r="34" spans="1:13" x14ac:dyDescent="0.2">
      <c r="A34" t="s">
        <v>20</v>
      </c>
      <c r="B34" t="s">
        <v>10</v>
      </c>
      <c r="C34">
        <v>5589.4087875074101</v>
      </c>
      <c r="D34">
        <v>3690.2300248233651</v>
      </c>
      <c r="E34">
        <v>4038.712754035615</v>
      </c>
      <c r="F34">
        <v>4312.1752486956148</v>
      </c>
      <c r="G34">
        <v>251420</v>
      </c>
      <c r="I34">
        <f t="shared" si="0"/>
        <v>-273.46249465999972</v>
      </c>
      <c r="J34">
        <f t="shared" si="1"/>
        <v>-68753940.407417133</v>
      </c>
      <c r="L34">
        <f t="shared" si="2"/>
        <v>-621.9452238722497</v>
      </c>
      <c r="M34">
        <f t="shared" si="3"/>
        <v>-156369468.18596101</v>
      </c>
    </row>
    <row r="35" spans="1:13" x14ac:dyDescent="0.2">
      <c r="A35" t="s">
        <v>20</v>
      </c>
      <c r="B35" t="s">
        <v>11</v>
      </c>
      <c r="C35">
        <v>5479.1560102209887</v>
      </c>
      <c r="D35">
        <v>3796.6068977086529</v>
      </c>
      <c r="E35">
        <v>4460.7648171233213</v>
      </c>
      <c r="F35">
        <v>4479.1597493333738</v>
      </c>
      <c r="G35">
        <v>271865</v>
      </c>
      <c r="I35">
        <f t="shared" si="0"/>
        <v>-18.394932210052502</v>
      </c>
      <c r="J35">
        <f t="shared" si="1"/>
        <v>-5000938.2452859236</v>
      </c>
      <c r="L35">
        <f t="shared" si="2"/>
        <v>-682.55285162472092</v>
      </c>
      <c r="M35">
        <f t="shared" si="3"/>
        <v>-185562231.00695476</v>
      </c>
    </row>
    <row r="36" spans="1:13" x14ac:dyDescent="0.2">
      <c r="A36" t="s">
        <v>20</v>
      </c>
      <c r="B36" t="s">
        <v>12</v>
      </c>
      <c r="C36">
        <v>5048.4735943075912</v>
      </c>
      <c r="D36">
        <v>3912.2146186914511</v>
      </c>
      <c r="E36">
        <v>4757.103274816146</v>
      </c>
      <c r="F36">
        <v>4624.6631531930543</v>
      </c>
      <c r="G36">
        <v>383370</v>
      </c>
      <c r="I36">
        <f t="shared" si="0"/>
        <v>132.44012162309173</v>
      </c>
      <c r="J36">
        <f t="shared" si="1"/>
        <v>50773569.426644675</v>
      </c>
      <c r="L36">
        <f t="shared" si="2"/>
        <v>-712.44853450160326</v>
      </c>
      <c r="M36">
        <f t="shared" si="3"/>
        <v>-273131394.67187965</v>
      </c>
    </row>
    <row r="37" spans="1:13" x14ac:dyDescent="0.2">
      <c r="A37" t="s">
        <v>20</v>
      </c>
      <c r="B37" t="s">
        <v>13</v>
      </c>
      <c r="C37">
        <v>5126.917041093343</v>
      </c>
      <c r="D37">
        <v>4028.7890992844959</v>
      </c>
      <c r="E37">
        <v>4666.1328749218656</v>
      </c>
      <c r="F37">
        <v>4620.7797840765179</v>
      </c>
      <c r="G37">
        <v>433740</v>
      </c>
      <c r="I37">
        <f t="shared" si="0"/>
        <v>45.353090845347651</v>
      </c>
      <c r="J37">
        <f t="shared" si="1"/>
        <v>19671449.62326109</v>
      </c>
      <c r="L37">
        <f t="shared" si="2"/>
        <v>-591.99068479202197</v>
      </c>
      <c r="M37">
        <f t="shared" si="3"/>
        <v>-256770039.62169161</v>
      </c>
    </row>
    <row r="38" spans="1:13" x14ac:dyDescent="0.2">
      <c r="A38" t="s">
        <v>20</v>
      </c>
      <c r="B38" t="s">
        <v>14</v>
      </c>
      <c r="C38">
        <v>5885.4953052846868</v>
      </c>
      <c r="D38">
        <v>4315.8470130192491</v>
      </c>
      <c r="E38">
        <v>4749.8467169343039</v>
      </c>
      <c r="F38">
        <v>4937.620425674334</v>
      </c>
      <c r="G38">
        <v>473085</v>
      </c>
      <c r="I38">
        <f t="shared" si="0"/>
        <v>-187.77370874003009</v>
      </c>
      <c r="J38">
        <f t="shared" si="1"/>
        <v>-88832924.99927713</v>
      </c>
      <c r="L38">
        <f t="shared" si="2"/>
        <v>-621.77341265508494</v>
      </c>
      <c r="M38">
        <f t="shared" si="3"/>
        <v>-294151674.92593086</v>
      </c>
    </row>
    <row r="39" spans="1:13" x14ac:dyDescent="0.2">
      <c r="A39" t="s">
        <v>20</v>
      </c>
      <c r="B39" t="s">
        <v>15</v>
      </c>
      <c r="C39">
        <v>5563.9490075466274</v>
      </c>
      <c r="D39">
        <v>4038.055703286605</v>
      </c>
      <c r="E39">
        <v>5008.9366371424558</v>
      </c>
      <c r="F39">
        <v>4970.7066455451941</v>
      </c>
      <c r="G39">
        <v>494780</v>
      </c>
      <c r="I39">
        <f t="shared" si="0"/>
        <v>38.229991597261687</v>
      </c>
      <c r="J39">
        <f t="shared" si="1"/>
        <v>18915435.242493138</v>
      </c>
      <c r="L39">
        <f t="shared" si="2"/>
        <v>-932.65094225858911</v>
      </c>
      <c r="M39">
        <f t="shared" si="3"/>
        <v>-461457033.21070474</v>
      </c>
    </row>
    <row r="40" spans="1:13" x14ac:dyDescent="0.2">
      <c r="A40" t="s">
        <v>20</v>
      </c>
      <c r="B40" t="s">
        <v>16</v>
      </c>
      <c r="C40">
        <v>6878.7393964037592</v>
      </c>
      <c r="D40">
        <v>4637.2847206371735</v>
      </c>
      <c r="E40">
        <v>5656.0322577185243</v>
      </c>
      <c r="F40">
        <v>5682.4648393862199</v>
      </c>
      <c r="G40">
        <v>507320</v>
      </c>
      <c r="I40">
        <f t="shared" si="0"/>
        <v>-26.432581667695558</v>
      </c>
      <c r="J40">
        <f t="shared" si="1"/>
        <v>-13409777.33165531</v>
      </c>
      <c r="L40">
        <f t="shared" si="2"/>
        <v>-1045.1801187490464</v>
      </c>
      <c r="M40">
        <f t="shared" si="3"/>
        <v>-530240777.84376621</v>
      </c>
    </row>
    <row r="41" spans="1:13" x14ac:dyDescent="0.2">
      <c r="A41" t="s">
        <v>20</v>
      </c>
      <c r="B41" t="s">
        <v>17</v>
      </c>
      <c r="C41">
        <v>7202.1878006511524</v>
      </c>
      <c r="D41">
        <v>5143.7623291263262</v>
      </c>
      <c r="E41">
        <v>6377.0010848783804</v>
      </c>
      <c r="F41">
        <v>6323.1150657099524</v>
      </c>
      <c r="G41">
        <v>513505</v>
      </c>
      <c r="I41">
        <f t="shared" si="0"/>
        <v>53.886019168427993</v>
      </c>
      <c r="J41">
        <f t="shared" si="1"/>
        <v>27670740.273083616</v>
      </c>
      <c r="L41">
        <f t="shared" si="2"/>
        <v>-1179.3527365836262</v>
      </c>
      <c r="M41">
        <f t="shared" si="3"/>
        <v>-605603526.99937499</v>
      </c>
    </row>
    <row r="43" spans="1:13" x14ac:dyDescent="0.2">
      <c r="J43">
        <f>SUM(J2:J41)</f>
        <v>-282714601.21130806</v>
      </c>
      <c r="K43">
        <f t="shared" ref="K43:M43" si="4">SUM(K2:K41)</f>
        <v>0</v>
      </c>
      <c r="L43">
        <f t="shared" si="4"/>
        <v>-37134.382190491422</v>
      </c>
      <c r="M43">
        <f t="shared" si="4"/>
        <v>-14917245711.602016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Kopp</cp:lastModifiedBy>
  <dcterms:created xsi:type="dcterms:W3CDTF">2025-02-07T16:45:34Z</dcterms:created>
  <dcterms:modified xsi:type="dcterms:W3CDTF">2025-02-07T17:43:23Z</dcterms:modified>
</cp:coreProperties>
</file>