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ra/Documents/IE/REAL UTOPIAN HOUSING/Post-GrowthHousingScenarios/Code/housing-footprints/data_input/"/>
    </mc:Choice>
  </mc:AlternateContent>
  <xr:revisionPtr revIDLastSave="0" documentId="13_ncr:1_{C79EAD2C-1193-0F41-9E41-013191BF55F0}" xr6:coauthVersionLast="47" xr6:coauthVersionMax="47" xr10:uidLastSave="{00000000-0000-0000-0000-000000000000}"/>
  <bookViews>
    <workbookView xWindow="0" yWindow="500" windowWidth="25580" windowHeight="15500" xr2:uid="{CAA754D3-AC81-B346-A139-F28AD287D6E3}"/>
  </bookViews>
  <sheets>
    <sheet name="Building_MI" sheetId="6" r:id="rId1"/>
    <sheet name="meta" sheetId="7" r:id="rId2"/>
    <sheet name="Building_MI_periodharmonised" sheetId="5" r:id="rId3"/>
    <sheet name="Building_MI_original_baseline" sheetId="2" r:id="rId4"/>
    <sheet name="MI_Info Case Studies" sheetId="3" r:id="rId5"/>
    <sheet name="Classifications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3" i="6" l="1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AA30" i="6"/>
  <c r="Z30" i="6"/>
  <c r="Y30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AA29" i="6"/>
  <c r="Z29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0" i="5"/>
  <c r="C9" i="5"/>
  <c r="C8" i="5"/>
  <c r="C7" i="5"/>
  <c r="C6" i="5"/>
  <c r="C12" i="5"/>
  <c r="C11" i="5"/>
  <c r="G39" i="2"/>
  <c r="D39" i="2"/>
  <c r="E39" i="2"/>
  <c r="A57" i="3"/>
  <c r="A56" i="3"/>
  <c r="D50" i="3"/>
  <c r="B50" i="3"/>
  <c r="D49" i="3"/>
  <c r="B49" i="3"/>
  <c r="A49" i="3"/>
  <c r="E46" i="3"/>
  <c r="D46" i="3"/>
  <c r="B46" i="3"/>
  <c r="E44" i="3"/>
  <c r="B44" i="3"/>
  <c r="E41" i="3"/>
  <c r="B41" i="3"/>
  <c r="B38" i="3"/>
  <c r="B37" i="3"/>
  <c r="B36" i="3"/>
  <c r="B35" i="3"/>
  <c r="C31" i="3"/>
  <c r="C30" i="3"/>
  <c r="A30" i="3"/>
  <c r="K7" i="2" l="1"/>
  <c r="L7" i="2"/>
  <c r="M7" i="2"/>
  <c r="N7" i="2"/>
  <c r="O7" i="2"/>
  <c r="K8" i="2"/>
  <c r="L8" i="2"/>
  <c r="M8" i="2"/>
  <c r="N8" i="2"/>
  <c r="O8" i="2"/>
  <c r="K9" i="2"/>
  <c r="L9" i="2"/>
  <c r="M9" i="2"/>
  <c r="N9" i="2"/>
  <c r="O9" i="2"/>
  <c r="K10" i="2"/>
  <c r="L10" i="2"/>
  <c r="M10" i="2"/>
  <c r="N10" i="2"/>
  <c r="O10" i="2"/>
  <c r="K11" i="2"/>
  <c r="L11" i="2"/>
  <c r="M11" i="2"/>
  <c r="N11" i="2"/>
  <c r="O11" i="2"/>
  <c r="K12" i="2"/>
  <c r="L12" i="2"/>
  <c r="M12" i="2"/>
  <c r="N12" i="2"/>
  <c r="O12" i="2"/>
  <c r="K13" i="2"/>
  <c r="L13" i="2"/>
  <c r="M13" i="2"/>
  <c r="N13" i="2"/>
  <c r="O13" i="2"/>
  <c r="K14" i="2"/>
  <c r="L14" i="2"/>
  <c r="M14" i="2"/>
  <c r="N14" i="2"/>
  <c r="O14" i="2"/>
  <c r="K15" i="2"/>
  <c r="L15" i="2"/>
  <c r="M15" i="2"/>
  <c r="N15" i="2"/>
  <c r="O15" i="2"/>
  <c r="K16" i="2"/>
  <c r="L16" i="2"/>
  <c r="M16" i="2"/>
  <c r="N16" i="2"/>
  <c r="O16" i="2"/>
  <c r="K17" i="2"/>
  <c r="L17" i="2"/>
  <c r="M17" i="2"/>
  <c r="N17" i="2"/>
  <c r="O17" i="2"/>
  <c r="K18" i="2"/>
  <c r="L18" i="2"/>
  <c r="M18" i="2"/>
  <c r="N18" i="2"/>
  <c r="O18" i="2"/>
  <c r="K19" i="2"/>
  <c r="L19" i="2"/>
  <c r="M19" i="2"/>
  <c r="N19" i="2"/>
  <c r="O19" i="2"/>
  <c r="K20" i="2"/>
  <c r="L20" i="2"/>
  <c r="M20" i="2"/>
  <c r="N20" i="2"/>
  <c r="O20" i="2"/>
  <c r="K21" i="2"/>
  <c r="L21" i="2"/>
  <c r="M21" i="2"/>
  <c r="N21" i="2"/>
  <c r="O21" i="2"/>
  <c r="K22" i="2"/>
  <c r="L22" i="2"/>
  <c r="M22" i="2"/>
  <c r="N22" i="2"/>
  <c r="O22" i="2"/>
  <c r="K23" i="2"/>
  <c r="L23" i="2"/>
  <c r="M23" i="2"/>
  <c r="N23" i="2"/>
  <c r="O23" i="2"/>
  <c r="K24" i="2"/>
  <c r="L24" i="2"/>
  <c r="M24" i="2"/>
  <c r="N24" i="2"/>
  <c r="O24" i="2"/>
  <c r="K25" i="2"/>
  <c r="L25" i="2"/>
  <c r="M25" i="2"/>
  <c r="N25" i="2"/>
  <c r="O25" i="2"/>
  <c r="K26" i="2"/>
  <c r="L26" i="2"/>
  <c r="M26" i="2"/>
  <c r="N26" i="2"/>
  <c r="O26" i="2"/>
  <c r="K27" i="2"/>
  <c r="L27" i="2"/>
  <c r="M27" i="2"/>
  <c r="N27" i="2"/>
  <c r="O27" i="2"/>
  <c r="K28" i="2"/>
  <c r="L28" i="2"/>
  <c r="M28" i="2"/>
  <c r="N28" i="2"/>
  <c r="O28" i="2"/>
  <c r="K29" i="2"/>
  <c r="L29" i="2"/>
  <c r="M29" i="2"/>
  <c r="N29" i="2"/>
  <c r="O29" i="2"/>
  <c r="K30" i="2"/>
  <c r="L30" i="2"/>
  <c r="M30" i="2"/>
  <c r="N30" i="2"/>
  <c r="O30" i="2"/>
  <c r="L6" i="2"/>
  <c r="M6" i="2"/>
  <c r="N6" i="2"/>
  <c r="O6" i="2"/>
  <c r="K6" i="2"/>
  <c r="AN38" i="2"/>
  <c r="AB7" i="2" l="1"/>
  <c r="AB8" i="2"/>
  <c r="AB10" i="2"/>
  <c r="AB11" i="2"/>
  <c r="AB12" i="2"/>
  <c r="AB13" i="2"/>
  <c r="AB15" i="2"/>
  <c r="AB16" i="2"/>
  <c r="AB17" i="2"/>
  <c r="AB18" i="2"/>
  <c r="AB20" i="2"/>
  <c r="AB21" i="2"/>
  <c r="AB22" i="2"/>
  <c r="AB23" i="2"/>
  <c r="AB25" i="2"/>
  <c r="AB26" i="2"/>
  <c r="AB27" i="2"/>
  <c r="AB28" i="2"/>
  <c r="AB30" i="2"/>
  <c r="AB6" i="2"/>
</calcChain>
</file>

<file path=xl/sharedStrings.xml><?xml version="1.0" encoding="utf-8"?>
<sst xmlns="http://schemas.openxmlformats.org/spreadsheetml/2006/main" count="660" uniqueCount="168">
  <si>
    <t>Building type</t>
  </si>
  <si>
    <t>Oorschot et al. 2023</t>
  </si>
  <si>
    <t>2-1 kap 3 laags zadeldak</t>
  </si>
  <si>
    <t>appartementenblok tot 6 lagen</t>
  </si>
  <si>
    <t>seriematige woning 3 laags zadeldak</t>
  </si>
  <si>
    <t>vrijstaande woningvilla zadeldak</t>
  </si>
  <si>
    <t>winkel met appartementen</t>
  </si>
  <si>
    <t>woonzorgcentrum</t>
  </si>
  <si>
    <t>CBS Microdata</t>
  </si>
  <si>
    <t>Detached</t>
  </si>
  <si>
    <t>Semi-detached</t>
  </si>
  <si>
    <t>Terraced</t>
  </si>
  <si>
    <t>Apartment building</t>
  </si>
  <si>
    <t>Other</t>
  </si>
  <si>
    <t>Building age</t>
  </si>
  <si>
    <t>Oorschot et al.</t>
  </si>
  <si>
    <t>0-1945</t>
  </si>
  <si>
    <t>1945-1970</t>
  </si>
  <si>
    <t>1970-2000</t>
  </si>
  <si>
    <t>2000-2014</t>
  </si>
  <si>
    <t>2014-2018</t>
  </si>
  <si>
    <t>2018-2050</t>
  </si>
  <si>
    <t>kg/m2 UFA</t>
  </si>
  <si>
    <t>Aluminium (kg/m2)</t>
  </si>
  <si>
    <t>Baksteen (kg/m2)</t>
  </si>
  <si>
    <t>Beton (kg/m2)</t>
  </si>
  <si>
    <t>Bitumen (kg/m2)</t>
  </si>
  <si>
    <t>Electronica (kg/m2)</t>
  </si>
  <si>
    <t>Gips (kg/m2)</t>
  </si>
  <si>
    <t>Glas (kg/m2)</t>
  </si>
  <si>
    <t>Hout (kg/m2)</t>
  </si>
  <si>
    <t>Isolatie (kg/m2)</t>
  </si>
  <si>
    <t>Kalkzandsteen (kg/m2)</t>
  </si>
  <si>
    <t>Keramiek (kg/m2)</t>
  </si>
  <si>
    <t>Koper (kg/m2)</t>
  </si>
  <si>
    <t>Kunststoffen (kg/m2)</t>
  </si>
  <si>
    <t>Lijm en verf (kg/m2)</t>
  </si>
  <si>
    <t>Overige metalen (kg/m2)</t>
  </si>
  <si>
    <t>Papier (kg/m2)</t>
  </si>
  <si>
    <t>Staal &amp; IJzer (kg/m2)</t>
  </si>
  <si>
    <t>Steen (kg/m2)</t>
  </si>
  <si>
    <t>Zand (kg/m2)</t>
  </si>
  <si>
    <t>TOTAL</t>
  </si>
  <si>
    <t>Semi-Detached</t>
  </si>
  <si>
    <t>Mixed-Use</t>
  </si>
  <si>
    <t>Meta Data</t>
  </si>
  <si>
    <t>Source</t>
  </si>
  <si>
    <t>MPG</t>
  </si>
  <si>
    <t>Metabolic</t>
  </si>
  <si>
    <t>Mortel</t>
  </si>
  <si>
    <t>Overig biobased</t>
  </si>
  <si>
    <t>Empirical historic data</t>
  </si>
  <si>
    <t>Future model</t>
  </si>
  <si>
    <t>Baseline in Oorschot analysis</t>
  </si>
  <si>
    <t>Metabolic data analyis</t>
  </si>
  <si>
    <t>Metabolic_MI_scenarios_21102021</t>
  </si>
  <si>
    <t>historic_MI­_original</t>
  </si>
  <si>
    <t>file name</t>
  </si>
  <si>
    <t>2000-2018</t>
  </si>
  <si>
    <t>BONSAI</t>
  </si>
  <si>
    <t>M_WOOD</t>
  </si>
  <si>
    <t>M_SDCL</t>
  </si>
  <si>
    <t>M_STON</t>
  </si>
  <si>
    <t>M_PLAS</t>
  </si>
  <si>
    <t>M_RUBP</t>
  </si>
  <si>
    <t>M_GLAS</t>
  </si>
  <si>
    <t>M_BRIK</t>
  </si>
  <si>
    <t>M_ALUM</t>
  </si>
  <si>
    <t>M_LZTP</t>
  </si>
  <si>
    <t>M_COPP</t>
  </si>
  <si>
    <t>M_FABM</t>
  </si>
  <si>
    <t>M_STEL</t>
  </si>
  <si>
    <t>M_ONFM</t>
  </si>
  <si>
    <t>BONSAI_2nd</t>
  </si>
  <si>
    <t>M_CMNT + M_SDCL</t>
  </si>
  <si>
    <t>M_CMNT</t>
  </si>
  <si>
    <t>M_ELMA</t>
  </si>
  <si>
    <t>M_CRMC</t>
  </si>
  <si>
    <t>Gips</t>
  </si>
  <si>
    <t>Bitumen</t>
  </si>
  <si>
    <t>Mortar</t>
  </si>
  <si>
    <t>Brick</t>
  </si>
  <si>
    <t>Beton</t>
  </si>
  <si>
    <t>M_PAPE</t>
  </si>
  <si>
    <t>Paint</t>
  </si>
  <si>
    <t>M_CHEM</t>
  </si>
  <si>
    <t>BONSAI Waste</t>
  </si>
  <si>
    <t>M_wStel</t>
  </si>
  <si>
    <t>M_wGlas</t>
  </si>
  <si>
    <t>M_wPlas</t>
  </si>
  <si>
    <t>M_wCopp</t>
  </si>
  <si>
    <t>M_wAlum</t>
  </si>
  <si>
    <t>M_wWood</t>
  </si>
  <si>
    <t>M_wMix_nonferr</t>
  </si>
  <si>
    <t>M_wPape</t>
  </si>
  <si>
    <t>M_wDisc_eq</t>
  </si>
  <si>
    <t>M_wCons</t>
  </si>
  <si>
    <t>Materials for which information is needed:</t>
  </si>
  <si>
    <t>Aluminium</t>
  </si>
  <si>
    <t>Copper</t>
  </si>
  <si>
    <t>Bricks+Gips+Tiles+Mortar</t>
  </si>
  <si>
    <t>Total weight of</t>
  </si>
  <si>
    <t>Concrete</t>
  </si>
  <si>
    <t>Paint and Adhesives</t>
  </si>
  <si>
    <t>Electronics</t>
  </si>
  <si>
    <t>Steel and iron</t>
  </si>
  <si>
    <t>Other metals</t>
  </si>
  <si>
    <t>Paper</t>
  </si>
  <si>
    <t>Stone</t>
  </si>
  <si>
    <t>Sand</t>
  </si>
  <si>
    <t>Glass wool</t>
  </si>
  <si>
    <t>Expanded polystyrene</t>
  </si>
  <si>
    <t>Stone wool</t>
  </si>
  <si>
    <t>Polyurethanes</t>
  </si>
  <si>
    <t>Extruded polystyrene</t>
  </si>
  <si>
    <t>Biobased (wooden fibre board or flaxwool )</t>
  </si>
  <si>
    <t>Stock</t>
  </si>
  <si>
    <t>Construction</t>
  </si>
  <si>
    <t>Conventional</t>
  </si>
  <si>
    <t>Circular</t>
  </si>
  <si>
    <t>Biobased</t>
  </si>
  <si>
    <t>Stonewool</t>
  </si>
  <si>
    <t>Glaswoll</t>
  </si>
  <si>
    <t>M_ONMM</t>
  </si>
  <si>
    <t>EPS</t>
  </si>
  <si>
    <t>XPS</t>
  </si>
  <si>
    <t>PUR</t>
  </si>
  <si>
    <t>Plastics + EPS (expanded polystyrene) + XPS (extruded polystyrene) + PUR (polyurethane)</t>
  </si>
  <si>
    <t>Wood + other biobased materials including insulation</t>
  </si>
  <si>
    <t>Glass+Glass wool</t>
  </si>
  <si>
    <t xml:space="preserve">Stone wool </t>
  </si>
  <si>
    <t>Rock wool</t>
  </si>
  <si>
    <t>Cradle-to-gate</t>
  </si>
  <si>
    <t>Treatment</t>
  </si>
  <si>
    <t>Ökobaudat reference emission factors to match BONSAI sectors</t>
  </si>
  <si>
    <t>M_BITU</t>
  </si>
  <si>
    <t>Tiles</t>
  </si>
  <si>
    <t>TABULA</t>
  </si>
  <si>
    <t>1945-1965</t>
  </si>
  <si>
    <t>1965-1975</t>
  </si>
  <si>
    <t>1975-1992</t>
  </si>
  <si>
    <t>1992-2006</t>
  </si>
  <si>
    <t>2006-2015</t>
  </si>
  <si>
    <t>1945-1975</t>
  </si>
  <si>
    <t>Energy Merger</t>
  </si>
  <si>
    <t>Single family</t>
  </si>
  <si>
    <t>End-terraced</t>
  </si>
  <si>
    <t>Mid-terraced</t>
  </si>
  <si>
    <t>Multi-family building</t>
  </si>
  <si>
    <t>Group Semi-Detached and Hoekwoning (End-terraced)</t>
  </si>
  <si>
    <t>2015-2021</t>
  </si>
  <si>
    <t>2006-2021</t>
  </si>
  <si>
    <t>BENG since 2021</t>
  </si>
  <si>
    <t>1000-1965</t>
  </si>
  <si>
    <t>Group 2006-2021</t>
  </si>
  <si>
    <t>potentially group 1965-1992</t>
  </si>
  <si>
    <t>2006-2022</t>
  </si>
  <si>
    <t>Unit</t>
  </si>
  <si>
    <t>BONSAI Waste Treatment</t>
  </si>
  <si>
    <t>pre 1945</t>
  </si>
  <si>
    <t>1946-1964</t>
  </si>
  <si>
    <t>1965-1974</t>
  </si>
  <si>
    <t>1975-1991</t>
  </si>
  <si>
    <t>1992-2005</t>
  </si>
  <si>
    <t>detached</t>
  </si>
  <si>
    <t>semi-detached</t>
  </si>
  <si>
    <t>row house</t>
  </si>
  <si>
    <t>multifamily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</si>
</sst>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1"/>
      <name val="Avenir Next LT Pro"/>
      <family val="2"/>
    </font>
    <font>
      <b/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2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9" fontId="0" fillId="0" borderId="1" xfId="1" applyFont="1" applyBorder="1"/>
    <xf numFmtId="9" fontId="0" fillId="0" borderId="2" xfId="1" applyFont="1" applyBorder="1"/>
    <xf numFmtId="9" fontId="0" fillId="0" borderId="3" xfId="1" applyFont="1" applyBorder="1"/>
    <xf numFmtId="0" fontId="0" fillId="0" borderId="6" xfId="0" applyBorder="1"/>
    <xf numFmtId="9" fontId="0" fillId="0" borderId="6" xfId="1" applyFont="1" applyBorder="1"/>
    <xf numFmtId="9" fontId="0" fillId="0" borderId="0" xfId="1" applyFont="1" applyBorder="1"/>
    <xf numFmtId="9" fontId="0" fillId="0" borderId="7" xfId="1" applyFont="1" applyBorder="1"/>
    <xf numFmtId="0" fontId="0" fillId="0" borderId="10" xfId="0" applyBorder="1"/>
    <xf numFmtId="9" fontId="0" fillId="0" borderId="10" xfId="1" applyFont="1" applyBorder="1"/>
    <xf numFmtId="9" fontId="0" fillId="0" borderId="11" xfId="1" applyFont="1" applyBorder="1"/>
    <xf numFmtId="9" fontId="0" fillId="0" borderId="12" xfId="1" applyFont="1" applyBorder="1"/>
    <xf numFmtId="0" fontId="4" fillId="0" borderId="0" xfId="0" applyFont="1"/>
    <xf numFmtId="0" fontId="5" fillId="0" borderId="6" xfId="0" applyFont="1" applyBorder="1"/>
    <xf numFmtId="0" fontId="6" fillId="0" borderId="0" xfId="0" applyFont="1"/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Building_MI!$C$5</c:f>
              <c:strCache>
                <c:ptCount val="1"/>
                <c:pt idx="0">
                  <c:v>Aluminium (kg/m2)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Building_MI!$C$6:$C$25</c:f>
              <c:numCache>
                <c:formatCode>0.00</c:formatCode>
                <c:ptCount val="20"/>
                <c:pt idx="0">
                  <c:v>0.1123081338028169</c:v>
                </c:pt>
                <c:pt idx="1">
                  <c:v>0.20712039295774648</c:v>
                </c:pt>
                <c:pt idx="2">
                  <c:v>0.20054953943661974</c:v>
                </c:pt>
                <c:pt idx="3">
                  <c:v>0.19397868591549297</c:v>
                </c:pt>
                <c:pt idx="4">
                  <c:v>0.19397868591549297</c:v>
                </c:pt>
                <c:pt idx="5">
                  <c:v>0.19397868591549297</c:v>
                </c:pt>
                <c:pt idx="6">
                  <c:v>1.8059701492537312</c:v>
                </c:pt>
                <c:pt idx="7">
                  <c:v>0.18886813098591554</c:v>
                </c:pt>
                <c:pt idx="8">
                  <c:v>0.2876202295774648</c:v>
                </c:pt>
                <c:pt idx="9">
                  <c:v>0.27010362746478878</c:v>
                </c:pt>
                <c:pt idx="10">
                  <c:v>0.25258702535211269</c:v>
                </c:pt>
                <c:pt idx="11">
                  <c:v>0.25258702535211269</c:v>
                </c:pt>
                <c:pt idx="12">
                  <c:v>0.25258702535211269</c:v>
                </c:pt>
                <c:pt idx="13">
                  <c:v>1.8059701492537312</c:v>
                </c:pt>
                <c:pt idx="14">
                  <c:v>0.37854946376811599</c:v>
                </c:pt>
                <c:pt idx="15">
                  <c:v>0.47542224637681163</c:v>
                </c:pt>
                <c:pt idx="16">
                  <c:v>0.42675403405797108</c:v>
                </c:pt>
                <c:pt idx="17">
                  <c:v>0.37808582173913047</c:v>
                </c:pt>
                <c:pt idx="18">
                  <c:v>0.37808582173913052</c:v>
                </c:pt>
                <c:pt idx="19">
                  <c:v>0.37808582173913047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2-1C4F-A9A6-954A849335B9}"/>
            </c:ext>
          </c:extLst>
        </c:ser>
        <c:ser>
          <c:idx val="1"/>
          <c:order val="1"/>
          <c:tx>
            <c:strRef>
              <c:f>Building_MI!$D$5</c:f>
              <c:strCache>
                <c:ptCount val="1"/>
                <c:pt idx="0">
                  <c:v>Baksteen (kg/m2)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Building_MI!$D$6:$D$25</c:f>
              <c:numCache>
                <c:formatCode>0.00</c:formatCode>
                <c:ptCount val="20"/>
                <c:pt idx="0">
                  <c:v>290.13365908450703</c:v>
                </c:pt>
                <c:pt idx="1">
                  <c:v>290.13365908450703</c:v>
                </c:pt>
                <c:pt idx="2">
                  <c:v>203.09356135915493</c:v>
                </c:pt>
                <c:pt idx="3">
                  <c:v>116.05346363380282</c:v>
                </c:pt>
                <c:pt idx="4">
                  <c:v>116.05346363380283</c:v>
                </c:pt>
                <c:pt idx="5">
                  <c:v>116.05346363380282</c:v>
                </c:pt>
                <c:pt idx="6">
                  <c:v>218.41791044776119</c:v>
                </c:pt>
                <c:pt idx="7">
                  <c:v>322.16941545070426</c:v>
                </c:pt>
                <c:pt idx="8">
                  <c:v>322.16941545070426</c:v>
                </c:pt>
                <c:pt idx="9">
                  <c:v>225.51859081690142</c:v>
                </c:pt>
                <c:pt idx="10">
                  <c:v>128.86776618309858</c:v>
                </c:pt>
                <c:pt idx="11">
                  <c:v>128.86776618309858</c:v>
                </c:pt>
                <c:pt idx="12">
                  <c:v>128.86776618309858</c:v>
                </c:pt>
                <c:pt idx="13">
                  <c:v>218.41791044776119</c:v>
                </c:pt>
                <c:pt idx="14">
                  <c:v>162.86606424637682</c:v>
                </c:pt>
                <c:pt idx="15">
                  <c:v>162.86606424637682</c:v>
                </c:pt>
                <c:pt idx="16">
                  <c:v>114.0062449710145</c:v>
                </c:pt>
                <c:pt idx="17">
                  <c:v>65.146425695652184</c:v>
                </c:pt>
                <c:pt idx="18">
                  <c:v>65.146425695652184</c:v>
                </c:pt>
                <c:pt idx="19">
                  <c:v>65.146425695652184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B2-1C4F-A9A6-954A849335B9}"/>
            </c:ext>
          </c:extLst>
        </c:ser>
        <c:ser>
          <c:idx val="2"/>
          <c:order val="2"/>
          <c:tx>
            <c:strRef>
              <c:f>Building_MI!$E$5</c:f>
              <c:strCache>
                <c:ptCount val="1"/>
                <c:pt idx="0">
                  <c:v>Beton (kg/m2)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Building_MI!$E$6:$E$25</c:f>
              <c:numCache>
                <c:formatCode>0.00</c:formatCode>
                <c:ptCount val="20"/>
                <c:pt idx="0">
                  <c:v>1376.7648660647862</c:v>
                </c:pt>
                <c:pt idx="1">
                  <c:v>1375.8505954591524</c:v>
                </c:pt>
                <c:pt idx="2">
                  <c:v>1343.3323362725328</c:v>
                </c:pt>
                <c:pt idx="3">
                  <c:v>1310.8140770859129</c:v>
                </c:pt>
                <c:pt idx="4">
                  <c:v>1310.8140770859131</c:v>
                </c:pt>
                <c:pt idx="5">
                  <c:v>1310.8140770859129</c:v>
                </c:pt>
                <c:pt idx="6">
                  <c:v>1190.3880597014925</c:v>
                </c:pt>
                <c:pt idx="7">
                  <c:v>1388.6241446239421</c:v>
                </c:pt>
                <c:pt idx="8">
                  <c:v>1508.265099229576</c:v>
                </c:pt>
                <c:pt idx="9">
                  <c:v>1549.0926430154914</c:v>
                </c:pt>
                <c:pt idx="10">
                  <c:v>1589.920186801407</c:v>
                </c:pt>
                <c:pt idx="11">
                  <c:v>1589.920186801407</c:v>
                </c:pt>
                <c:pt idx="12">
                  <c:v>1589.920186801407</c:v>
                </c:pt>
                <c:pt idx="13">
                  <c:v>1190.3880597014925</c:v>
                </c:pt>
                <c:pt idx="14">
                  <c:v>1144.3172885652173</c:v>
                </c:pt>
                <c:pt idx="15">
                  <c:v>1225.6518204347826</c:v>
                </c:pt>
                <c:pt idx="16">
                  <c:v>1265.0665229282608</c:v>
                </c:pt>
                <c:pt idx="17">
                  <c:v>1304.4812254217391</c:v>
                </c:pt>
                <c:pt idx="18">
                  <c:v>1304.4812254217391</c:v>
                </c:pt>
                <c:pt idx="19">
                  <c:v>1304.4812254217391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B2-1C4F-A9A6-954A849335B9}"/>
            </c:ext>
          </c:extLst>
        </c:ser>
        <c:ser>
          <c:idx val="3"/>
          <c:order val="3"/>
          <c:tx>
            <c:strRef>
              <c:f>Building_MI!$F$5</c:f>
              <c:strCache>
                <c:ptCount val="1"/>
                <c:pt idx="0">
                  <c:v>Bitumen (kg/m2)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Building_MI!$F$6:$F$25</c:f>
              <c:numCache>
                <c:formatCode>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0.11593369718309859</c:v>
                </c:pt>
                <c:pt idx="3">
                  <c:v>0.23186739436619719</c:v>
                </c:pt>
                <c:pt idx="4">
                  <c:v>0.23186739436619719</c:v>
                </c:pt>
                <c:pt idx="5">
                  <c:v>0.23186739436619719</c:v>
                </c:pt>
                <c:pt idx="6">
                  <c:v>0.10447761194029852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0.10447761194029852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B2-1C4F-A9A6-954A849335B9}"/>
            </c:ext>
          </c:extLst>
        </c:ser>
        <c:ser>
          <c:idx val="4"/>
          <c:order val="4"/>
          <c:tx>
            <c:strRef>
              <c:f>Building_MI!$G$5</c:f>
              <c:strCache>
                <c:ptCount val="1"/>
                <c:pt idx="0">
                  <c:v>Electronica (kg/m2)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Building_MI!$G$6:$G$25</c:f>
              <c:numCache>
                <c:formatCode>0.00</c:formatCode>
                <c:ptCount val="20"/>
                <c:pt idx="0">
                  <c:v>1.4084507042253521E-2</c:v>
                </c:pt>
                <c:pt idx="1">
                  <c:v>1.4084507042253521E-2</c:v>
                </c:pt>
                <c:pt idx="2">
                  <c:v>1.4084507042253521E-2</c:v>
                </c:pt>
                <c:pt idx="3">
                  <c:v>1.4084507042253521E-2</c:v>
                </c:pt>
                <c:pt idx="4">
                  <c:v>1.4084507042253523E-2</c:v>
                </c:pt>
                <c:pt idx="5">
                  <c:v>1.4084507042253521E-2</c:v>
                </c:pt>
                <c:pt idx="6">
                  <c:v>0.62686567164179097</c:v>
                </c:pt>
                <c:pt idx="7">
                  <c:v>7.0422535211267607E-3</c:v>
                </c:pt>
                <c:pt idx="8">
                  <c:v>7.0422535211267607E-3</c:v>
                </c:pt>
                <c:pt idx="9">
                  <c:v>7.0422535211267607E-3</c:v>
                </c:pt>
                <c:pt idx="10">
                  <c:v>7.0422535211267607E-3</c:v>
                </c:pt>
                <c:pt idx="11">
                  <c:v>7.0422535211267616E-3</c:v>
                </c:pt>
                <c:pt idx="12">
                  <c:v>7.0422535211267607E-3</c:v>
                </c:pt>
                <c:pt idx="13">
                  <c:v>0.62686567164179097</c:v>
                </c:pt>
                <c:pt idx="14">
                  <c:v>1.8924160869565217E-2</c:v>
                </c:pt>
                <c:pt idx="15">
                  <c:v>1.8924160869565217E-2</c:v>
                </c:pt>
                <c:pt idx="16">
                  <c:v>1.8924160869565217E-2</c:v>
                </c:pt>
                <c:pt idx="17">
                  <c:v>1.8924160869565217E-2</c:v>
                </c:pt>
                <c:pt idx="18">
                  <c:v>1.8924160869565221E-2</c:v>
                </c:pt>
                <c:pt idx="19">
                  <c:v>1.8924160869565217E-2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B2-1C4F-A9A6-954A849335B9}"/>
            </c:ext>
          </c:extLst>
        </c:ser>
        <c:ser>
          <c:idx val="5"/>
          <c:order val="5"/>
          <c:tx>
            <c:strRef>
              <c:f>Building_MI!$H$5</c:f>
              <c:strCache>
                <c:ptCount val="1"/>
                <c:pt idx="0">
                  <c:v>Gips (kg/m2)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Building_MI!$H$6:$H$25</c:f>
              <c:numCache>
                <c:formatCode>0.00</c:formatCode>
                <c:ptCount val="20"/>
                <c:pt idx="0">
                  <c:v>9.3222154816901419</c:v>
                </c:pt>
                <c:pt idx="1">
                  <c:v>31.41036341126761</c:v>
                </c:pt>
                <c:pt idx="2">
                  <c:v>31.41036341126761</c:v>
                </c:pt>
                <c:pt idx="3">
                  <c:v>31.41036341126761</c:v>
                </c:pt>
                <c:pt idx="4">
                  <c:v>31.41036341126761</c:v>
                </c:pt>
                <c:pt idx="5">
                  <c:v>31.41036341126761</c:v>
                </c:pt>
                <c:pt idx="6">
                  <c:v>15.820895522388058</c:v>
                </c:pt>
                <c:pt idx="7">
                  <c:v>10.021588338028154</c:v>
                </c:pt>
                <c:pt idx="8">
                  <c:v>46.677546563380261</c:v>
                </c:pt>
                <c:pt idx="9">
                  <c:v>46.677546563380261</c:v>
                </c:pt>
                <c:pt idx="10">
                  <c:v>46.677546563380261</c:v>
                </c:pt>
                <c:pt idx="11">
                  <c:v>46.677546563380261</c:v>
                </c:pt>
                <c:pt idx="12">
                  <c:v>46.677546563380261</c:v>
                </c:pt>
                <c:pt idx="13">
                  <c:v>15.820895522388058</c:v>
                </c:pt>
                <c:pt idx="14">
                  <c:v>7.6938449159420292</c:v>
                </c:pt>
                <c:pt idx="15">
                  <c:v>16.722916946376813</c:v>
                </c:pt>
                <c:pt idx="16">
                  <c:v>16.722916946376813</c:v>
                </c:pt>
                <c:pt idx="17">
                  <c:v>16.722916946376813</c:v>
                </c:pt>
                <c:pt idx="18">
                  <c:v>16.722916946376813</c:v>
                </c:pt>
                <c:pt idx="19">
                  <c:v>16.722916946376813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B2-1C4F-A9A6-954A849335B9}"/>
            </c:ext>
          </c:extLst>
        </c:ser>
        <c:ser>
          <c:idx val="6"/>
          <c:order val="6"/>
          <c:tx>
            <c:strRef>
              <c:f>Building_MI!$I$5</c:f>
              <c:strCache>
                <c:ptCount val="1"/>
                <c:pt idx="0">
                  <c:v>Glas (kg/m2)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Building_MI!$I$6:$I$25</c:f>
              <c:numCache>
                <c:formatCode>0.00</c:formatCode>
                <c:ptCount val="20"/>
                <c:pt idx="0">
                  <c:v>0</c:v>
                </c:pt>
                <c:pt idx="1">
                  <c:v>3.2294997704225352</c:v>
                </c:pt>
                <c:pt idx="2">
                  <c:v>4.8442496549295768</c:v>
                </c:pt>
                <c:pt idx="3">
                  <c:v>6.4589995394366193</c:v>
                </c:pt>
                <c:pt idx="4">
                  <c:v>6.4589995394366202</c:v>
                </c:pt>
                <c:pt idx="5">
                  <c:v>6.4589995394366193</c:v>
                </c:pt>
                <c:pt idx="6">
                  <c:v>11.134328358208954</c:v>
                </c:pt>
                <c:pt idx="7">
                  <c:v>0.18055071267605635</c:v>
                </c:pt>
                <c:pt idx="8">
                  <c:v>2.4917772253521133</c:v>
                </c:pt>
                <c:pt idx="9">
                  <c:v>3.6473904816901408</c:v>
                </c:pt>
                <c:pt idx="10">
                  <c:v>4.8030037380281687</c:v>
                </c:pt>
                <c:pt idx="11">
                  <c:v>4.8030037380281687</c:v>
                </c:pt>
                <c:pt idx="12">
                  <c:v>4.8030037380281687</c:v>
                </c:pt>
                <c:pt idx="13">
                  <c:v>11.134328358208954</c:v>
                </c:pt>
                <c:pt idx="14">
                  <c:v>0.23043419420289715</c:v>
                </c:pt>
                <c:pt idx="15">
                  <c:v>2.3138175405797088</c:v>
                </c:pt>
                <c:pt idx="16">
                  <c:v>3.3555092137681148</c:v>
                </c:pt>
                <c:pt idx="17">
                  <c:v>4.3972008869565204</c:v>
                </c:pt>
                <c:pt idx="18">
                  <c:v>4.3972008869565204</c:v>
                </c:pt>
                <c:pt idx="19">
                  <c:v>4.3972008869565204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B2-1C4F-A9A6-954A849335B9}"/>
            </c:ext>
          </c:extLst>
        </c:ser>
        <c:ser>
          <c:idx val="7"/>
          <c:order val="7"/>
          <c:tx>
            <c:strRef>
              <c:f>Building_MI!$J$5</c:f>
              <c:strCache>
                <c:ptCount val="1"/>
                <c:pt idx="0">
                  <c:v>Hout (kg/m2)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Building_MI!$J$6:$J$25</c:f>
              <c:numCache>
                <c:formatCode>0.00</c:formatCode>
                <c:ptCount val="20"/>
                <c:pt idx="0">
                  <c:v>181.00586869013947</c:v>
                </c:pt>
                <c:pt idx="1">
                  <c:v>98.419572477464826</c:v>
                </c:pt>
                <c:pt idx="2">
                  <c:v>61.771561314788755</c:v>
                </c:pt>
                <c:pt idx="3">
                  <c:v>25.123550152112678</c:v>
                </c:pt>
                <c:pt idx="4">
                  <c:v>29.187577170530879</c:v>
                </c:pt>
                <c:pt idx="5">
                  <c:v>35.690020400000002</c:v>
                </c:pt>
                <c:pt idx="6">
                  <c:v>34.328358208955223</c:v>
                </c:pt>
                <c:pt idx="7">
                  <c:v>88.17859265915493</c:v>
                </c:pt>
                <c:pt idx="8">
                  <c:v>52.5479935169014</c:v>
                </c:pt>
                <c:pt idx="9">
                  <c:v>40.568142797887319</c:v>
                </c:pt>
                <c:pt idx="10">
                  <c:v>28.588292078873238</c:v>
                </c:pt>
                <c:pt idx="11">
                  <c:v>33.906028507367282</c:v>
                </c:pt>
                <c:pt idx="12">
                  <c:v>42.414406792957749</c:v>
                </c:pt>
                <c:pt idx="13">
                  <c:v>34.328358208955223</c:v>
                </c:pt>
                <c:pt idx="14">
                  <c:v>64.768413495652169</c:v>
                </c:pt>
                <c:pt idx="15">
                  <c:v>40.861085121739109</c:v>
                </c:pt>
                <c:pt idx="16">
                  <c:v>30.582543150724625</c:v>
                </c:pt>
                <c:pt idx="17">
                  <c:v>20.304001179710145</c:v>
                </c:pt>
                <c:pt idx="18">
                  <c:v>25.123583257748052</c:v>
                </c:pt>
                <c:pt idx="19">
                  <c:v>32.834914582608697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4B2-1C4F-A9A6-954A849335B9}"/>
            </c:ext>
          </c:extLst>
        </c:ser>
        <c:ser>
          <c:idx val="8"/>
          <c:order val="8"/>
          <c:tx>
            <c:strRef>
              <c:f>Building_MI!$AG$5</c:f>
              <c:strCache>
                <c:ptCount val="1"/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Building_MI!$AG$6:$AG$25</c:f>
              <c:numCache>
                <c:formatCode>General</c:formatCode>
                <c:ptCount val="20"/>
              </c:numCache>
            </c:numRef>
          </c:val>
          <c:extLst>
            <c:ext xmlns:c16="http://schemas.microsoft.com/office/drawing/2014/chart" uri="{C3380CC4-5D6E-409C-BE32-E72D297353CC}">
              <c16:uniqueId val="{00000008-74B2-1C4F-A9A6-954A849335B9}"/>
            </c:ext>
          </c:extLst>
        </c:ser>
        <c:ser>
          <c:idx val="9"/>
          <c:order val="9"/>
          <c:tx>
            <c:strRef>
              <c:f>Building_MI!$P$5</c:f>
              <c:strCache>
                <c:ptCount val="1"/>
                <c:pt idx="0">
                  <c:v>Kalkzandsteen (kg/m2)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Building_MI!$P$6:$P$25</c:f>
              <c:numCache>
                <c:formatCode>0.00</c:formatCode>
                <c:ptCount val="20"/>
                <c:pt idx="0">
                  <c:v>307.73567974647892</c:v>
                </c:pt>
                <c:pt idx="1">
                  <c:v>307.73567974647892</c:v>
                </c:pt>
                <c:pt idx="2">
                  <c:v>481.55970531690008</c:v>
                </c:pt>
                <c:pt idx="3">
                  <c:v>655.38373088732124</c:v>
                </c:pt>
                <c:pt idx="4">
                  <c:v>655.38373088732124</c:v>
                </c:pt>
                <c:pt idx="5">
                  <c:v>655.38373088732124</c:v>
                </c:pt>
                <c:pt idx="6">
                  <c:v>0</c:v>
                </c:pt>
                <c:pt idx="7">
                  <c:v>327.72170992957751</c:v>
                </c:pt>
                <c:pt idx="8">
                  <c:v>327.72170992957751</c:v>
                </c:pt>
                <c:pt idx="9">
                  <c:v>528.12196566901412</c:v>
                </c:pt>
                <c:pt idx="10">
                  <c:v>728.52222140845072</c:v>
                </c:pt>
                <c:pt idx="11">
                  <c:v>728.52222140845072</c:v>
                </c:pt>
                <c:pt idx="12">
                  <c:v>728.52222140845072</c:v>
                </c:pt>
                <c:pt idx="13">
                  <c:v>0</c:v>
                </c:pt>
                <c:pt idx="14">
                  <c:v>263.36174559420294</c:v>
                </c:pt>
                <c:pt idx="15">
                  <c:v>263.36174559420294</c:v>
                </c:pt>
                <c:pt idx="16">
                  <c:v>345.34430656521738</c:v>
                </c:pt>
                <c:pt idx="17">
                  <c:v>427.32686753623187</c:v>
                </c:pt>
                <c:pt idx="18">
                  <c:v>427.32686753623187</c:v>
                </c:pt>
                <c:pt idx="19">
                  <c:v>427.32686753623187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4B2-1C4F-A9A6-954A849335B9}"/>
            </c:ext>
          </c:extLst>
        </c:ser>
        <c:ser>
          <c:idx val="10"/>
          <c:order val="10"/>
          <c:tx>
            <c:strRef>
              <c:f>Building_MI!$Q$5</c:f>
              <c:strCache>
                <c:ptCount val="1"/>
                <c:pt idx="0">
                  <c:v>Keramiek (kg/m2)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Building_MI!$Q$6:$Q$25</c:f>
              <c:numCache>
                <c:formatCode>0.00</c:formatCode>
                <c:ptCount val="20"/>
                <c:pt idx="0">
                  <c:v>33.736131078873242</c:v>
                </c:pt>
                <c:pt idx="1">
                  <c:v>33.736131078873242</c:v>
                </c:pt>
                <c:pt idx="2">
                  <c:v>18.041966085915494</c:v>
                </c:pt>
                <c:pt idx="3">
                  <c:v>2.3478010929577464</c:v>
                </c:pt>
                <c:pt idx="4">
                  <c:v>2.3478010929577464</c:v>
                </c:pt>
                <c:pt idx="5">
                  <c:v>2.3478010929577464</c:v>
                </c:pt>
                <c:pt idx="6">
                  <c:v>5.3582089552238799</c:v>
                </c:pt>
                <c:pt idx="7">
                  <c:v>3.3205046464788595</c:v>
                </c:pt>
                <c:pt idx="8">
                  <c:v>3.3205046464788595</c:v>
                </c:pt>
                <c:pt idx="9">
                  <c:v>3.3205046464788595</c:v>
                </c:pt>
                <c:pt idx="10">
                  <c:v>3.3205046464788595</c:v>
                </c:pt>
                <c:pt idx="11">
                  <c:v>3.3205046464788599</c:v>
                </c:pt>
                <c:pt idx="12">
                  <c:v>3.3205046464788595</c:v>
                </c:pt>
                <c:pt idx="13">
                  <c:v>5.3582089552238799</c:v>
                </c:pt>
                <c:pt idx="14">
                  <c:v>2.7625526971014498</c:v>
                </c:pt>
                <c:pt idx="15">
                  <c:v>2.7625526971014498</c:v>
                </c:pt>
                <c:pt idx="16">
                  <c:v>2.7625526971014498</c:v>
                </c:pt>
                <c:pt idx="17">
                  <c:v>2.7625526971014498</c:v>
                </c:pt>
                <c:pt idx="18">
                  <c:v>2.7625526971014498</c:v>
                </c:pt>
                <c:pt idx="19">
                  <c:v>2.7625526971014498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4B2-1C4F-A9A6-954A849335B9}"/>
            </c:ext>
          </c:extLst>
        </c:ser>
        <c:ser>
          <c:idx val="11"/>
          <c:order val="11"/>
          <c:tx>
            <c:strRef>
              <c:f>Building_MI!$R$5</c:f>
              <c:strCache>
                <c:ptCount val="1"/>
                <c:pt idx="0">
                  <c:v>Koper (kg/m2)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Building_MI!$R$6:$R$25</c:f>
              <c:numCache>
                <c:formatCode>0.00</c:formatCode>
                <c:ptCount val="20"/>
                <c:pt idx="0">
                  <c:v>0.91964413521126764</c:v>
                </c:pt>
                <c:pt idx="1">
                  <c:v>0.91964413521126764</c:v>
                </c:pt>
                <c:pt idx="2">
                  <c:v>0.91964413521126764</c:v>
                </c:pt>
                <c:pt idx="3">
                  <c:v>0.91964413521126764</c:v>
                </c:pt>
                <c:pt idx="4">
                  <c:v>0.91964413521126775</c:v>
                </c:pt>
                <c:pt idx="5">
                  <c:v>0.91964413521126764</c:v>
                </c:pt>
                <c:pt idx="6">
                  <c:v>0.47761194029850745</c:v>
                </c:pt>
                <c:pt idx="7">
                  <c:v>0.84813828732394358</c:v>
                </c:pt>
                <c:pt idx="8">
                  <c:v>0.84813828732394358</c:v>
                </c:pt>
                <c:pt idx="9">
                  <c:v>0.84813828732394358</c:v>
                </c:pt>
                <c:pt idx="10">
                  <c:v>0.84813828732394358</c:v>
                </c:pt>
                <c:pt idx="11">
                  <c:v>0.84813828732394358</c:v>
                </c:pt>
                <c:pt idx="12">
                  <c:v>0.84813828732394358</c:v>
                </c:pt>
                <c:pt idx="13">
                  <c:v>0.47761194029850745</c:v>
                </c:pt>
                <c:pt idx="14">
                  <c:v>0.35149360434782612</c:v>
                </c:pt>
                <c:pt idx="15">
                  <c:v>0.35149360434782612</c:v>
                </c:pt>
                <c:pt idx="16">
                  <c:v>0.35149360434782612</c:v>
                </c:pt>
                <c:pt idx="17">
                  <c:v>0.35149360434782612</c:v>
                </c:pt>
                <c:pt idx="18">
                  <c:v>0.35149360434782617</c:v>
                </c:pt>
                <c:pt idx="19">
                  <c:v>0.35149360434782612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4B2-1C4F-A9A6-954A849335B9}"/>
            </c:ext>
          </c:extLst>
        </c:ser>
        <c:ser>
          <c:idx val="12"/>
          <c:order val="12"/>
          <c:tx>
            <c:strRef>
              <c:f>Building_MI!$S$5</c:f>
              <c:strCache>
                <c:ptCount val="1"/>
                <c:pt idx="0">
                  <c:v>Kunststoffen (kg/m2)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Building_MI!$S$6:$S$25</c:f>
              <c:numCache>
                <c:formatCode>0.00</c:formatCode>
                <c:ptCount val="20"/>
                <c:pt idx="0">
                  <c:v>1.3289144064788729</c:v>
                </c:pt>
                <c:pt idx="1">
                  <c:v>1.575594152957746</c:v>
                </c:pt>
                <c:pt idx="2">
                  <c:v>1.6860721529577458</c:v>
                </c:pt>
                <c:pt idx="3">
                  <c:v>1.7965501529577459</c:v>
                </c:pt>
                <c:pt idx="4">
                  <c:v>1.7965501529577459</c:v>
                </c:pt>
                <c:pt idx="5">
                  <c:v>1.7965501529577459</c:v>
                </c:pt>
                <c:pt idx="6">
                  <c:v>2.4029850746268657</c:v>
                </c:pt>
                <c:pt idx="7">
                  <c:v>1.2349096312676042</c:v>
                </c:pt>
                <c:pt idx="8">
                  <c:v>1.5494636326760549</c:v>
                </c:pt>
                <c:pt idx="9">
                  <c:v>1.6769674685915477</c:v>
                </c:pt>
                <c:pt idx="10">
                  <c:v>1.8044713045070404</c:v>
                </c:pt>
                <c:pt idx="11">
                  <c:v>1.8044713045070404</c:v>
                </c:pt>
                <c:pt idx="12">
                  <c:v>1.8044713045070404</c:v>
                </c:pt>
                <c:pt idx="13">
                  <c:v>2.4029850746268657</c:v>
                </c:pt>
                <c:pt idx="14">
                  <c:v>0.81826993999999875</c:v>
                </c:pt>
                <c:pt idx="15">
                  <c:v>1.1453851689855061</c:v>
                </c:pt>
                <c:pt idx="16">
                  <c:v>1.5083980617391295</c:v>
                </c:pt>
                <c:pt idx="17">
                  <c:v>1.8714109544927526</c:v>
                </c:pt>
                <c:pt idx="18">
                  <c:v>1.8714109544927529</c:v>
                </c:pt>
                <c:pt idx="19">
                  <c:v>1.8714109544927526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4B2-1C4F-A9A6-954A849335B9}"/>
            </c:ext>
          </c:extLst>
        </c:ser>
        <c:ser>
          <c:idx val="13"/>
          <c:order val="13"/>
          <c:tx>
            <c:strRef>
              <c:f>Building_MI!$T$5</c:f>
              <c:strCache>
                <c:ptCount val="1"/>
                <c:pt idx="0">
                  <c:v>Lijm en verf (kg/m2)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Building_MI!$T$6:$T$25</c:f>
              <c:numCache>
                <c:formatCode>0.00</c:formatCode>
                <c:ptCount val="20"/>
                <c:pt idx="0">
                  <c:v>1.5227198140845066</c:v>
                </c:pt>
                <c:pt idx="1">
                  <c:v>1.5071151830985914</c:v>
                </c:pt>
                <c:pt idx="2">
                  <c:v>1.4899587485915491</c:v>
                </c:pt>
                <c:pt idx="3">
                  <c:v>1.4728023140845068</c:v>
                </c:pt>
                <c:pt idx="4">
                  <c:v>1.5027603070422533</c:v>
                </c:pt>
                <c:pt idx="5">
                  <c:v>1.5506930957746479</c:v>
                </c:pt>
                <c:pt idx="6">
                  <c:v>0.9253731343283581</c:v>
                </c:pt>
                <c:pt idx="7">
                  <c:v>1.6288591619718307</c:v>
                </c:pt>
                <c:pt idx="8">
                  <c:v>1.7200033676056337</c:v>
                </c:pt>
                <c:pt idx="9">
                  <c:v>1.7268795647887323</c:v>
                </c:pt>
                <c:pt idx="10">
                  <c:v>1.7337557619718309</c:v>
                </c:pt>
                <c:pt idx="11">
                  <c:v>1.7743139775731311</c:v>
                </c:pt>
                <c:pt idx="12">
                  <c:v>1.8392071225352109</c:v>
                </c:pt>
                <c:pt idx="13">
                  <c:v>0.9253731343283581</c:v>
                </c:pt>
                <c:pt idx="14">
                  <c:v>1.3552014608695648</c:v>
                </c:pt>
                <c:pt idx="15">
                  <c:v>1.464410814492753</c:v>
                </c:pt>
                <c:pt idx="16">
                  <c:v>1.4622887391304342</c:v>
                </c:pt>
                <c:pt idx="17">
                  <c:v>1.4601666637681157</c:v>
                </c:pt>
                <c:pt idx="18">
                  <c:v>1.4972568075808241</c:v>
                </c:pt>
                <c:pt idx="19">
                  <c:v>1.5566010376811577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4B2-1C4F-A9A6-954A849335B9}"/>
            </c:ext>
          </c:extLst>
        </c:ser>
        <c:ser>
          <c:idx val="14"/>
          <c:order val="14"/>
          <c:tx>
            <c:strRef>
              <c:f>Building_MI!$U$5</c:f>
              <c:strCache>
                <c:ptCount val="1"/>
                <c:pt idx="0">
                  <c:v>Mortel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Building_MI!$U$6:$U$25</c:f>
              <c:numCache>
                <c:formatCode>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82.910447761194021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82.910447761194021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4B2-1C4F-A9A6-954A849335B9}"/>
            </c:ext>
          </c:extLst>
        </c:ser>
        <c:ser>
          <c:idx val="15"/>
          <c:order val="15"/>
          <c:tx>
            <c:strRef>
              <c:f>Building_MI!$V$5</c:f>
              <c:strCache>
                <c:ptCount val="1"/>
                <c:pt idx="0">
                  <c:v>Overig biobased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Building_MI!$V$6:$V$25</c:f>
              <c:numCache>
                <c:formatCode>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4B2-1C4F-A9A6-954A849335B9}"/>
            </c:ext>
          </c:extLst>
        </c:ser>
        <c:ser>
          <c:idx val="16"/>
          <c:order val="16"/>
          <c:tx>
            <c:strRef>
              <c:f>Building_MI!$W$5</c:f>
              <c:strCache>
                <c:ptCount val="1"/>
                <c:pt idx="0">
                  <c:v>Overige metalen (kg/m2)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Building_MI!$W$6:$W$25</c:f>
              <c:numCache>
                <c:formatCode>0.00</c:formatCode>
                <c:ptCount val="20"/>
                <c:pt idx="0">
                  <c:v>3.9420607408450712</c:v>
                </c:pt>
                <c:pt idx="1">
                  <c:v>3.945169339436621</c:v>
                </c:pt>
                <c:pt idx="2">
                  <c:v>3.945169339436621</c:v>
                </c:pt>
                <c:pt idx="3">
                  <c:v>3.945169339436621</c:v>
                </c:pt>
                <c:pt idx="4">
                  <c:v>3.9451693394366214</c:v>
                </c:pt>
                <c:pt idx="5">
                  <c:v>3.945169339436621</c:v>
                </c:pt>
                <c:pt idx="6">
                  <c:v>0.11940298507462686</c:v>
                </c:pt>
                <c:pt idx="7">
                  <c:v>1.3351705873239421</c:v>
                </c:pt>
                <c:pt idx="8">
                  <c:v>1.3770228845070407</c:v>
                </c:pt>
                <c:pt idx="9">
                  <c:v>1.3770228845070407</c:v>
                </c:pt>
                <c:pt idx="10">
                  <c:v>1.3770228845070407</c:v>
                </c:pt>
                <c:pt idx="11">
                  <c:v>1.3770228845070407</c:v>
                </c:pt>
                <c:pt idx="12">
                  <c:v>1.3770228845070407</c:v>
                </c:pt>
                <c:pt idx="13">
                  <c:v>0.11940298507462686</c:v>
                </c:pt>
                <c:pt idx="14">
                  <c:v>1.4697139710144911</c:v>
                </c:pt>
                <c:pt idx="15">
                  <c:v>1.5202924623188392</c:v>
                </c:pt>
                <c:pt idx="16">
                  <c:v>1.5202924623188392</c:v>
                </c:pt>
                <c:pt idx="17">
                  <c:v>1.5202924623188392</c:v>
                </c:pt>
                <c:pt idx="18">
                  <c:v>1.5202924623188392</c:v>
                </c:pt>
                <c:pt idx="19">
                  <c:v>1.5202924623188392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4B2-1C4F-A9A6-954A849335B9}"/>
            </c:ext>
          </c:extLst>
        </c:ser>
        <c:ser>
          <c:idx val="17"/>
          <c:order val="17"/>
          <c:tx>
            <c:strRef>
              <c:f>Building_MI!$X$5</c:f>
              <c:strCache>
                <c:ptCount val="1"/>
                <c:pt idx="0">
                  <c:v>Papier (kg/m2)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Building_MI!$X$6:$X$25</c:f>
              <c:numCache>
                <c:formatCode>0.00</c:formatCode>
                <c:ptCount val="20"/>
                <c:pt idx="0">
                  <c:v>0</c:v>
                </c:pt>
                <c:pt idx="1">
                  <c:v>0.2419382957746479</c:v>
                </c:pt>
                <c:pt idx="2">
                  <c:v>0.2419382957746479</c:v>
                </c:pt>
                <c:pt idx="3">
                  <c:v>0.2419382957746479</c:v>
                </c:pt>
                <c:pt idx="4">
                  <c:v>0.24193829577464793</c:v>
                </c:pt>
                <c:pt idx="5">
                  <c:v>0.2419382957746479</c:v>
                </c:pt>
                <c:pt idx="6">
                  <c:v>1.3731343283582089</c:v>
                </c:pt>
                <c:pt idx="7">
                  <c:v>0</c:v>
                </c:pt>
                <c:pt idx="8">
                  <c:v>0.36854849295774644</c:v>
                </c:pt>
                <c:pt idx="9">
                  <c:v>0.36854849295774644</c:v>
                </c:pt>
                <c:pt idx="10">
                  <c:v>0.36854849295774644</c:v>
                </c:pt>
                <c:pt idx="11">
                  <c:v>0.3685484929577465</c:v>
                </c:pt>
                <c:pt idx="12">
                  <c:v>0.36854849295774644</c:v>
                </c:pt>
                <c:pt idx="13">
                  <c:v>1.3731343283582089</c:v>
                </c:pt>
                <c:pt idx="14">
                  <c:v>0</c:v>
                </c:pt>
                <c:pt idx="15">
                  <c:v>0.47785589275362322</c:v>
                </c:pt>
                <c:pt idx="16">
                  <c:v>0.47785589275362322</c:v>
                </c:pt>
                <c:pt idx="17">
                  <c:v>0.47785589275362322</c:v>
                </c:pt>
                <c:pt idx="18">
                  <c:v>0.47785589275362322</c:v>
                </c:pt>
                <c:pt idx="19">
                  <c:v>0.47785589275362322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4B2-1C4F-A9A6-954A849335B9}"/>
            </c:ext>
          </c:extLst>
        </c:ser>
        <c:ser>
          <c:idx val="18"/>
          <c:order val="18"/>
          <c:tx>
            <c:strRef>
              <c:f>Building_MI!$Y$5</c:f>
              <c:strCache>
                <c:ptCount val="1"/>
                <c:pt idx="0">
                  <c:v>Staal &amp; IJzer (kg/m2)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Building_MI!$Y$6:$Y$25</c:f>
              <c:numCache>
                <c:formatCode>0.00</c:formatCode>
                <c:ptCount val="20"/>
                <c:pt idx="0">
                  <c:v>69.751482257746474</c:v>
                </c:pt>
                <c:pt idx="1">
                  <c:v>56.706148863380278</c:v>
                </c:pt>
                <c:pt idx="2">
                  <c:v>50.453034778873231</c:v>
                </c:pt>
                <c:pt idx="3">
                  <c:v>44.199920694366185</c:v>
                </c:pt>
                <c:pt idx="4">
                  <c:v>44.194766927302268</c:v>
                </c:pt>
                <c:pt idx="5">
                  <c:v>44.186520899999984</c:v>
                </c:pt>
                <c:pt idx="6">
                  <c:v>25.686567164179102</c:v>
                </c:pt>
                <c:pt idx="7">
                  <c:v>59.321162621126753</c:v>
                </c:pt>
                <c:pt idx="8">
                  <c:v>61.458932929577458</c:v>
                </c:pt>
                <c:pt idx="9">
                  <c:v>62.392253333098587</c:v>
                </c:pt>
                <c:pt idx="10">
                  <c:v>63.325573736619717</c:v>
                </c:pt>
                <c:pt idx="11">
                  <c:v>63.319174239328277</c:v>
                </c:pt>
                <c:pt idx="12">
                  <c:v>63.308935043661968</c:v>
                </c:pt>
                <c:pt idx="13">
                  <c:v>25.686567164179102</c:v>
                </c:pt>
                <c:pt idx="14">
                  <c:v>51.236411047826117</c:v>
                </c:pt>
                <c:pt idx="15">
                  <c:v>53.185350868115947</c:v>
                </c:pt>
                <c:pt idx="16">
                  <c:v>54.005214736231892</c:v>
                </c:pt>
                <c:pt idx="17">
                  <c:v>54.825078604347844</c:v>
                </c:pt>
                <c:pt idx="18">
                  <c:v>54.819362536900798</c:v>
                </c:pt>
                <c:pt idx="19">
                  <c:v>54.810216828985524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4B2-1C4F-A9A6-954A849335B9}"/>
            </c:ext>
          </c:extLst>
        </c:ser>
        <c:ser>
          <c:idx val="19"/>
          <c:order val="19"/>
          <c:tx>
            <c:strRef>
              <c:f>Building_MI!$Z$5</c:f>
              <c:strCache>
                <c:ptCount val="1"/>
                <c:pt idx="0">
                  <c:v>Steen (kg/m2)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Building_MI!$Z$6:$Z$25</c:f>
              <c:numCache>
                <c:formatCode>0.00</c:formatCode>
                <c:ptCount val="20"/>
                <c:pt idx="0">
                  <c:v>22.052394916901395</c:v>
                </c:pt>
                <c:pt idx="1">
                  <c:v>22.052394916901395</c:v>
                </c:pt>
                <c:pt idx="2">
                  <c:v>22.617621195070409</c:v>
                </c:pt>
                <c:pt idx="3">
                  <c:v>23.182847473239423</c:v>
                </c:pt>
                <c:pt idx="4">
                  <c:v>23.182847473239427</c:v>
                </c:pt>
                <c:pt idx="5">
                  <c:v>23.182847473239423</c:v>
                </c:pt>
                <c:pt idx="6">
                  <c:v>4.4776119402985072E-2</c:v>
                </c:pt>
                <c:pt idx="7">
                  <c:v>0.47078741830985782</c:v>
                </c:pt>
                <c:pt idx="8">
                  <c:v>0.47078741830985782</c:v>
                </c:pt>
                <c:pt idx="9">
                  <c:v>0.8856266260563368</c:v>
                </c:pt>
                <c:pt idx="10">
                  <c:v>1.3004658338028157</c:v>
                </c:pt>
                <c:pt idx="11">
                  <c:v>1.3004658338028157</c:v>
                </c:pt>
                <c:pt idx="12">
                  <c:v>1.3004658338028157</c:v>
                </c:pt>
                <c:pt idx="13">
                  <c:v>4.4776119402985072E-2</c:v>
                </c:pt>
                <c:pt idx="14">
                  <c:v>0.43873775797101455</c:v>
                </c:pt>
                <c:pt idx="15">
                  <c:v>0.43873775797101455</c:v>
                </c:pt>
                <c:pt idx="16">
                  <c:v>0.83113418768115954</c:v>
                </c:pt>
                <c:pt idx="17">
                  <c:v>1.2235306173913045</c:v>
                </c:pt>
                <c:pt idx="18">
                  <c:v>1.2235306173913045</c:v>
                </c:pt>
                <c:pt idx="19">
                  <c:v>1.2235306173913045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4B2-1C4F-A9A6-954A849335B9}"/>
            </c:ext>
          </c:extLst>
        </c:ser>
        <c:ser>
          <c:idx val="20"/>
          <c:order val="20"/>
          <c:tx>
            <c:strRef>
              <c:f>Building_MI!$AA$5</c:f>
              <c:strCache>
                <c:ptCount val="1"/>
                <c:pt idx="0">
                  <c:v>Zand (kg/m2)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row house</c:v>
                  </c:pt>
                </c:lvl>
              </c:multiLvlStrCache>
            </c:multiLvlStrRef>
          </c:cat>
          <c:val>
            <c:numRef>
              <c:f>Building_MI!$AA$6:$AA$25</c:f>
              <c:numCache>
                <c:formatCode>0.00</c:formatCode>
                <c:ptCount val="20"/>
                <c:pt idx="0">
                  <c:v>25.486250845070423</c:v>
                </c:pt>
                <c:pt idx="1">
                  <c:v>25.486250845070423</c:v>
                </c:pt>
                <c:pt idx="2">
                  <c:v>25.486250845070423</c:v>
                </c:pt>
                <c:pt idx="3">
                  <c:v>25.486250845070423</c:v>
                </c:pt>
                <c:pt idx="4">
                  <c:v>25.486250845070423</c:v>
                </c:pt>
                <c:pt idx="5">
                  <c:v>25.486250845070423</c:v>
                </c:pt>
                <c:pt idx="6">
                  <c:v>99.507462686567166</c:v>
                </c:pt>
                <c:pt idx="7">
                  <c:v>20.141574830985917</c:v>
                </c:pt>
                <c:pt idx="8">
                  <c:v>20.141574830985917</c:v>
                </c:pt>
                <c:pt idx="9">
                  <c:v>20.141574830985917</c:v>
                </c:pt>
                <c:pt idx="10">
                  <c:v>20.141574830985917</c:v>
                </c:pt>
                <c:pt idx="11">
                  <c:v>20.141574830985917</c:v>
                </c:pt>
                <c:pt idx="12">
                  <c:v>20.141574830985917</c:v>
                </c:pt>
                <c:pt idx="13">
                  <c:v>99.507462686567166</c:v>
                </c:pt>
                <c:pt idx="14">
                  <c:v>25.673779000000003</c:v>
                </c:pt>
                <c:pt idx="15">
                  <c:v>25.673779000000003</c:v>
                </c:pt>
                <c:pt idx="16">
                  <c:v>25.673779000000003</c:v>
                </c:pt>
                <c:pt idx="17">
                  <c:v>25.673779000000003</c:v>
                </c:pt>
                <c:pt idx="18">
                  <c:v>25.673779000000003</c:v>
                </c:pt>
                <c:pt idx="19">
                  <c:v>25.673779000000003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4B2-1C4F-A9A6-954A84933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773344"/>
        <c:axId val="23535408"/>
      </c:barChart>
      <c:catAx>
        <c:axId val="2377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5408"/>
        <c:crosses val="autoZero"/>
        <c:auto val="1"/>
        <c:lblAlgn val="ctr"/>
        <c:lblOffset val="100"/>
        <c:noMultiLvlLbl val="0"/>
      </c:catAx>
      <c:valAx>
        <c:axId val="2353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7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Building_MI_periodharmonised!$C$5</c:f>
              <c:strCache>
                <c:ptCount val="1"/>
                <c:pt idx="0">
                  <c:v>Aluminium (kg/m2)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Building_MI_periodharmonised!$C$6:$C$41</c:f>
              <c:numCache>
                <c:formatCode>0.00</c:formatCode>
                <c:ptCount val="36"/>
                <c:pt idx="0">
                  <c:v>0.1123081338028169</c:v>
                </c:pt>
                <c:pt idx="1">
                  <c:v>0.20712039295774648</c:v>
                </c:pt>
                <c:pt idx="2">
                  <c:v>0.20054953943661974</c:v>
                </c:pt>
                <c:pt idx="3">
                  <c:v>0.19397868591549297</c:v>
                </c:pt>
                <c:pt idx="4">
                  <c:v>0.19397868591549297</c:v>
                </c:pt>
                <c:pt idx="5">
                  <c:v>0.19397868591549297</c:v>
                </c:pt>
                <c:pt idx="6">
                  <c:v>1.8059701492537312</c:v>
                </c:pt>
                <c:pt idx="7">
                  <c:v>0.18886813098591554</c:v>
                </c:pt>
                <c:pt idx="8">
                  <c:v>0.2876202295774648</c:v>
                </c:pt>
                <c:pt idx="9">
                  <c:v>0.27010362746478878</c:v>
                </c:pt>
                <c:pt idx="10">
                  <c:v>0.25258702535211269</c:v>
                </c:pt>
                <c:pt idx="11">
                  <c:v>0.25258702535211269</c:v>
                </c:pt>
                <c:pt idx="12">
                  <c:v>0.25258702535211269</c:v>
                </c:pt>
                <c:pt idx="13">
                  <c:v>1.8059701492537312</c:v>
                </c:pt>
                <c:pt idx="14">
                  <c:v>0.37854946376811599</c:v>
                </c:pt>
                <c:pt idx="15">
                  <c:v>0.47542224637681163</c:v>
                </c:pt>
                <c:pt idx="16">
                  <c:v>0.42675403405797108</c:v>
                </c:pt>
                <c:pt idx="17">
                  <c:v>0.37808582173913047</c:v>
                </c:pt>
                <c:pt idx="18">
                  <c:v>0.37808582173913052</c:v>
                </c:pt>
                <c:pt idx="19">
                  <c:v>0.37808582173913047</c:v>
                </c:pt>
                <c:pt idx="20">
                  <c:v>1.1980676328502415</c:v>
                </c:pt>
                <c:pt idx="21">
                  <c:v>0.20221829725790513</c:v>
                </c:pt>
                <c:pt idx="22">
                  <c:v>0.21147096627964426</c:v>
                </c:pt>
                <c:pt idx="23">
                  <c:v>0.49684034108201303</c:v>
                </c:pt>
                <c:pt idx="24">
                  <c:v>0.78220971588438182</c:v>
                </c:pt>
                <c:pt idx="25">
                  <c:v>0.78220971588438193</c:v>
                </c:pt>
                <c:pt idx="26">
                  <c:v>0.78220971588438182</c:v>
                </c:pt>
                <c:pt idx="27">
                  <c:v>1.5489130434782608</c:v>
                </c:pt>
                <c:pt idx="28">
                  <c:v>0.11701019340659341</c:v>
                </c:pt>
                <c:pt idx="29">
                  <c:v>0.13084169560439551</c:v>
                </c:pt>
                <c:pt idx="30">
                  <c:v>0.8012333983516482</c:v>
                </c:pt>
                <c:pt idx="31">
                  <c:v>1.4716251010989008</c:v>
                </c:pt>
                <c:pt idx="32">
                  <c:v>1.4726023432797968</c:v>
                </c:pt>
                <c:pt idx="33">
                  <c:v>1.4741659307692303</c:v>
                </c:pt>
                <c:pt idx="34">
                  <c:v>1.4725274725274726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E-1F4B-8782-39FB771739E2}"/>
            </c:ext>
          </c:extLst>
        </c:ser>
        <c:ser>
          <c:idx val="1"/>
          <c:order val="1"/>
          <c:tx>
            <c:strRef>
              <c:f>Building_MI_periodharmonised!$D$5</c:f>
              <c:strCache>
                <c:ptCount val="1"/>
                <c:pt idx="0">
                  <c:v>Baksteen (kg/m2)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Building_MI_periodharmonised!$D$6:$D$41</c:f>
              <c:numCache>
                <c:formatCode>0.00</c:formatCode>
                <c:ptCount val="36"/>
                <c:pt idx="0">
                  <c:v>290.13365908450703</c:v>
                </c:pt>
                <c:pt idx="1">
                  <c:v>290.13365908450703</c:v>
                </c:pt>
                <c:pt idx="2">
                  <c:v>203.09356135915493</c:v>
                </c:pt>
                <c:pt idx="3">
                  <c:v>116.05346363380282</c:v>
                </c:pt>
                <c:pt idx="4">
                  <c:v>116.05346363380283</c:v>
                </c:pt>
                <c:pt idx="5">
                  <c:v>116.05346363380282</c:v>
                </c:pt>
                <c:pt idx="6">
                  <c:v>218.41791044776119</c:v>
                </c:pt>
                <c:pt idx="7">
                  <c:v>322.16941545070426</c:v>
                </c:pt>
                <c:pt idx="8">
                  <c:v>322.16941545070426</c:v>
                </c:pt>
                <c:pt idx="9">
                  <c:v>225.51859081690142</c:v>
                </c:pt>
                <c:pt idx="10">
                  <c:v>128.86776618309858</c:v>
                </c:pt>
                <c:pt idx="11">
                  <c:v>128.86776618309858</c:v>
                </c:pt>
                <c:pt idx="12">
                  <c:v>128.86776618309858</c:v>
                </c:pt>
                <c:pt idx="13">
                  <c:v>218.41791044776119</c:v>
                </c:pt>
                <c:pt idx="14">
                  <c:v>162.86606424637682</c:v>
                </c:pt>
                <c:pt idx="15">
                  <c:v>162.86606424637682</c:v>
                </c:pt>
                <c:pt idx="16">
                  <c:v>114.0062449710145</c:v>
                </c:pt>
                <c:pt idx="17">
                  <c:v>65.146425695652184</c:v>
                </c:pt>
                <c:pt idx="18">
                  <c:v>65.146425695652184</c:v>
                </c:pt>
                <c:pt idx="19">
                  <c:v>65.146425695652184</c:v>
                </c:pt>
                <c:pt idx="20">
                  <c:v>179.96618357487924</c:v>
                </c:pt>
                <c:pt idx="21">
                  <c:v>169.93780449011857</c:v>
                </c:pt>
                <c:pt idx="22">
                  <c:v>169.93780449011857</c:v>
                </c:pt>
                <c:pt idx="23">
                  <c:v>112.24658576371047</c:v>
                </c:pt>
                <c:pt idx="24">
                  <c:v>54.555367037302368</c:v>
                </c:pt>
                <c:pt idx="25">
                  <c:v>54.555367037302368</c:v>
                </c:pt>
                <c:pt idx="26">
                  <c:v>54.555367037302368</c:v>
                </c:pt>
                <c:pt idx="27">
                  <c:v>237.06521739130437</c:v>
                </c:pt>
                <c:pt idx="28">
                  <c:v>171.36517329670332</c:v>
                </c:pt>
                <c:pt idx="29">
                  <c:v>171.36517329670332</c:v>
                </c:pt>
                <c:pt idx="30">
                  <c:v>119.95562130769233</c:v>
                </c:pt>
                <c:pt idx="31">
                  <c:v>68.546069318681319</c:v>
                </c:pt>
                <c:pt idx="32">
                  <c:v>68.546069318681333</c:v>
                </c:pt>
                <c:pt idx="33">
                  <c:v>68.546069318681319</c:v>
                </c:pt>
                <c:pt idx="34">
                  <c:v>68.549450549450555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3E-1F4B-8782-39FB771739E2}"/>
            </c:ext>
          </c:extLst>
        </c:ser>
        <c:ser>
          <c:idx val="2"/>
          <c:order val="2"/>
          <c:tx>
            <c:strRef>
              <c:f>Building_MI_periodharmonised!$E$5</c:f>
              <c:strCache>
                <c:ptCount val="1"/>
                <c:pt idx="0">
                  <c:v>Beton (kg/m2)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Building_MI_periodharmonised!$E$6:$E$41</c:f>
              <c:numCache>
                <c:formatCode>0.00</c:formatCode>
                <c:ptCount val="36"/>
                <c:pt idx="0">
                  <c:v>1376.7648660647862</c:v>
                </c:pt>
                <c:pt idx="1">
                  <c:v>1375.8505954591524</c:v>
                </c:pt>
                <c:pt idx="2">
                  <c:v>1343.3323362725328</c:v>
                </c:pt>
                <c:pt idx="3">
                  <c:v>1310.8140770859129</c:v>
                </c:pt>
                <c:pt idx="4">
                  <c:v>1310.8140770859131</c:v>
                </c:pt>
                <c:pt idx="5">
                  <c:v>1310.8140770859129</c:v>
                </c:pt>
                <c:pt idx="6">
                  <c:v>1190.3880597014925</c:v>
                </c:pt>
                <c:pt idx="7">
                  <c:v>1388.6241446239421</c:v>
                </c:pt>
                <c:pt idx="8">
                  <c:v>1508.265099229576</c:v>
                </c:pt>
                <c:pt idx="9">
                  <c:v>1549.0926430154914</c:v>
                </c:pt>
                <c:pt idx="10">
                  <c:v>1589.920186801407</c:v>
                </c:pt>
                <c:pt idx="11">
                  <c:v>1589.920186801407</c:v>
                </c:pt>
                <c:pt idx="12">
                  <c:v>1589.920186801407</c:v>
                </c:pt>
                <c:pt idx="13">
                  <c:v>1190.3880597014925</c:v>
                </c:pt>
                <c:pt idx="14">
                  <c:v>1144.3172885652173</c:v>
                </c:pt>
                <c:pt idx="15">
                  <c:v>1225.6518204347826</c:v>
                </c:pt>
                <c:pt idx="16">
                  <c:v>1265.0665229282608</c:v>
                </c:pt>
                <c:pt idx="17">
                  <c:v>1304.4812254217391</c:v>
                </c:pt>
                <c:pt idx="18">
                  <c:v>1304.4812254217391</c:v>
                </c:pt>
                <c:pt idx="19">
                  <c:v>1304.4812254217391</c:v>
                </c:pt>
                <c:pt idx="20">
                  <c:v>1662.6231884057972</c:v>
                </c:pt>
                <c:pt idx="21">
                  <c:v>1421.6139480039028</c:v>
                </c:pt>
                <c:pt idx="22">
                  <c:v>1512.2461587949108</c:v>
                </c:pt>
                <c:pt idx="23">
                  <c:v>1519.3709354200344</c:v>
                </c:pt>
                <c:pt idx="24">
                  <c:v>1526.4957120451579</c:v>
                </c:pt>
                <c:pt idx="25">
                  <c:v>1526.4957120451581</c:v>
                </c:pt>
                <c:pt idx="26">
                  <c:v>1526.4957120451579</c:v>
                </c:pt>
                <c:pt idx="27">
                  <c:v>1107.9076086956522</c:v>
                </c:pt>
                <c:pt idx="28">
                  <c:v>1097.8571164296693</c:v>
                </c:pt>
                <c:pt idx="29">
                  <c:v>1168.9713799285703</c:v>
                </c:pt>
                <c:pt idx="30">
                  <c:v>1188.8017339153828</c:v>
                </c:pt>
                <c:pt idx="31">
                  <c:v>1208.6320879021953</c:v>
                </c:pt>
                <c:pt idx="32">
                  <c:v>1208.6320879021955</c:v>
                </c:pt>
                <c:pt idx="33">
                  <c:v>1208.6320879021953</c:v>
                </c:pt>
                <c:pt idx="34">
                  <c:v>1178.131868131868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E-1F4B-8782-39FB771739E2}"/>
            </c:ext>
          </c:extLst>
        </c:ser>
        <c:ser>
          <c:idx val="3"/>
          <c:order val="3"/>
          <c:tx>
            <c:strRef>
              <c:f>Building_MI_periodharmonised!$F$5</c:f>
              <c:strCache>
                <c:ptCount val="1"/>
                <c:pt idx="0">
                  <c:v>Bitumen (kg/m2)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Building_MI_periodharmonised!$F$6:$F$41</c:f>
              <c:numCache>
                <c:formatCode>0.00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0.11593369718309859</c:v>
                </c:pt>
                <c:pt idx="3">
                  <c:v>0.23186739436619719</c:v>
                </c:pt>
                <c:pt idx="4">
                  <c:v>0.23186739436619719</c:v>
                </c:pt>
                <c:pt idx="5">
                  <c:v>0.23186739436619719</c:v>
                </c:pt>
                <c:pt idx="6">
                  <c:v>0.10447761194029852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0.10447761194029852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0.64251207729468607</c:v>
                </c:pt>
                <c:pt idx="21">
                  <c:v>0</c:v>
                </c:pt>
                <c:pt idx="22">
                  <c:v>0</c:v>
                </c:pt>
                <c:pt idx="23">
                  <c:v>0.41293410048171886</c:v>
                </c:pt>
                <c:pt idx="24">
                  <c:v>0.82586820096343772</c:v>
                </c:pt>
                <c:pt idx="25">
                  <c:v>0.82586820096343772</c:v>
                </c:pt>
                <c:pt idx="26">
                  <c:v>0.82586820096343772</c:v>
                </c:pt>
                <c:pt idx="27">
                  <c:v>0.31521739130434784</c:v>
                </c:pt>
                <c:pt idx="28">
                  <c:v>6.7692307692307691E-2</c:v>
                </c:pt>
                <c:pt idx="29">
                  <c:v>6.7692307692307691E-2</c:v>
                </c:pt>
                <c:pt idx="30">
                  <c:v>3.3846153846153845E-2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3E-1F4B-8782-39FB771739E2}"/>
            </c:ext>
          </c:extLst>
        </c:ser>
        <c:ser>
          <c:idx val="4"/>
          <c:order val="4"/>
          <c:tx>
            <c:strRef>
              <c:f>Building_MI_periodharmonised!$G$5</c:f>
              <c:strCache>
                <c:ptCount val="1"/>
                <c:pt idx="0">
                  <c:v>Electronica (kg/m2)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Building_MI_periodharmonised!$G$6:$G$41</c:f>
              <c:numCache>
                <c:formatCode>0.00</c:formatCode>
                <c:ptCount val="36"/>
                <c:pt idx="0">
                  <c:v>1.4084507042253521E-2</c:v>
                </c:pt>
                <c:pt idx="1">
                  <c:v>1.4084507042253521E-2</c:v>
                </c:pt>
                <c:pt idx="2">
                  <c:v>1.4084507042253521E-2</c:v>
                </c:pt>
                <c:pt idx="3">
                  <c:v>1.4084507042253521E-2</c:v>
                </c:pt>
                <c:pt idx="4">
                  <c:v>1.4084507042253523E-2</c:v>
                </c:pt>
                <c:pt idx="5">
                  <c:v>1.4084507042253521E-2</c:v>
                </c:pt>
                <c:pt idx="6">
                  <c:v>0.62686567164179097</c:v>
                </c:pt>
                <c:pt idx="7">
                  <c:v>7.0422535211267607E-3</c:v>
                </c:pt>
                <c:pt idx="8">
                  <c:v>7.0422535211267607E-3</c:v>
                </c:pt>
                <c:pt idx="9">
                  <c:v>7.0422535211267607E-3</c:v>
                </c:pt>
                <c:pt idx="10">
                  <c:v>7.0422535211267607E-3</c:v>
                </c:pt>
                <c:pt idx="11">
                  <c:v>7.0422535211267616E-3</c:v>
                </c:pt>
                <c:pt idx="12">
                  <c:v>7.0422535211267607E-3</c:v>
                </c:pt>
                <c:pt idx="13">
                  <c:v>0.62686567164179097</c:v>
                </c:pt>
                <c:pt idx="14">
                  <c:v>1.8924160869565217E-2</c:v>
                </c:pt>
                <c:pt idx="15">
                  <c:v>1.8924160869565217E-2</c:v>
                </c:pt>
                <c:pt idx="16">
                  <c:v>1.8924160869565217E-2</c:v>
                </c:pt>
                <c:pt idx="17">
                  <c:v>1.8924160869565217E-2</c:v>
                </c:pt>
                <c:pt idx="18">
                  <c:v>1.8924160869565221E-2</c:v>
                </c:pt>
                <c:pt idx="19">
                  <c:v>1.8924160869565217E-2</c:v>
                </c:pt>
                <c:pt idx="20">
                  <c:v>0.89855072463768126</c:v>
                </c:pt>
                <c:pt idx="21">
                  <c:v>3.2032279496047429E-2</c:v>
                </c:pt>
                <c:pt idx="22">
                  <c:v>3.2032279496047429E-2</c:v>
                </c:pt>
                <c:pt idx="23">
                  <c:v>3.2032279496047429E-2</c:v>
                </c:pt>
                <c:pt idx="24">
                  <c:v>3.2032279496047429E-2</c:v>
                </c:pt>
                <c:pt idx="25">
                  <c:v>3.2032279496047429E-2</c:v>
                </c:pt>
                <c:pt idx="26">
                  <c:v>3.2032279496047429E-2</c:v>
                </c:pt>
                <c:pt idx="27">
                  <c:v>1.2880434782608696</c:v>
                </c:pt>
                <c:pt idx="28">
                  <c:v>3.663003626373626E-2</c:v>
                </c:pt>
                <c:pt idx="29">
                  <c:v>3.663003626373626E-2</c:v>
                </c:pt>
                <c:pt idx="30">
                  <c:v>3.663003626373626E-2</c:v>
                </c:pt>
                <c:pt idx="31">
                  <c:v>3.663003626373626E-2</c:v>
                </c:pt>
                <c:pt idx="32">
                  <c:v>3.663003626373626E-2</c:v>
                </c:pt>
                <c:pt idx="33">
                  <c:v>3.663003626373626E-2</c:v>
                </c:pt>
                <c:pt idx="34">
                  <c:v>3.2967032967032968E-2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3E-1F4B-8782-39FB771739E2}"/>
            </c:ext>
          </c:extLst>
        </c:ser>
        <c:ser>
          <c:idx val="5"/>
          <c:order val="5"/>
          <c:tx>
            <c:strRef>
              <c:f>Building_MI_periodharmonised!$H$5</c:f>
              <c:strCache>
                <c:ptCount val="1"/>
                <c:pt idx="0">
                  <c:v>Gips (kg/m2)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Building_MI_periodharmonised!$H$6:$H$41</c:f>
              <c:numCache>
                <c:formatCode>0.00</c:formatCode>
                <c:ptCount val="36"/>
                <c:pt idx="0">
                  <c:v>9.3222154816901419</c:v>
                </c:pt>
                <c:pt idx="1">
                  <c:v>31.41036341126761</c:v>
                </c:pt>
                <c:pt idx="2">
                  <c:v>31.41036341126761</c:v>
                </c:pt>
                <c:pt idx="3">
                  <c:v>31.41036341126761</c:v>
                </c:pt>
                <c:pt idx="4">
                  <c:v>31.41036341126761</c:v>
                </c:pt>
                <c:pt idx="5">
                  <c:v>31.41036341126761</c:v>
                </c:pt>
                <c:pt idx="6">
                  <c:v>15.820895522388058</c:v>
                </c:pt>
                <c:pt idx="7">
                  <c:v>10.021588338028154</c:v>
                </c:pt>
                <c:pt idx="8">
                  <c:v>46.677546563380261</c:v>
                </c:pt>
                <c:pt idx="9">
                  <c:v>46.677546563380261</c:v>
                </c:pt>
                <c:pt idx="10">
                  <c:v>46.677546563380261</c:v>
                </c:pt>
                <c:pt idx="11">
                  <c:v>46.677546563380261</c:v>
                </c:pt>
                <c:pt idx="12">
                  <c:v>46.677546563380261</c:v>
                </c:pt>
                <c:pt idx="13">
                  <c:v>15.820895522388058</c:v>
                </c:pt>
                <c:pt idx="14">
                  <c:v>7.6938449159420292</c:v>
                </c:pt>
                <c:pt idx="15">
                  <c:v>16.722916946376813</c:v>
                </c:pt>
                <c:pt idx="16">
                  <c:v>16.722916946376813</c:v>
                </c:pt>
                <c:pt idx="17">
                  <c:v>16.722916946376813</c:v>
                </c:pt>
                <c:pt idx="18">
                  <c:v>16.722916946376813</c:v>
                </c:pt>
                <c:pt idx="19">
                  <c:v>16.722916946376813</c:v>
                </c:pt>
                <c:pt idx="20">
                  <c:v>13.54106280193237</c:v>
                </c:pt>
                <c:pt idx="21">
                  <c:v>13.986688577099798</c:v>
                </c:pt>
                <c:pt idx="22">
                  <c:v>13.986688577099798</c:v>
                </c:pt>
                <c:pt idx="23">
                  <c:v>13.493654474258891</c:v>
                </c:pt>
                <c:pt idx="24">
                  <c:v>13.000620371417984</c:v>
                </c:pt>
                <c:pt idx="25">
                  <c:v>13.000620371417984</c:v>
                </c:pt>
                <c:pt idx="26">
                  <c:v>13.000620371417984</c:v>
                </c:pt>
                <c:pt idx="27">
                  <c:v>30.874999999999996</c:v>
                </c:pt>
                <c:pt idx="28">
                  <c:v>9.5043092065934065</c:v>
                </c:pt>
                <c:pt idx="29">
                  <c:v>9.5043092065934065</c:v>
                </c:pt>
                <c:pt idx="30">
                  <c:v>10.047690053296703</c:v>
                </c:pt>
                <c:pt idx="31">
                  <c:v>10.5910709</c:v>
                </c:pt>
                <c:pt idx="32">
                  <c:v>10.591070900000002</c:v>
                </c:pt>
                <c:pt idx="33">
                  <c:v>10.5910709</c:v>
                </c:pt>
                <c:pt idx="34">
                  <c:v>10.791208791208792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3E-1F4B-8782-39FB771739E2}"/>
            </c:ext>
          </c:extLst>
        </c:ser>
        <c:ser>
          <c:idx val="6"/>
          <c:order val="6"/>
          <c:tx>
            <c:strRef>
              <c:f>Building_MI_periodharmonised!$I$5</c:f>
              <c:strCache>
                <c:ptCount val="1"/>
                <c:pt idx="0">
                  <c:v>Glas (kg/m2)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Building_MI_periodharmonised!$I$6:$I$41</c:f>
              <c:numCache>
                <c:formatCode>0.00</c:formatCode>
                <c:ptCount val="36"/>
                <c:pt idx="0">
                  <c:v>0</c:v>
                </c:pt>
                <c:pt idx="1">
                  <c:v>3.2294997704225352</c:v>
                </c:pt>
                <c:pt idx="2">
                  <c:v>4.8442496549295768</c:v>
                </c:pt>
                <c:pt idx="3">
                  <c:v>6.4589995394366193</c:v>
                </c:pt>
                <c:pt idx="4">
                  <c:v>6.4589995394366202</c:v>
                </c:pt>
                <c:pt idx="5">
                  <c:v>6.4589995394366193</c:v>
                </c:pt>
                <c:pt idx="6">
                  <c:v>11.134328358208954</c:v>
                </c:pt>
                <c:pt idx="7">
                  <c:v>0.18055071267605635</c:v>
                </c:pt>
                <c:pt idx="8">
                  <c:v>2.4917772253521133</c:v>
                </c:pt>
                <c:pt idx="9">
                  <c:v>3.6473904816901408</c:v>
                </c:pt>
                <c:pt idx="10">
                  <c:v>4.8030037380281687</c:v>
                </c:pt>
                <c:pt idx="11">
                  <c:v>4.8030037380281687</c:v>
                </c:pt>
                <c:pt idx="12">
                  <c:v>4.8030037380281687</c:v>
                </c:pt>
                <c:pt idx="13">
                  <c:v>11.134328358208954</c:v>
                </c:pt>
                <c:pt idx="14">
                  <c:v>0.23043419420289715</c:v>
                </c:pt>
                <c:pt idx="15">
                  <c:v>2.3138175405797088</c:v>
                </c:pt>
                <c:pt idx="16">
                  <c:v>3.3555092137681148</c:v>
                </c:pt>
                <c:pt idx="17">
                  <c:v>4.3972008869565204</c:v>
                </c:pt>
                <c:pt idx="18">
                  <c:v>4.3972008869565204</c:v>
                </c:pt>
                <c:pt idx="19">
                  <c:v>4.3972008869565204</c:v>
                </c:pt>
                <c:pt idx="20">
                  <c:v>7.5458937198067639</c:v>
                </c:pt>
                <c:pt idx="21">
                  <c:v>0.23152289397233203</c:v>
                </c:pt>
                <c:pt idx="22">
                  <c:v>2.5580129903903108</c:v>
                </c:pt>
                <c:pt idx="23">
                  <c:v>3.7212580391551353</c:v>
                </c:pt>
                <c:pt idx="24">
                  <c:v>4.8845030879199598</c:v>
                </c:pt>
                <c:pt idx="25">
                  <c:v>4.8845030879199598</c:v>
                </c:pt>
                <c:pt idx="26">
                  <c:v>4.8845030879199598</c:v>
                </c:pt>
                <c:pt idx="27">
                  <c:v>5.8913043478260869</c:v>
                </c:pt>
                <c:pt idx="28">
                  <c:v>11.018224612087911</c:v>
                </c:pt>
                <c:pt idx="29">
                  <c:v>14.158282454945043</c:v>
                </c:pt>
                <c:pt idx="30">
                  <c:v>15.728311376373615</c:v>
                </c:pt>
                <c:pt idx="31">
                  <c:v>17.298340297802184</c:v>
                </c:pt>
                <c:pt idx="32">
                  <c:v>17.298340297802184</c:v>
                </c:pt>
                <c:pt idx="33">
                  <c:v>17.298340297802184</c:v>
                </c:pt>
                <c:pt idx="34">
                  <c:v>17.296703296703296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23E-1F4B-8782-39FB771739E2}"/>
            </c:ext>
          </c:extLst>
        </c:ser>
        <c:ser>
          <c:idx val="7"/>
          <c:order val="7"/>
          <c:tx>
            <c:strRef>
              <c:f>Building_MI_periodharmonised!$J$5</c:f>
              <c:strCache>
                <c:ptCount val="1"/>
                <c:pt idx="0">
                  <c:v>Hout (kg/m2)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Building_MI_periodharmonised!$J$6:$J$41</c:f>
              <c:numCache>
                <c:formatCode>0.00</c:formatCode>
                <c:ptCount val="36"/>
                <c:pt idx="0">
                  <c:v>181.00586869013947</c:v>
                </c:pt>
                <c:pt idx="1">
                  <c:v>98.419572477464826</c:v>
                </c:pt>
                <c:pt idx="2">
                  <c:v>61.771561314788755</c:v>
                </c:pt>
                <c:pt idx="3">
                  <c:v>25.123550152112678</c:v>
                </c:pt>
                <c:pt idx="4">
                  <c:v>29.187577170530879</c:v>
                </c:pt>
                <c:pt idx="5">
                  <c:v>35.690020400000002</c:v>
                </c:pt>
                <c:pt idx="6">
                  <c:v>34.328358208955223</c:v>
                </c:pt>
                <c:pt idx="7">
                  <c:v>88.17859265915493</c:v>
                </c:pt>
                <c:pt idx="8">
                  <c:v>52.5479935169014</c:v>
                </c:pt>
                <c:pt idx="9">
                  <c:v>40.568142797887319</c:v>
                </c:pt>
                <c:pt idx="10">
                  <c:v>28.588292078873238</c:v>
                </c:pt>
                <c:pt idx="11">
                  <c:v>33.906028507367282</c:v>
                </c:pt>
                <c:pt idx="12">
                  <c:v>42.414406792957749</c:v>
                </c:pt>
                <c:pt idx="13">
                  <c:v>34.328358208955223</c:v>
                </c:pt>
                <c:pt idx="14">
                  <c:v>64.768413495652169</c:v>
                </c:pt>
                <c:pt idx="15">
                  <c:v>40.861085121739109</c:v>
                </c:pt>
                <c:pt idx="16">
                  <c:v>30.582543150724625</c:v>
                </c:pt>
                <c:pt idx="17">
                  <c:v>20.304001179710145</c:v>
                </c:pt>
                <c:pt idx="18">
                  <c:v>25.123583257748052</c:v>
                </c:pt>
                <c:pt idx="19">
                  <c:v>32.834914582608697</c:v>
                </c:pt>
                <c:pt idx="20">
                  <c:v>24.90338164251208</c:v>
                </c:pt>
                <c:pt idx="21">
                  <c:v>33.943422969713424</c:v>
                </c:pt>
                <c:pt idx="22">
                  <c:v>23.011512423023714</c:v>
                </c:pt>
                <c:pt idx="23">
                  <c:v>17.409347896874998</c:v>
                </c:pt>
                <c:pt idx="24">
                  <c:v>11.80718337072628</c:v>
                </c:pt>
                <c:pt idx="25">
                  <c:v>12.314097416180827</c:v>
                </c:pt>
                <c:pt idx="26">
                  <c:v>13.125159888908099</c:v>
                </c:pt>
                <c:pt idx="27">
                  <c:v>2.206521739130435</c:v>
                </c:pt>
                <c:pt idx="28">
                  <c:v>42.832492139560415</c:v>
                </c:pt>
                <c:pt idx="29">
                  <c:v>24.410079309890111</c:v>
                </c:pt>
                <c:pt idx="30">
                  <c:v>16.941204962087912</c:v>
                </c:pt>
                <c:pt idx="31">
                  <c:v>9.4723306142857133</c:v>
                </c:pt>
                <c:pt idx="32">
                  <c:v>11.28161990507185</c:v>
                </c:pt>
                <c:pt idx="33">
                  <c:v>14.176482770329667</c:v>
                </c:pt>
                <c:pt idx="3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23E-1F4B-8782-39FB771739E2}"/>
            </c:ext>
          </c:extLst>
        </c:ser>
        <c:ser>
          <c:idx val="8"/>
          <c:order val="8"/>
          <c:tx>
            <c:strRef>
              <c:f>Building_MI_periodharmonised!$AG$5</c:f>
              <c:strCache>
                <c:ptCount val="1"/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Building_MI_periodharmonised!$AG$6:$AG$32</c:f>
              <c:numCache>
                <c:formatCode>General</c:formatCode>
                <c:ptCount val="27"/>
              </c:numCache>
            </c:numRef>
          </c:val>
          <c:extLst>
            <c:ext xmlns:c16="http://schemas.microsoft.com/office/drawing/2014/chart" uri="{C3380CC4-5D6E-409C-BE32-E72D297353CC}">
              <c16:uniqueId val="{00000008-723E-1F4B-8782-39FB771739E2}"/>
            </c:ext>
          </c:extLst>
        </c:ser>
        <c:ser>
          <c:idx val="9"/>
          <c:order val="9"/>
          <c:tx>
            <c:strRef>
              <c:f>Building_MI_periodharmonised!$P$5</c:f>
              <c:strCache>
                <c:ptCount val="1"/>
                <c:pt idx="0">
                  <c:v>Kalkzandsteen (kg/m2)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Building_MI_periodharmonised!$P$6:$P$41</c:f>
              <c:numCache>
                <c:formatCode>0.00</c:formatCode>
                <c:ptCount val="36"/>
                <c:pt idx="0">
                  <c:v>307.73567974647892</c:v>
                </c:pt>
                <c:pt idx="1">
                  <c:v>307.73567974647892</c:v>
                </c:pt>
                <c:pt idx="2">
                  <c:v>481.55970531690008</c:v>
                </c:pt>
                <c:pt idx="3">
                  <c:v>655.38373088732124</c:v>
                </c:pt>
                <c:pt idx="4">
                  <c:v>655.38373088732124</c:v>
                </c:pt>
                <c:pt idx="5">
                  <c:v>655.38373088732124</c:v>
                </c:pt>
                <c:pt idx="6">
                  <c:v>0</c:v>
                </c:pt>
                <c:pt idx="7">
                  <c:v>327.72170992957751</c:v>
                </c:pt>
                <c:pt idx="8">
                  <c:v>327.72170992957751</c:v>
                </c:pt>
                <c:pt idx="9">
                  <c:v>528.12196566901412</c:v>
                </c:pt>
                <c:pt idx="10">
                  <c:v>728.52222140845072</c:v>
                </c:pt>
                <c:pt idx="11">
                  <c:v>728.52222140845072</c:v>
                </c:pt>
                <c:pt idx="12">
                  <c:v>728.52222140845072</c:v>
                </c:pt>
                <c:pt idx="13">
                  <c:v>0</c:v>
                </c:pt>
                <c:pt idx="14">
                  <c:v>263.36174559420294</c:v>
                </c:pt>
                <c:pt idx="15">
                  <c:v>263.36174559420294</c:v>
                </c:pt>
                <c:pt idx="16">
                  <c:v>345.34430656521738</c:v>
                </c:pt>
                <c:pt idx="17">
                  <c:v>427.32686753623187</c:v>
                </c:pt>
                <c:pt idx="18">
                  <c:v>427.32686753623187</c:v>
                </c:pt>
                <c:pt idx="19">
                  <c:v>427.32686753623187</c:v>
                </c:pt>
                <c:pt idx="20">
                  <c:v>0</c:v>
                </c:pt>
                <c:pt idx="21">
                  <c:v>224.76978087598758</c:v>
                </c:pt>
                <c:pt idx="22">
                  <c:v>224.76978087598758</c:v>
                </c:pt>
                <c:pt idx="23">
                  <c:v>274.78162223122501</c:v>
                </c:pt>
                <c:pt idx="24">
                  <c:v>324.79346358646245</c:v>
                </c:pt>
                <c:pt idx="25">
                  <c:v>324.79346358646245</c:v>
                </c:pt>
                <c:pt idx="26">
                  <c:v>324.79346358646245</c:v>
                </c:pt>
                <c:pt idx="27">
                  <c:v>0</c:v>
                </c:pt>
                <c:pt idx="28">
                  <c:v>252.87193786813185</c:v>
                </c:pt>
                <c:pt idx="29">
                  <c:v>252.87193786813185</c:v>
                </c:pt>
                <c:pt idx="30">
                  <c:v>295.90526519780218</c:v>
                </c:pt>
                <c:pt idx="31">
                  <c:v>338.93859252747251</c:v>
                </c:pt>
                <c:pt idx="32">
                  <c:v>338.93859252747257</c:v>
                </c:pt>
                <c:pt idx="33">
                  <c:v>338.93859252747251</c:v>
                </c:pt>
                <c:pt idx="34">
                  <c:v>338.93406593406593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23E-1F4B-8782-39FB771739E2}"/>
            </c:ext>
          </c:extLst>
        </c:ser>
        <c:ser>
          <c:idx val="10"/>
          <c:order val="10"/>
          <c:tx>
            <c:strRef>
              <c:f>Building_MI_periodharmonised!$Q$5</c:f>
              <c:strCache>
                <c:ptCount val="1"/>
                <c:pt idx="0">
                  <c:v>Keramiek (kg/m2)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Building_MI_periodharmonised!$Q$6:$Q$41</c:f>
              <c:numCache>
                <c:formatCode>0.00</c:formatCode>
                <c:ptCount val="36"/>
                <c:pt idx="0">
                  <c:v>33.736131078873242</c:v>
                </c:pt>
                <c:pt idx="1">
                  <c:v>33.736131078873242</c:v>
                </c:pt>
                <c:pt idx="2">
                  <c:v>18.041966085915494</c:v>
                </c:pt>
                <c:pt idx="3">
                  <c:v>2.3478010929577464</c:v>
                </c:pt>
                <c:pt idx="4">
                  <c:v>2.3478010929577464</c:v>
                </c:pt>
                <c:pt idx="5">
                  <c:v>2.3478010929577464</c:v>
                </c:pt>
                <c:pt idx="6">
                  <c:v>5.3582089552238799</c:v>
                </c:pt>
                <c:pt idx="7">
                  <c:v>3.3205046464788595</c:v>
                </c:pt>
                <c:pt idx="8">
                  <c:v>3.3205046464788595</c:v>
                </c:pt>
                <c:pt idx="9">
                  <c:v>3.3205046464788595</c:v>
                </c:pt>
                <c:pt idx="10">
                  <c:v>3.3205046464788595</c:v>
                </c:pt>
                <c:pt idx="11">
                  <c:v>3.3205046464788599</c:v>
                </c:pt>
                <c:pt idx="12">
                  <c:v>3.3205046464788595</c:v>
                </c:pt>
                <c:pt idx="13">
                  <c:v>5.3582089552238799</c:v>
                </c:pt>
                <c:pt idx="14">
                  <c:v>2.7625526971014498</c:v>
                </c:pt>
                <c:pt idx="15">
                  <c:v>2.7625526971014498</c:v>
                </c:pt>
                <c:pt idx="16">
                  <c:v>2.7625526971014498</c:v>
                </c:pt>
                <c:pt idx="17">
                  <c:v>2.7625526971014498</c:v>
                </c:pt>
                <c:pt idx="18">
                  <c:v>2.7625526971014498</c:v>
                </c:pt>
                <c:pt idx="19">
                  <c:v>2.7625526971014498</c:v>
                </c:pt>
                <c:pt idx="20">
                  <c:v>6.57487922705314</c:v>
                </c:pt>
                <c:pt idx="21">
                  <c:v>12.270727132905126</c:v>
                </c:pt>
                <c:pt idx="22">
                  <c:v>12.270727132905126</c:v>
                </c:pt>
                <c:pt idx="23">
                  <c:v>8.9842297680335861</c:v>
                </c:pt>
                <c:pt idx="24">
                  <c:v>5.6977324031620444</c:v>
                </c:pt>
                <c:pt idx="25">
                  <c:v>5.6977324031620444</c:v>
                </c:pt>
                <c:pt idx="26">
                  <c:v>5.6977324031620444</c:v>
                </c:pt>
                <c:pt idx="27">
                  <c:v>12.581521739130434</c:v>
                </c:pt>
                <c:pt idx="28">
                  <c:v>18.81893665164834</c:v>
                </c:pt>
                <c:pt idx="29">
                  <c:v>18.81893665164834</c:v>
                </c:pt>
                <c:pt idx="30">
                  <c:v>11.831954404395592</c:v>
                </c:pt>
                <c:pt idx="31">
                  <c:v>4.8449721571428466</c:v>
                </c:pt>
                <c:pt idx="32">
                  <c:v>4.8449721571428466</c:v>
                </c:pt>
                <c:pt idx="33">
                  <c:v>4.8449721571428466</c:v>
                </c:pt>
                <c:pt idx="34">
                  <c:v>5.2527472527472527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23E-1F4B-8782-39FB771739E2}"/>
            </c:ext>
          </c:extLst>
        </c:ser>
        <c:ser>
          <c:idx val="11"/>
          <c:order val="11"/>
          <c:tx>
            <c:strRef>
              <c:f>Building_MI_periodharmonised!$R$5</c:f>
              <c:strCache>
                <c:ptCount val="1"/>
                <c:pt idx="0">
                  <c:v>Koper (kg/m2)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Building_MI_periodharmonised!$R$6:$R$41</c:f>
              <c:numCache>
                <c:formatCode>0.00</c:formatCode>
                <c:ptCount val="36"/>
                <c:pt idx="0">
                  <c:v>0.91964413521126764</c:v>
                </c:pt>
                <c:pt idx="1">
                  <c:v>0.91964413521126764</c:v>
                </c:pt>
                <c:pt idx="2">
                  <c:v>0.91964413521126764</c:v>
                </c:pt>
                <c:pt idx="3">
                  <c:v>0.91964413521126764</c:v>
                </c:pt>
                <c:pt idx="4">
                  <c:v>0.91964413521126775</c:v>
                </c:pt>
                <c:pt idx="5">
                  <c:v>0.91964413521126764</c:v>
                </c:pt>
                <c:pt idx="6">
                  <c:v>0.47761194029850745</c:v>
                </c:pt>
                <c:pt idx="7">
                  <c:v>0.84813828732394358</c:v>
                </c:pt>
                <c:pt idx="8">
                  <c:v>0.84813828732394358</c:v>
                </c:pt>
                <c:pt idx="9">
                  <c:v>0.84813828732394358</c:v>
                </c:pt>
                <c:pt idx="10">
                  <c:v>0.84813828732394358</c:v>
                </c:pt>
                <c:pt idx="11">
                  <c:v>0.84813828732394358</c:v>
                </c:pt>
                <c:pt idx="12">
                  <c:v>0.84813828732394358</c:v>
                </c:pt>
                <c:pt idx="13">
                  <c:v>0.47761194029850745</c:v>
                </c:pt>
                <c:pt idx="14">
                  <c:v>0.35149360434782612</c:v>
                </c:pt>
                <c:pt idx="15">
                  <c:v>0.35149360434782612</c:v>
                </c:pt>
                <c:pt idx="16">
                  <c:v>0.35149360434782612</c:v>
                </c:pt>
                <c:pt idx="17">
                  <c:v>0.35149360434782612</c:v>
                </c:pt>
                <c:pt idx="18">
                  <c:v>0.35149360434782617</c:v>
                </c:pt>
                <c:pt idx="19">
                  <c:v>0.35149360434782612</c:v>
                </c:pt>
                <c:pt idx="20">
                  <c:v>0.58454106280193241</c:v>
                </c:pt>
                <c:pt idx="21">
                  <c:v>0.30749103120059285</c:v>
                </c:pt>
                <c:pt idx="22">
                  <c:v>0.30749103120059285</c:v>
                </c:pt>
                <c:pt idx="23">
                  <c:v>0.30796127921195648</c:v>
                </c:pt>
                <c:pt idx="24">
                  <c:v>0.30843152722332012</c:v>
                </c:pt>
                <c:pt idx="25">
                  <c:v>0.30861239195234114</c:v>
                </c:pt>
                <c:pt idx="26">
                  <c:v>0.30890177551877468</c:v>
                </c:pt>
                <c:pt idx="27">
                  <c:v>0.37499999999999994</c:v>
                </c:pt>
                <c:pt idx="28">
                  <c:v>0.20715254395604393</c:v>
                </c:pt>
                <c:pt idx="29">
                  <c:v>0.20715254395604393</c:v>
                </c:pt>
                <c:pt idx="30">
                  <c:v>0.20733559285714284</c:v>
                </c:pt>
                <c:pt idx="31">
                  <c:v>0.20751864175824175</c:v>
                </c:pt>
                <c:pt idx="32">
                  <c:v>0.20758904518174137</c:v>
                </c:pt>
                <c:pt idx="33">
                  <c:v>0.20770169065934066</c:v>
                </c:pt>
                <c:pt idx="34">
                  <c:v>0.2087912087912088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23E-1F4B-8782-39FB771739E2}"/>
            </c:ext>
          </c:extLst>
        </c:ser>
        <c:ser>
          <c:idx val="12"/>
          <c:order val="12"/>
          <c:tx>
            <c:strRef>
              <c:f>Building_MI_periodharmonised!$S$5</c:f>
              <c:strCache>
                <c:ptCount val="1"/>
                <c:pt idx="0">
                  <c:v>Kunststoffen (kg/m2)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Building_MI_periodharmonised!$S$6:$S$41</c:f>
              <c:numCache>
                <c:formatCode>0.00</c:formatCode>
                <c:ptCount val="36"/>
                <c:pt idx="0">
                  <c:v>1.3289144064788729</c:v>
                </c:pt>
                <c:pt idx="1">
                  <c:v>1.575594152957746</c:v>
                </c:pt>
                <c:pt idx="2">
                  <c:v>1.6860721529577458</c:v>
                </c:pt>
                <c:pt idx="3">
                  <c:v>1.7965501529577459</c:v>
                </c:pt>
                <c:pt idx="4">
                  <c:v>1.7965501529577459</c:v>
                </c:pt>
                <c:pt idx="5">
                  <c:v>1.7965501529577459</c:v>
                </c:pt>
                <c:pt idx="6">
                  <c:v>2.4029850746268657</c:v>
                </c:pt>
                <c:pt idx="7">
                  <c:v>1.2349096312676042</c:v>
                </c:pt>
                <c:pt idx="8">
                  <c:v>1.5494636326760549</c:v>
                </c:pt>
                <c:pt idx="9">
                  <c:v>1.6769674685915477</c:v>
                </c:pt>
                <c:pt idx="10">
                  <c:v>1.8044713045070404</c:v>
                </c:pt>
                <c:pt idx="11">
                  <c:v>1.8044713045070404</c:v>
                </c:pt>
                <c:pt idx="12">
                  <c:v>1.8044713045070404</c:v>
                </c:pt>
                <c:pt idx="13">
                  <c:v>2.4029850746268657</c:v>
                </c:pt>
                <c:pt idx="14">
                  <c:v>0.81826993999999875</c:v>
                </c:pt>
                <c:pt idx="15">
                  <c:v>1.1453851689855061</c:v>
                </c:pt>
                <c:pt idx="16">
                  <c:v>1.5083980617391295</c:v>
                </c:pt>
                <c:pt idx="17">
                  <c:v>1.8714109544927526</c:v>
                </c:pt>
                <c:pt idx="18">
                  <c:v>1.8714109544927529</c:v>
                </c:pt>
                <c:pt idx="19">
                  <c:v>1.8714109544927526</c:v>
                </c:pt>
                <c:pt idx="20">
                  <c:v>2.8743961352657008</c:v>
                </c:pt>
                <c:pt idx="21">
                  <c:v>0.99483573656126456</c:v>
                </c:pt>
                <c:pt idx="22">
                  <c:v>1.2289766862154146</c:v>
                </c:pt>
                <c:pt idx="23">
                  <c:v>1.5572286196516789</c:v>
                </c:pt>
                <c:pt idx="24">
                  <c:v>1.8854805530879433</c:v>
                </c:pt>
                <c:pt idx="25">
                  <c:v>1.8863368592505307</c:v>
                </c:pt>
                <c:pt idx="26">
                  <c:v>1.8877069491106706</c:v>
                </c:pt>
                <c:pt idx="27">
                  <c:v>2.5054347826086953</c:v>
                </c:pt>
                <c:pt idx="28">
                  <c:v>1.4989690769230766</c:v>
                </c:pt>
                <c:pt idx="29">
                  <c:v>1.7718148934065934</c:v>
                </c:pt>
                <c:pt idx="30">
                  <c:v>1.7916335664835166</c:v>
                </c:pt>
                <c:pt idx="31">
                  <c:v>1.8114522395604398</c:v>
                </c:pt>
                <c:pt idx="32">
                  <c:v>1.8119461144547762</c:v>
                </c:pt>
                <c:pt idx="33">
                  <c:v>1.8127363142857145</c:v>
                </c:pt>
                <c:pt idx="34">
                  <c:v>1.813186813186813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23E-1F4B-8782-39FB771739E2}"/>
            </c:ext>
          </c:extLst>
        </c:ser>
        <c:ser>
          <c:idx val="13"/>
          <c:order val="13"/>
          <c:tx>
            <c:strRef>
              <c:f>Building_MI_periodharmonised!$T$5</c:f>
              <c:strCache>
                <c:ptCount val="1"/>
                <c:pt idx="0">
                  <c:v>Lijm en verf (kg/m2)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Building_MI_periodharmonised!$T$6:$T$41</c:f>
              <c:numCache>
                <c:formatCode>0.00</c:formatCode>
                <c:ptCount val="36"/>
                <c:pt idx="0">
                  <c:v>1.5227198140845066</c:v>
                </c:pt>
                <c:pt idx="1">
                  <c:v>1.5071151830985914</c:v>
                </c:pt>
                <c:pt idx="2">
                  <c:v>1.4899587485915491</c:v>
                </c:pt>
                <c:pt idx="3">
                  <c:v>1.4728023140845068</c:v>
                </c:pt>
                <c:pt idx="4">
                  <c:v>1.5027603070422533</c:v>
                </c:pt>
                <c:pt idx="5">
                  <c:v>1.5506930957746479</c:v>
                </c:pt>
                <c:pt idx="6">
                  <c:v>0.9253731343283581</c:v>
                </c:pt>
                <c:pt idx="7">
                  <c:v>1.6288591619718307</c:v>
                </c:pt>
                <c:pt idx="8">
                  <c:v>1.7200033676056337</c:v>
                </c:pt>
                <c:pt idx="9">
                  <c:v>1.7268795647887323</c:v>
                </c:pt>
                <c:pt idx="10">
                  <c:v>1.7337557619718309</c:v>
                </c:pt>
                <c:pt idx="11">
                  <c:v>1.7743139775731311</c:v>
                </c:pt>
                <c:pt idx="12">
                  <c:v>1.8392071225352109</c:v>
                </c:pt>
                <c:pt idx="13">
                  <c:v>0.9253731343283581</c:v>
                </c:pt>
                <c:pt idx="14">
                  <c:v>1.3552014608695648</c:v>
                </c:pt>
                <c:pt idx="15">
                  <c:v>1.464410814492753</c:v>
                </c:pt>
                <c:pt idx="16">
                  <c:v>1.4622887391304342</c:v>
                </c:pt>
                <c:pt idx="17">
                  <c:v>1.4601666637681157</c:v>
                </c:pt>
                <c:pt idx="18">
                  <c:v>1.4972568075808241</c:v>
                </c:pt>
                <c:pt idx="19">
                  <c:v>1.5566010376811577</c:v>
                </c:pt>
                <c:pt idx="20">
                  <c:v>0.7874396135265701</c:v>
                </c:pt>
                <c:pt idx="21">
                  <c:v>2.0525547885968374</c:v>
                </c:pt>
                <c:pt idx="22">
                  <c:v>5.6162211183152166</c:v>
                </c:pt>
                <c:pt idx="23">
                  <c:v>5.6162331763068174</c:v>
                </c:pt>
                <c:pt idx="24">
                  <c:v>5.616245234298419</c:v>
                </c:pt>
                <c:pt idx="25">
                  <c:v>5.5923577167303886</c:v>
                </c:pt>
                <c:pt idx="26">
                  <c:v>5.554137688621541</c:v>
                </c:pt>
                <c:pt idx="27">
                  <c:v>0.99456521739130421</c:v>
                </c:pt>
                <c:pt idx="28">
                  <c:v>1.9742970098901096</c:v>
                </c:pt>
                <c:pt idx="29">
                  <c:v>2.7024723384615381</c:v>
                </c:pt>
                <c:pt idx="30">
                  <c:v>2.6830760236263735</c:v>
                </c:pt>
                <c:pt idx="31">
                  <c:v>2.663679708791209</c:v>
                </c:pt>
                <c:pt idx="32">
                  <c:v>2.6565620486052413</c:v>
                </c:pt>
                <c:pt idx="33">
                  <c:v>2.6451737923076921</c:v>
                </c:pt>
                <c:pt idx="34">
                  <c:v>2.6483516483516483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23E-1F4B-8782-39FB771739E2}"/>
            </c:ext>
          </c:extLst>
        </c:ser>
        <c:ser>
          <c:idx val="14"/>
          <c:order val="14"/>
          <c:tx>
            <c:strRef>
              <c:f>Building_MI_periodharmonised!$U$5</c:f>
              <c:strCache>
                <c:ptCount val="1"/>
                <c:pt idx="0">
                  <c:v>Mortel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Building_MI_periodharmonised!$U$6:$U$41</c:f>
              <c:numCache>
                <c:formatCode>0.00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82.910447761194021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82.910447761194021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63.603864734299513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61.532608695652172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30.505494505494507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23E-1F4B-8782-39FB771739E2}"/>
            </c:ext>
          </c:extLst>
        </c:ser>
        <c:ser>
          <c:idx val="15"/>
          <c:order val="15"/>
          <c:tx>
            <c:strRef>
              <c:f>Building_MI_periodharmonised!$V$5</c:f>
              <c:strCache>
                <c:ptCount val="1"/>
                <c:pt idx="0">
                  <c:v>Overig biobased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Building_MI_periodharmonised!$V$6:$V$41</c:f>
              <c:numCache>
                <c:formatCode>0.00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1.2307692307692308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23E-1F4B-8782-39FB771739E2}"/>
            </c:ext>
          </c:extLst>
        </c:ser>
        <c:ser>
          <c:idx val="16"/>
          <c:order val="16"/>
          <c:tx>
            <c:strRef>
              <c:f>Building_MI_periodharmonised!$W$5</c:f>
              <c:strCache>
                <c:ptCount val="1"/>
                <c:pt idx="0">
                  <c:v>Overige metalen (kg/m2)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Building_MI_periodharmonised!$W$6:$W$41</c:f>
              <c:numCache>
                <c:formatCode>0.00</c:formatCode>
                <c:ptCount val="36"/>
                <c:pt idx="0">
                  <c:v>3.9420607408450712</c:v>
                </c:pt>
                <c:pt idx="1">
                  <c:v>3.945169339436621</c:v>
                </c:pt>
                <c:pt idx="2">
                  <c:v>3.945169339436621</c:v>
                </c:pt>
                <c:pt idx="3">
                  <c:v>3.945169339436621</c:v>
                </c:pt>
                <c:pt idx="4">
                  <c:v>3.9451693394366214</c:v>
                </c:pt>
                <c:pt idx="5">
                  <c:v>3.945169339436621</c:v>
                </c:pt>
                <c:pt idx="6">
                  <c:v>0.11940298507462686</c:v>
                </c:pt>
                <c:pt idx="7">
                  <c:v>1.3351705873239421</c:v>
                </c:pt>
                <c:pt idx="8">
                  <c:v>1.3770228845070407</c:v>
                </c:pt>
                <c:pt idx="9">
                  <c:v>1.3770228845070407</c:v>
                </c:pt>
                <c:pt idx="10">
                  <c:v>1.3770228845070407</c:v>
                </c:pt>
                <c:pt idx="11">
                  <c:v>1.3770228845070407</c:v>
                </c:pt>
                <c:pt idx="12">
                  <c:v>1.3770228845070407</c:v>
                </c:pt>
                <c:pt idx="13">
                  <c:v>0.11940298507462686</c:v>
                </c:pt>
                <c:pt idx="14">
                  <c:v>1.4697139710144911</c:v>
                </c:pt>
                <c:pt idx="15">
                  <c:v>1.5202924623188392</c:v>
                </c:pt>
                <c:pt idx="16">
                  <c:v>1.5202924623188392</c:v>
                </c:pt>
                <c:pt idx="17">
                  <c:v>1.5202924623188392</c:v>
                </c:pt>
                <c:pt idx="18">
                  <c:v>1.5202924623188392</c:v>
                </c:pt>
                <c:pt idx="19">
                  <c:v>1.5202924623188392</c:v>
                </c:pt>
                <c:pt idx="20">
                  <c:v>0.12077294685990339</c:v>
                </c:pt>
                <c:pt idx="21">
                  <c:v>0.72710811603260872</c:v>
                </c:pt>
                <c:pt idx="22">
                  <c:v>0.74015650410079059</c:v>
                </c:pt>
                <c:pt idx="23">
                  <c:v>0.74354058407855739</c:v>
                </c:pt>
                <c:pt idx="24">
                  <c:v>0.74692466405632407</c:v>
                </c:pt>
                <c:pt idx="25">
                  <c:v>0.74695134019268772</c:v>
                </c:pt>
                <c:pt idx="26">
                  <c:v>0.74699402201086951</c:v>
                </c:pt>
                <c:pt idx="27">
                  <c:v>0.12499999999999999</c:v>
                </c:pt>
                <c:pt idx="28">
                  <c:v>0.46113914505494502</c:v>
                </c:pt>
                <c:pt idx="29">
                  <c:v>0.49499219999999994</c:v>
                </c:pt>
                <c:pt idx="30">
                  <c:v>0.49499219999999994</c:v>
                </c:pt>
                <c:pt idx="31">
                  <c:v>0.49499219999999994</c:v>
                </c:pt>
                <c:pt idx="32">
                  <c:v>0.49499219999999999</c:v>
                </c:pt>
                <c:pt idx="33">
                  <c:v>0.49499219999999994</c:v>
                </c:pt>
                <c:pt idx="34">
                  <c:v>0.49450549450549453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23E-1F4B-8782-39FB771739E2}"/>
            </c:ext>
          </c:extLst>
        </c:ser>
        <c:ser>
          <c:idx val="17"/>
          <c:order val="17"/>
          <c:tx>
            <c:strRef>
              <c:f>Building_MI_periodharmonised!$X$5</c:f>
              <c:strCache>
                <c:ptCount val="1"/>
                <c:pt idx="0">
                  <c:v>Papier (kg/m2)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Building_MI_periodharmonised!$X$6:$X$41</c:f>
              <c:numCache>
                <c:formatCode>0.00</c:formatCode>
                <c:ptCount val="36"/>
                <c:pt idx="0">
                  <c:v>0</c:v>
                </c:pt>
                <c:pt idx="1">
                  <c:v>0.2419382957746479</c:v>
                </c:pt>
                <c:pt idx="2">
                  <c:v>0.2419382957746479</c:v>
                </c:pt>
                <c:pt idx="3">
                  <c:v>0.2419382957746479</c:v>
                </c:pt>
                <c:pt idx="4">
                  <c:v>0.24193829577464793</c:v>
                </c:pt>
                <c:pt idx="5">
                  <c:v>0.2419382957746479</c:v>
                </c:pt>
                <c:pt idx="6">
                  <c:v>1.3731343283582089</c:v>
                </c:pt>
                <c:pt idx="7">
                  <c:v>0</c:v>
                </c:pt>
                <c:pt idx="8">
                  <c:v>0.36854849295774644</c:v>
                </c:pt>
                <c:pt idx="9">
                  <c:v>0.36854849295774644</c:v>
                </c:pt>
                <c:pt idx="10">
                  <c:v>0.36854849295774644</c:v>
                </c:pt>
                <c:pt idx="11">
                  <c:v>0.3685484929577465</c:v>
                </c:pt>
                <c:pt idx="12">
                  <c:v>0.36854849295774644</c:v>
                </c:pt>
                <c:pt idx="13">
                  <c:v>1.3731343283582089</c:v>
                </c:pt>
                <c:pt idx="14">
                  <c:v>0</c:v>
                </c:pt>
                <c:pt idx="15">
                  <c:v>0.47785589275362322</c:v>
                </c:pt>
                <c:pt idx="16">
                  <c:v>0.47785589275362322</c:v>
                </c:pt>
                <c:pt idx="17">
                  <c:v>0.47785589275362322</c:v>
                </c:pt>
                <c:pt idx="18">
                  <c:v>0.47785589275362322</c:v>
                </c:pt>
                <c:pt idx="19">
                  <c:v>0.47785589275362322</c:v>
                </c:pt>
                <c:pt idx="20">
                  <c:v>0.58454106280193241</c:v>
                </c:pt>
                <c:pt idx="21">
                  <c:v>0</c:v>
                </c:pt>
                <c:pt idx="22">
                  <c:v>0.35798067065217387</c:v>
                </c:pt>
                <c:pt idx="23">
                  <c:v>0.35798067065217387</c:v>
                </c:pt>
                <c:pt idx="24">
                  <c:v>0.35798067065217387</c:v>
                </c:pt>
                <c:pt idx="25">
                  <c:v>0.35798067065217387</c:v>
                </c:pt>
                <c:pt idx="26">
                  <c:v>0.35798067065217387</c:v>
                </c:pt>
                <c:pt idx="27">
                  <c:v>0.27173913043478259</c:v>
                </c:pt>
                <c:pt idx="28">
                  <c:v>0</c:v>
                </c:pt>
                <c:pt idx="29">
                  <c:v>0.43177825824175825</c:v>
                </c:pt>
                <c:pt idx="30">
                  <c:v>0.43177825824175825</c:v>
                </c:pt>
                <c:pt idx="31">
                  <c:v>0.43177825824175825</c:v>
                </c:pt>
                <c:pt idx="32">
                  <c:v>0.43177825824175825</c:v>
                </c:pt>
                <c:pt idx="33">
                  <c:v>0.43177825824175825</c:v>
                </c:pt>
                <c:pt idx="34">
                  <c:v>0.42857142857142855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23E-1F4B-8782-39FB771739E2}"/>
            </c:ext>
          </c:extLst>
        </c:ser>
        <c:ser>
          <c:idx val="18"/>
          <c:order val="18"/>
          <c:tx>
            <c:strRef>
              <c:f>Building_MI_periodharmonised!$Y$5</c:f>
              <c:strCache>
                <c:ptCount val="1"/>
                <c:pt idx="0">
                  <c:v>Staal &amp; IJzer (kg/m2)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Building_MI_periodharmonised!$Y$6:$Y$41</c:f>
              <c:numCache>
                <c:formatCode>0.00</c:formatCode>
                <c:ptCount val="36"/>
                <c:pt idx="0">
                  <c:v>69.751482257746474</c:v>
                </c:pt>
                <c:pt idx="1">
                  <c:v>56.706148863380278</c:v>
                </c:pt>
                <c:pt idx="2">
                  <c:v>50.453034778873231</c:v>
                </c:pt>
                <c:pt idx="3">
                  <c:v>44.199920694366185</c:v>
                </c:pt>
                <c:pt idx="4">
                  <c:v>44.194766927302268</c:v>
                </c:pt>
                <c:pt idx="5">
                  <c:v>44.186520899999984</c:v>
                </c:pt>
                <c:pt idx="6">
                  <c:v>25.686567164179102</c:v>
                </c:pt>
                <c:pt idx="7">
                  <c:v>59.321162621126753</c:v>
                </c:pt>
                <c:pt idx="8">
                  <c:v>61.458932929577458</c:v>
                </c:pt>
                <c:pt idx="9">
                  <c:v>62.392253333098587</c:v>
                </c:pt>
                <c:pt idx="10">
                  <c:v>63.325573736619717</c:v>
                </c:pt>
                <c:pt idx="11">
                  <c:v>63.319174239328277</c:v>
                </c:pt>
                <c:pt idx="12">
                  <c:v>63.308935043661968</c:v>
                </c:pt>
                <c:pt idx="13">
                  <c:v>25.686567164179102</c:v>
                </c:pt>
                <c:pt idx="14">
                  <c:v>51.236411047826117</c:v>
                </c:pt>
                <c:pt idx="15">
                  <c:v>53.185350868115947</c:v>
                </c:pt>
                <c:pt idx="16">
                  <c:v>54.005214736231892</c:v>
                </c:pt>
                <c:pt idx="17">
                  <c:v>54.825078604347844</c:v>
                </c:pt>
                <c:pt idx="18">
                  <c:v>54.819362536900798</c:v>
                </c:pt>
                <c:pt idx="19">
                  <c:v>54.810216828985524</c:v>
                </c:pt>
                <c:pt idx="20">
                  <c:v>29.855072463768114</c:v>
                </c:pt>
                <c:pt idx="21">
                  <c:v>69.102116075667027</c:v>
                </c:pt>
                <c:pt idx="22">
                  <c:v>68.586460476753956</c:v>
                </c:pt>
                <c:pt idx="23">
                  <c:v>69.62460717565466</c:v>
                </c:pt>
                <c:pt idx="24">
                  <c:v>70.662753874555364</c:v>
                </c:pt>
                <c:pt idx="25">
                  <c:v>70.656793496115867</c:v>
                </c:pt>
                <c:pt idx="26">
                  <c:v>70.647256890612667</c:v>
                </c:pt>
                <c:pt idx="27">
                  <c:v>21.673913043478258</c:v>
                </c:pt>
                <c:pt idx="28">
                  <c:v>46.466515152747249</c:v>
                </c:pt>
                <c:pt idx="29">
                  <c:v>46.565791712087908</c:v>
                </c:pt>
                <c:pt idx="30">
                  <c:v>47.310346268681315</c:v>
                </c:pt>
                <c:pt idx="31">
                  <c:v>48.054900825274721</c:v>
                </c:pt>
                <c:pt idx="32">
                  <c:v>48.052678483558751</c:v>
                </c:pt>
                <c:pt idx="33">
                  <c:v>48.049122736813182</c:v>
                </c:pt>
                <c:pt idx="34">
                  <c:v>48.065934065934066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23E-1F4B-8782-39FB771739E2}"/>
            </c:ext>
          </c:extLst>
        </c:ser>
        <c:ser>
          <c:idx val="19"/>
          <c:order val="19"/>
          <c:tx>
            <c:strRef>
              <c:f>Building_MI_periodharmonised!$Z$5</c:f>
              <c:strCache>
                <c:ptCount val="1"/>
                <c:pt idx="0">
                  <c:v>Steen (kg/m2)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Building_MI_periodharmonised!$Z$6:$Z$41</c:f>
              <c:numCache>
                <c:formatCode>0.00</c:formatCode>
                <c:ptCount val="36"/>
                <c:pt idx="0">
                  <c:v>22.052394916901395</c:v>
                </c:pt>
                <c:pt idx="1">
                  <c:v>22.052394916901395</c:v>
                </c:pt>
                <c:pt idx="2">
                  <c:v>22.617621195070409</c:v>
                </c:pt>
                <c:pt idx="3">
                  <c:v>23.182847473239423</c:v>
                </c:pt>
                <c:pt idx="4">
                  <c:v>23.182847473239427</c:v>
                </c:pt>
                <c:pt idx="5">
                  <c:v>23.182847473239423</c:v>
                </c:pt>
                <c:pt idx="6">
                  <c:v>4.4776119402985072E-2</c:v>
                </c:pt>
                <c:pt idx="7">
                  <c:v>0.47078741830985782</c:v>
                </c:pt>
                <c:pt idx="8">
                  <c:v>0.47078741830985782</c:v>
                </c:pt>
                <c:pt idx="9">
                  <c:v>0.8856266260563368</c:v>
                </c:pt>
                <c:pt idx="10">
                  <c:v>1.3004658338028157</c:v>
                </c:pt>
                <c:pt idx="11">
                  <c:v>1.3004658338028157</c:v>
                </c:pt>
                <c:pt idx="12">
                  <c:v>1.3004658338028157</c:v>
                </c:pt>
                <c:pt idx="13">
                  <c:v>4.4776119402985072E-2</c:v>
                </c:pt>
                <c:pt idx="14">
                  <c:v>0.43873775797101455</c:v>
                </c:pt>
                <c:pt idx="15">
                  <c:v>0.43873775797101455</c:v>
                </c:pt>
                <c:pt idx="16">
                  <c:v>0.83113418768115954</c:v>
                </c:pt>
                <c:pt idx="17">
                  <c:v>1.2235306173913045</c:v>
                </c:pt>
                <c:pt idx="18">
                  <c:v>1.2235306173913045</c:v>
                </c:pt>
                <c:pt idx="19">
                  <c:v>1.2235306173913045</c:v>
                </c:pt>
                <c:pt idx="20">
                  <c:v>9.6618357487922718E-2</c:v>
                </c:pt>
                <c:pt idx="21">
                  <c:v>0.83496118913043471</c:v>
                </c:pt>
                <c:pt idx="22">
                  <c:v>0.70400742663043481</c:v>
                </c:pt>
                <c:pt idx="23">
                  <c:v>0.7959883165266799</c:v>
                </c:pt>
                <c:pt idx="24">
                  <c:v>0.88796920642292487</c:v>
                </c:pt>
                <c:pt idx="25">
                  <c:v>0.88796920642292498</c:v>
                </c:pt>
                <c:pt idx="26">
                  <c:v>0.88796920642292487</c:v>
                </c:pt>
                <c:pt idx="27">
                  <c:v>0.53260869565217395</c:v>
                </c:pt>
                <c:pt idx="28">
                  <c:v>5.0542406593406593E-2</c:v>
                </c:pt>
                <c:pt idx="29">
                  <c:v>0</c:v>
                </c:pt>
                <c:pt idx="30">
                  <c:v>4.6382079670329666E-2</c:v>
                </c:pt>
                <c:pt idx="31">
                  <c:v>9.2764159340659333E-2</c:v>
                </c:pt>
                <c:pt idx="32">
                  <c:v>9.2764159340659333E-2</c:v>
                </c:pt>
                <c:pt idx="33">
                  <c:v>9.2764159340659333E-2</c:v>
                </c:pt>
                <c:pt idx="34">
                  <c:v>8.7912087912087905E-2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23E-1F4B-8782-39FB771739E2}"/>
            </c:ext>
          </c:extLst>
        </c:ser>
        <c:ser>
          <c:idx val="20"/>
          <c:order val="20"/>
          <c:tx>
            <c:strRef>
              <c:f>Building_MI_periodharmonised!$AA$5</c:f>
              <c:strCache>
                <c:ptCount val="1"/>
                <c:pt idx="0">
                  <c:v>Zand (kg/m2)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Building_MI_periodharmonised!$AA$6:$AA$41</c:f>
              <c:numCache>
                <c:formatCode>0.00</c:formatCode>
                <c:ptCount val="36"/>
                <c:pt idx="0">
                  <c:v>25.486250845070423</c:v>
                </c:pt>
                <c:pt idx="1">
                  <c:v>25.486250845070423</c:v>
                </c:pt>
                <c:pt idx="2">
                  <c:v>25.486250845070423</c:v>
                </c:pt>
                <c:pt idx="3">
                  <c:v>25.486250845070423</c:v>
                </c:pt>
                <c:pt idx="4">
                  <c:v>25.486250845070423</c:v>
                </c:pt>
                <c:pt idx="5">
                  <c:v>25.486250845070423</c:v>
                </c:pt>
                <c:pt idx="6">
                  <c:v>99.507462686567166</c:v>
                </c:pt>
                <c:pt idx="7">
                  <c:v>20.141574830985917</c:v>
                </c:pt>
                <c:pt idx="8">
                  <c:v>20.141574830985917</c:v>
                </c:pt>
                <c:pt idx="9">
                  <c:v>20.141574830985917</c:v>
                </c:pt>
                <c:pt idx="10">
                  <c:v>20.141574830985917</c:v>
                </c:pt>
                <c:pt idx="11">
                  <c:v>20.141574830985917</c:v>
                </c:pt>
                <c:pt idx="12">
                  <c:v>20.141574830985917</c:v>
                </c:pt>
                <c:pt idx="13">
                  <c:v>99.507462686567166</c:v>
                </c:pt>
                <c:pt idx="14">
                  <c:v>25.673779000000003</c:v>
                </c:pt>
                <c:pt idx="15">
                  <c:v>25.673779000000003</c:v>
                </c:pt>
                <c:pt idx="16">
                  <c:v>25.673779000000003</c:v>
                </c:pt>
                <c:pt idx="17">
                  <c:v>25.673779000000003</c:v>
                </c:pt>
                <c:pt idx="18">
                  <c:v>25.673779000000003</c:v>
                </c:pt>
                <c:pt idx="19">
                  <c:v>25.673779000000003</c:v>
                </c:pt>
                <c:pt idx="20">
                  <c:v>128.72946859903382</c:v>
                </c:pt>
                <c:pt idx="21">
                  <c:v>16.468138358448616</c:v>
                </c:pt>
                <c:pt idx="22">
                  <c:v>16.468138358448616</c:v>
                </c:pt>
                <c:pt idx="23">
                  <c:v>16.468138358448616</c:v>
                </c:pt>
                <c:pt idx="24">
                  <c:v>16.468138358448616</c:v>
                </c:pt>
                <c:pt idx="25">
                  <c:v>16.46813835844862</c:v>
                </c:pt>
                <c:pt idx="26">
                  <c:v>16.468138358448616</c:v>
                </c:pt>
                <c:pt idx="27">
                  <c:v>30.114130434782606</c:v>
                </c:pt>
                <c:pt idx="28">
                  <c:v>13.502395043956044</c:v>
                </c:pt>
                <c:pt idx="29">
                  <c:v>13.502395043956044</c:v>
                </c:pt>
                <c:pt idx="30">
                  <c:v>13.502395043956044</c:v>
                </c:pt>
                <c:pt idx="31">
                  <c:v>13.502395043956044</c:v>
                </c:pt>
                <c:pt idx="32">
                  <c:v>13.502395043956046</c:v>
                </c:pt>
                <c:pt idx="33">
                  <c:v>13.502395043956044</c:v>
                </c:pt>
                <c:pt idx="34">
                  <c:v>13.505494505494504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23E-1F4B-8782-39FB77173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773344"/>
        <c:axId val="23535408"/>
      </c:barChart>
      <c:catAx>
        <c:axId val="2377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5408"/>
        <c:crosses val="autoZero"/>
        <c:auto val="1"/>
        <c:lblAlgn val="ctr"/>
        <c:lblOffset val="100"/>
        <c:noMultiLvlLbl val="0"/>
      </c:catAx>
      <c:valAx>
        <c:axId val="2353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7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Building_MI_original_baseline!$C$5</c:f>
              <c:strCache>
                <c:ptCount val="1"/>
                <c:pt idx="0">
                  <c:v>Aluminium (kg/m2)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Building_MI_original_baseline!$C$6:$C$30</c:f>
              <c:numCache>
                <c:formatCode>0.00</c:formatCode>
                <c:ptCount val="25"/>
                <c:pt idx="0">
                  <c:v>0.1123081338028169</c:v>
                </c:pt>
                <c:pt idx="1">
                  <c:v>0.20712039295774648</c:v>
                </c:pt>
                <c:pt idx="2">
                  <c:v>0.19397868591549297</c:v>
                </c:pt>
                <c:pt idx="3">
                  <c:v>0.19397868591549297</c:v>
                </c:pt>
                <c:pt idx="4">
                  <c:v>1.8059701492537312</c:v>
                </c:pt>
                <c:pt idx="5">
                  <c:v>0.18886813098591554</c:v>
                </c:pt>
                <c:pt idx="6">
                  <c:v>0.2876202295774648</c:v>
                </c:pt>
                <c:pt idx="7">
                  <c:v>0.25258702535211269</c:v>
                </c:pt>
                <c:pt idx="8">
                  <c:v>0.25258702535211269</c:v>
                </c:pt>
                <c:pt idx="9">
                  <c:v>1.8059701492537312</c:v>
                </c:pt>
                <c:pt idx="10">
                  <c:v>0.37854946376811599</c:v>
                </c:pt>
                <c:pt idx="11">
                  <c:v>0.47542224637681163</c:v>
                </c:pt>
                <c:pt idx="12">
                  <c:v>0.37808582173913047</c:v>
                </c:pt>
                <c:pt idx="13">
                  <c:v>0.37808582173913047</c:v>
                </c:pt>
                <c:pt idx="14">
                  <c:v>1.1980676328502415</c:v>
                </c:pt>
                <c:pt idx="15">
                  <c:v>0.20221829725790513</c:v>
                </c:pt>
                <c:pt idx="16">
                  <c:v>0.21147096627964426</c:v>
                </c:pt>
                <c:pt idx="17">
                  <c:v>0.78220971588438182</c:v>
                </c:pt>
                <c:pt idx="18">
                  <c:v>0.78220971588438182</c:v>
                </c:pt>
                <c:pt idx="19">
                  <c:v>1.5489130434782608</c:v>
                </c:pt>
                <c:pt idx="20">
                  <c:v>0.11701019340659341</c:v>
                </c:pt>
                <c:pt idx="21">
                  <c:v>0.13084169560439551</c:v>
                </c:pt>
                <c:pt idx="22">
                  <c:v>1.4716251010989008</c:v>
                </c:pt>
                <c:pt idx="23">
                  <c:v>1.4741659307692303</c:v>
                </c:pt>
                <c:pt idx="24">
                  <c:v>1.4725274725274726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D4-2F48-8D03-959054D8D0F1}"/>
            </c:ext>
          </c:extLst>
        </c:ser>
        <c:ser>
          <c:idx val="1"/>
          <c:order val="1"/>
          <c:tx>
            <c:strRef>
              <c:f>Building_MI_original_baseline!$D$5</c:f>
              <c:strCache>
                <c:ptCount val="1"/>
                <c:pt idx="0">
                  <c:v>Baksteen (kg/m2)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Building_MI_original_baseline!$D$6:$D$30</c:f>
              <c:numCache>
                <c:formatCode>0.00</c:formatCode>
                <c:ptCount val="25"/>
                <c:pt idx="0">
                  <c:v>290.13365908450703</c:v>
                </c:pt>
                <c:pt idx="1">
                  <c:v>290.13365908450703</c:v>
                </c:pt>
                <c:pt idx="2">
                  <c:v>116.05346363380282</c:v>
                </c:pt>
                <c:pt idx="3">
                  <c:v>116.05346363380282</c:v>
                </c:pt>
                <c:pt idx="4">
                  <c:v>218.41791044776119</c:v>
                </c:pt>
                <c:pt idx="5">
                  <c:v>322.16941545070426</c:v>
                </c:pt>
                <c:pt idx="6">
                  <c:v>322.16941545070426</c:v>
                </c:pt>
                <c:pt idx="7">
                  <c:v>128.86776618309858</c:v>
                </c:pt>
                <c:pt idx="8">
                  <c:v>128.86776618309858</c:v>
                </c:pt>
                <c:pt idx="9">
                  <c:v>218.41791044776119</c:v>
                </c:pt>
                <c:pt idx="10">
                  <c:v>162.86606424637682</c:v>
                </c:pt>
                <c:pt idx="11">
                  <c:v>162.86606424637682</c:v>
                </c:pt>
                <c:pt idx="12">
                  <c:v>65.146425695652184</c:v>
                </c:pt>
                <c:pt idx="13">
                  <c:v>65.146425695652184</c:v>
                </c:pt>
                <c:pt idx="14">
                  <c:v>179.96618357487924</c:v>
                </c:pt>
                <c:pt idx="15">
                  <c:v>169.93780449011857</c:v>
                </c:pt>
                <c:pt idx="16">
                  <c:v>169.93780449011857</c:v>
                </c:pt>
                <c:pt idx="17">
                  <c:v>54.555367037302368</c:v>
                </c:pt>
                <c:pt idx="18">
                  <c:v>54.555367037302368</c:v>
                </c:pt>
                <c:pt idx="19">
                  <c:v>237.06521739130437</c:v>
                </c:pt>
                <c:pt idx="20">
                  <c:v>171.36517329670332</c:v>
                </c:pt>
                <c:pt idx="21">
                  <c:v>171.36517329670332</c:v>
                </c:pt>
                <c:pt idx="22">
                  <c:v>68.546069318681319</c:v>
                </c:pt>
                <c:pt idx="23">
                  <c:v>68.546069318681319</c:v>
                </c:pt>
                <c:pt idx="24">
                  <c:v>68.549450549450555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D4-2F48-8D03-959054D8D0F1}"/>
            </c:ext>
          </c:extLst>
        </c:ser>
        <c:ser>
          <c:idx val="2"/>
          <c:order val="2"/>
          <c:tx>
            <c:strRef>
              <c:f>Building_MI_original_baseline!$E$5</c:f>
              <c:strCache>
                <c:ptCount val="1"/>
                <c:pt idx="0">
                  <c:v>Beton (kg/m2)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Building_MI_original_baseline!$E$6:$E$30</c:f>
              <c:numCache>
                <c:formatCode>0.00</c:formatCode>
                <c:ptCount val="25"/>
                <c:pt idx="0">
                  <c:v>1376.7648660647862</c:v>
                </c:pt>
                <c:pt idx="1">
                  <c:v>1375.8505954591524</c:v>
                </c:pt>
                <c:pt idx="2">
                  <c:v>1310.8140770859129</c:v>
                </c:pt>
                <c:pt idx="3">
                  <c:v>1310.8140770859129</c:v>
                </c:pt>
                <c:pt idx="4">
                  <c:v>1190.3880597014925</c:v>
                </c:pt>
                <c:pt idx="5">
                  <c:v>1388.6241446239421</c:v>
                </c:pt>
                <c:pt idx="6">
                  <c:v>1508.265099229576</c:v>
                </c:pt>
                <c:pt idx="7">
                  <c:v>1589.920186801407</c:v>
                </c:pt>
                <c:pt idx="8">
                  <c:v>1589.920186801407</c:v>
                </c:pt>
                <c:pt idx="9">
                  <c:v>1190.3880597014925</c:v>
                </c:pt>
                <c:pt idx="10">
                  <c:v>1144.3172885652173</c:v>
                </c:pt>
                <c:pt idx="11">
                  <c:v>1225.6518204347826</c:v>
                </c:pt>
                <c:pt idx="12">
                  <c:v>1304.4812254217391</c:v>
                </c:pt>
                <c:pt idx="13">
                  <c:v>1304.4812254217391</c:v>
                </c:pt>
                <c:pt idx="14">
                  <c:v>1662.6231884057972</c:v>
                </c:pt>
                <c:pt idx="15">
                  <c:v>1421.6139480039028</c:v>
                </c:pt>
                <c:pt idx="16">
                  <c:v>1512.2461587949108</c:v>
                </c:pt>
                <c:pt idx="17">
                  <c:v>1526.4957120451579</c:v>
                </c:pt>
                <c:pt idx="18">
                  <c:v>1526.4957120451579</c:v>
                </c:pt>
                <c:pt idx="19">
                  <c:v>1107.9076086956522</c:v>
                </c:pt>
                <c:pt idx="20">
                  <c:v>1097.8571164296693</c:v>
                </c:pt>
                <c:pt idx="21">
                  <c:v>1168.9713799285703</c:v>
                </c:pt>
                <c:pt idx="22">
                  <c:v>1208.6320879021953</c:v>
                </c:pt>
                <c:pt idx="23">
                  <c:v>1208.6320879021953</c:v>
                </c:pt>
                <c:pt idx="24">
                  <c:v>1178.131868131868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D4-2F48-8D03-959054D8D0F1}"/>
            </c:ext>
          </c:extLst>
        </c:ser>
        <c:ser>
          <c:idx val="3"/>
          <c:order val="3"/>
          <c:tx>
            <c:strRef>
              <c:f>Building_MI_original_baseline!$F$5</c:f>
              <c:strCache>
                <c:ptCount val="1"/>
                <c:pt idx="0">
                  <c:v>Bitumen (kg/m2)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Building_MI_original_baseline!$F$6:$F$30</c:f>
              <c:numCache>
                <c:formatCode>0.00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0.23186739436619719</c:v>
                </c:pt>
                <c:pt idx="3">
                  <c:v>0.23186739436619719</c:v>
                </c:pt>
                <c:pt idx="4">
                  <c:v>0.10447761194029852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0.10447761194029852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0.64251207729468607</c:v>
                </c:pt>
                <c:pt idx="15">
                  <c:v>0</c:v>
                </c:pt>
                <c:pt idx="16">
                  <c:v>0</c:v>
                </c:pt>
                <c:pt idx="17">
                  <c:v>0.82586820096343772</c:v>
                </c:pt>
                <c:pt idx="18">
                  <c:v>0.82586820096343772</c:v>
                </c:pt>
                <c:pt idx="19">
                  <c:v>0.31521739130434784</c:v>
                </c:pt>
                <c:pt idx="20">
                  <c:v>6.7692307692307691E-2</c:v>
                </c:pt>
                <c:pt idx="21">
                  <c:v>6.7692307692307691E-2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D4-2F48-8D03-959054D8D0F1}"/>
            </c:ext>
          </c:extLst>
        </c:ser>
        <c:ser>
          <c:idx val="4"/>
          <c:order val="4"/>
          <c:tx>
            <c:strRef>
              <c:f>Building_MI_original_baseline!$G$5</c:f>
              <c:strCache>
                <c:ptCount val="1"/>
                <c:pt idx="0">
                  <c:v>Electronica (kg/m2)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Building_MI_original_baseline!$G$6:$G$30</c:f>
              <c:numCache>
                <c:formatCode>0.00</c:formatCode>
                <c:ptCount val="25"/>
                <c:pt idx="0">
                  <c:v>1.4084507042253521E-2</c:v>
                </c:pt>
                <c:pt idx="1">
                  <c:v>1.4084507042253521E-2</c:v>
                </c:pt>
                <c:pt idx="2">
                  <c:v>1.4084507042253521E-2</c:v>
                </c:pt>
                <c:pt idx="3">
                  <c:v>1.4084507042253521E-2</c:v>
                </c:pt>
                <c:pt idx="4">
                  <c:v>0.62686567164179097</c:v>
                </c:pt>
                <c:pt idx="5">
                  <c:v>7.0422535211267607E-3</c:v>
                </c:pt>
                <c:pt idx="6">
                  <c:v>7.0422535211267607E-3</c:v>
                </c:pt>
                <c:pt idx="7">
                  <c:v>7.0422535211267607E-3</c:v>
                </c:pt>
                <c:pt idx="8">
                  <c:v>7.0422535211267607E-3</c:v>
                </c:pt>
                <c:pt idx="9">
                  <c:v>0.62686567164179097</c:v>
                </c:pt>
                <c:pt idx="10">
                  <c:v>1.8924160869565217E-2</c:v>
                </c:pt>
                <c:pt idx="11">
                  <c:v>1.8924160869565217E-2</c:v>
                </c:pt>
                <c:pt idx="12">
                  <c:v>1.8924160869565217E-2</c:v>
                </c:pt>
                <c:pt idx="13">
                  <c:v>1.8924160869565217E-2</c:v>
                </c:pt>
                <c:pt idx="14">
                  <c:v>0.89855072463768126</c:v>
                </c:pt>
                <c:pt idx="15">
                  <c:v>3.2032279496047429E-2</c:v>
                </c:pt>
                <c:pt idx="16">
                  <c:v>3.2032279496047429E-2</c:v>
                </c:pt>
                <c:pt idx="17">
                  <c:v>3.2032279496047429E-2</c:v>
                </c:pt>
                <c:pt idx="18">
                  <c:v>3.2032279496047429E-2</c:v>
                </c:pt>
                <c:pt idx="19">
                  <c:v>1.2880434782608696</c:v>
                </c:pt>
                <c:pt idx="20">
                  <c:v>3.663003626373626E-2</c:v>
                </c:pt>
                <c:pt idx="21">
                  <c:v>3.663003626373626E-2</c:v>
                </c:pt>
                <c:pt idx="22">
                  <c:v>3.663003626373626E-2</c:v>
                </c:pt>
                <c:pt idx="23">
                  <c:v>3.663003626373626E-2</c:v>
                </c:pt>
                <c:pt idx="24">
                  <c:v>3.2967032967032968E-2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D4-2F48-8D03-959054D8D0F1}"/>
            </c:ext>
          </c:extLst>
        </c:ser>
        <c:ser>
          <c:idx val="5"/>
          <c:order val="5"/>
          <c:tx>
            <c:strRef>
              <c:f>Building_MI_original_baseline!$H$5</c:f>
              <c:strCache>
                <c:ptCount val="1"/>
                <c:pt idx="0">
                  <c:v>Gips (kg/m2)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Building_MI_original_baseline!$H$6:$H$30</c:f>
              <c:numCache>
                <c:formatCode>0.00</c:formatCode>
                <c:ptCount val="25"/>
                <c:pt idx="0">
                  <c:v>9.3222154816901419</c:v>
                </c:pt>
                <c:pt idx="1">
                  <c:v>31.41036341126761</c:v>
                </c:pt>
                <c:pt idx="2">
                  <c:v>31.41036341126761</c:v>
                </c:pt>
                <c:pt idx="3">
                  <c:v>31.41036341126761</c:v>
                </c:pt>
                <c:pt idx="4">
                  <c:v>15.820895522388058</c:v>
                </c:pt>
                <c:pt idx="5">
                  <c:v>10.021588338028154</c:v>
                </c:pt>
                <c:pt idx="6">
                  <c:v>46.677546563380261</c:v>
                </c:pt>
                <c:pt idx="7">
                  <c:v>46.677546563380261</c:v>
                </c:pt>
                <c:pt idx="8">
                  <c:v>46.677546563380261</c:v>
                </c:pt>
                <c:pt idx="9">
                  <c:v>15.820895522388058</c:v>
                </c:pt>
                <c:pt idx="10">
                  <c:v>7.6938449159420292</c:v>
                </c:pt>
                <c:pt idx="11">
                  <c:v>16.722916946376813</c:v>
                </c:pt>
                <c:pt idx="12">
                  <c:v>16.722916946376813</c:v>
                </c:pt>
                <c:pt idx="13">
                  <c:v>16.722916946376813</c:v>
                </c:pt>
                <c:pt idx="14">
                  <c:v>13.54106280193237</c:v>
                </c:pt>
                <c:pt idx="15">
                  <c:v>13.986688577099798</c:v>
                </c:pt>
                <c:pt idx="16">
                  <c:v>13.986688577099798</c:v>
                </c:pt>
                <c:pt idx="17">
                  <c:v>13.000620371417984</c:v>
                </c:pt>
                <c:pt idx="18">
                  <c:v>13.000620371417984</c:v>
                </c:pt>
                <c:pt idx="19">
                  <c:v>30.874999999999996</c:v>
                </c:pt>
                <c:pt idx="20">
                  <c:v>9.5043092065934065</c:v>
                </c:pt>
                <c:pt idx="21">
                  <c:v>9.5043092065934065</c:v>
                </c:pt>
                <c:pt idx="22">
                  <c:v>10.5910709</c:v>
                </c:pt>
                <c:pt idx="23">
                  <c:v>10.5910709</c:v>
                </c:pt>
                <c:pt idx="24">
                  <c:v>10.791208791208792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D4-2F48-8D03-959054D8D0F1}"/>
            </c:ext>
          </c:extLst>
        </c:ser>
        <c:ser>
          <c:idx val="6"/>
          <c:order val="6"/>
          <c:tx>
            <c:strRef>
              <c:f>Building_MI_original_baseline!$I$5</c:f>
              <c:strCache>
                <c:ptCount val="1"/>
                <c:pt idx="0">
                  <c:v>Glas (kg/m2)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Building_MI_original_baseline!$I$6:$I$30</c:f>
              <c:numCache>
                <c:formatCode>0.00</c:formatCode>
                <c:ptCount val="25"/>
                <c:pt idx="0">
                  <c:v>0</c:v>
                </c:pt>
                <c:pt idx="1">
                  <c:v>3.2294997704225352</c:v>
                </c:pt>
                <c:pt idx="2">
                  <c:v>6.4589995394366193</c:v>
                </c:pt>
                <c:pt idx="3">
                  <c:v>6.4589995394366193</c:v>
                </c:pt>
                <c:pt idx="4">
                  <c:v>11.134328358208954</c:v>
                </c:pt>
                <c:pt idx="5">
                  <c:v>0.18055071267605635</c:v>
                </c:pt>
                <c:pt idx="6">
                  <c:v>2.4917772253521133</c:v>
                </c:pt>
                <c:pt idx="7">
                  <c:v>4.8030037380281687</c:v>
                </c:pt>
                <c:pt idx="8">
                  <c:v>4.8030037380281687</c:v>
                </c:pt>
                <c:pt idx="9">
                  <c:v>11.134328358208954</c:v>
                </c:pt>
                <c:pt idx="10">
                  <c:v>0.23043419420289715</c:v>
                </c:pt>
                <c:pt idx="11">
                  <c:v>2.3138175405797088</c:v>
                </c:pt>
                <c:pt idx="12">
                  <c:v>4.3972008869565204</c:v>
                </c:pt>
                <c:pt idx="13">
                  <c:v>4.3972008869565204</c:v>
                </c:pt>
                <c:pt idx="14">
                  <c:v>7.5458937198067639</c:v>
                </c:pt>
                <c:pt idx="15">
                  <c:v>0.23152289397233203</c:v>
                </c:pt>
                <c:pt idx="16">
                  <c:v>2.5580129903903108</c:v>
                </c:pt>
                <c:pt idx="17">
                  <c:v>4.8845030879199598</c:v>
                </c:pt>
                <c:pt idx="18">
                  <c:v>4.8845030879199598</c:v>
                </c:pt>
                <c:pt idx="19">
                  <c:v>5.8913043478260869</c:v>
                </c:pt>
                <c:pt idx="20">
                  <c:v>11.018224612087911</c:v>
                </c:pt>
                <c:pt idx="21">
                  <c:v>14.158282454945043</c:v>
                </c:pt>
                <c:pt idx="22">
                  <c:v>17.298340297802184</c:v>
                </c:pt>
                <c:pt idx="23">
                  <c:v>17.298340297802184</c:v>
                </c:pt>
                <c:pt idx="24">
                  <c:v>17.296703296703296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D4-2F48-8D03-959054D8D0F1}"/>
            </c:ext>
          </c:extLst>
        </c:ser>
        <c:ser>
          <c:idx val="7"/>
          <c:order val="7"/>
          <c:tx>
            <c:strRef>
              <c:f>Building_MI_original_baseline!$J$5</c:f>
              <c:strCache>
                <c:ptCount val="1"/>
                <c:pt idx="0">
                  <c:v>Hout (kg/m2)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Building_MI_original_baseline!$J$6:$J$30</c:f>
              <c:numCache>
                <c:formatCode>0.00</c:formatCode>
                <c:ptCount val="25"/>
                <c:pt idx="0">
                  <c:v>181.00586869013947</c:v>
                </c:pt>
                <c:pt idx="1">
                  <c:v>98.419572477464826</c:v>
                </c:pt>
                <c:pt idx="2">
                  <c:v>25.123550152112678</c:v>
                </c:pt>
                <c:pt idx="3">
                  <c:v>35.690020400000002</c:v>
                </c:pt>
                <c:pt idx="4">
                  <c:v>34.328358208955223</c:v>
                </c:pt>
                <c:pt idx="5">
                  <c:v>88.17859265915493</c:v>
                </c:pt>
                <c:pt idx="6">
                  <c:v>52.5479935169014</c:v>
                </c:pt>
                <c:pt idx="7">
                  <c:v>28.588292078873238</c:v>
                </c:pt>
                <c:pt idx="8">
                  <c:v>42.414406792957749</c:v>
                </c:pt>
                <c:pt idx="9">
                  <c:v>34.328358208955223</c:v>
                </c:pt>
                <c:pt idx="10">
                  <c:v>64.768413495652169</c:v>
                </c:pt>
                <c:pt idx="11">
                  <c:v>40.861085121739109</c:v>
                </c:pt>
                <c:pt idx="12">
                  <c:v>20.304001179710145</c:v>
                </c:pt>
                <c:pt idx="13">
                  <c:v>32.834914582608697</c:v>
                </c:pt>
                <c:pt idx="14">
                  <c:v>24.90338164251208</c:v>
                </c:pt>
                <c:pt idx="15">
                  <c:v>33.943422969713424</c:v>
                </c:pt>
                <c:pt idx="16">
                  <c:v>23.011512423023714</c:v>
                </c:pt>
                <c:pt idx="17">
                  <c:v>11.80718337072628</c:v>
                </c:pt>
                <c:pt idx="18">
                  <c:v>13.125159888908099</c:v>
                </c:pt>
                <c:pt idx="19">
                  <c:v>2.206521739130435</c:v>
                </c:pt>
                <c:pt idx="20">
                  <c:v>42.832492139560415</c:v>
                </c:pt>
                <c:pt idx="21">
                  <c:v>24.410079309890111</c:v>
                </c:pt>
                <c:pt idx="22">
                  <c:v>9.4723306142857133</c:v>
                </c:pt>
                <c:pt idx="23">
                  <c:v>14.176482770329667</c:v>
                </c:pt>
                <c:pt idx="2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D4-2F48-8D03-959054D8D0F1}"/>
            </c:ext>
          </c:extLst>
        </c:ser>
        <c:ser>
          <c:idx val="8"/>
          <c:order val="8"/>
          <c:tx>
            <c:strRef>
              <c:f>Building_MI_original_baseline!$AG$5</c:f>
              <c:strCache>
                <c:ptCount val="1"/>
                <c:pt idx="0">
                  <c:v>Isolatie (kg/m2)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Building_MI_original_baseline!$AG$6:$AG$30</c:f>
              <c:numCache>
                <c:formatCode>0.00</c:formatCode>
                <c:ptCount val="25"/>
                <c:pt idx="0">
                  <c:v>13.575590573239438</c:v>
                </c:pt>
                <c:pt idx="1">
                  <c:v>14.033810794366198</c:v>
                </c:pt>
                <c:pt idx="2">
                  <c:v>14.642552156338013</c:v>
                </c:pt>
                <c:pt idx="3">
                  <c:v>16.494385402816917</c:v>
                </c:pt>
                <c:pt idx="4">
                  <c:v>34.104477611940297</c:v>
                </c:pt>
                <c:pt idx="5">
                  <c:v>14.378566736619716</c:v>
                </c:pt>
                <c:pt idx="6">
                  <c:v>14.886732830985913</c:v>
                </c:pt>
                <c:pt idx="7">
                  <c:v>15.398919942253519</c:v>
                </c:pt>
                <c:pt idx="8">
                  <c:v>17.010001458450695</c:v>
                </c:pt>
                <c:pt idx="9">
                  <c:v>34.104477611940297</c:v>
                </c:pt>
                <c:pt idx="10">
                  <c:v>13.21922307536232</c:v>
                </c:pt>
                <c:pt idx="11">
                  <c:v>13.477310789855075</c:v>
                </c:pt>
                <c:pt idx="12">
                  <c:v>13.843262210144928</c:v>
                </c:pt>
                <c:pt idx="13">
                  <c:v>14.970341108695655</c:v>
                </c:pt>
                <c:pt idx="14">
                  <c:v>26.415458937198071</c:v>
                </c:pt>
                <c:pt idx="15">
                  <c:v>18.45664685239624</c:v>
                </c:pt>
                <c:pt idx="16">
                  <c:v>19.158717388611656</c:v>
                </c:pt>
                <c:pt idx="17">
                  <c:v>13.59116603233695</c:v>
                </c:pt>
                <c:pt idx="18">
                  <c:v>10.457778820689224</c:v>
                </c:pt>
                <c:pt idx="19">
                  <c:v>7.7065217391304346</c:v>
                </c:pt>
                <c:pt idx="20">
                  <c:v>16.883190557142861</c:v>
                </c:pt>
                <c:pt idx="21">
                  <c:v>17.205952518681318</c:v>
                </c:pt>
                <c:pt idx="22">
                  <c:v>12.358508760439561</c:v>
                </c:pt>
                <c:pt idx="23">
                  <c:v>8.5152887335164849</c:v>
                </c:pt>
                <c:pt idx="24">
                  <c:v>9.1868131868131861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D4-2F48-8D03-959054D8D0F1}"/>
            </c:ext>
          </c:extLst>
        </c:ser>
        <c:ser>
          <c:idx val="9"/>
          <c:order val="9"/>
          <c:tx>
            <c:strRef>
              <c:f>Building_MI_original_baseline!$P$5</c:f>
              <c:strCache>
                <c:ptCount val="1"/>
                <c:pt idx="0">
                  <c:v>Kalkzandsteen (kg/m2)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Building_MI_original_baseline!$P$6:$P$30</c:f>
              <c:numCache>
                <c:formatCode>0.00</c:formatCode>
                <c:ptCount val="25"/>
                <c:pt idx="0">
                  <c:v>307.73567974647892</c:v>
                </c:pt>
                <c:pt idx="1">
                  <c:v>307.73567974647892</c:v>
                </c:pt>
                <c:pt idx="2">
                  <c:v>655.38373088732124</c:v>
                </c:pt>
                <c:pt idx="3">
                  <c:v>655.38373088732124</c:v>
                </c:pt>
                <c:pt idx="4">
                  <c:v>0</c:v>
                </c:pt>
                <c:pt idx="5">
                  <c:v>327.72170992957751</c:v>
                </c:pt>
                <c:pt idx="6">
                  <c:v>327.72170992957751</c:v>
                </c:pt>
                <c:pt idx="7">
                  <c:v>728.52222140845072</c:v>
                </c:pt>
                <c:pt idx="8">
                  <c:v>728.52222140845072</c:v>
                </c:pt>
                <c:pt idx="9">
                  <c:v>0</c:v>
                </c:pt>
                <c:pt idx="10">
                  <c:v>263.36174559420294</c:v>
                </c:pt>
                <c:pt idx="11">
                  <c:v>263.36174559420294</c:v>
                </c:pt>
                <c:pt idx="12">
                  <c:v>427.32686753623187</c:v>
                </c:pt>
                <c:pt idx="13">
                  <c:v>427.32686753623187</c:v>
                </c:pt>
                <c:pt idx="14">
                  <c:v>0</c:v>
                </c:pt>
                <c:pt idx="15">
                  <c:v>224.76978087598758</c:v>
                </c:pt>
                <c:pt idx="16">
                  <c:v>224.76978087598758</c:v>
                </c:pt>
                <c:pt idx="17">
                  <c:v>324.79346358646245</c:v>
                </c:pt>
                <c:pt idx="18">
                  <c:v>324.79346358646245</c:v>
                </c:pt>
                <c:pt idx="19">
                  <c:v>0</c:v>
                </c:pt>
                <c:pt idx="20">
                  <c:v>252.87193786813185</c:v>
                </c:pt>
                <c:pt idx="21">
                  <c:v>252.87193786813185</c:v>
                </c:pt>
                <c:pt idx="22">
                  <c:v>338.93859252747251</c:v>
                </c:pt>
                <c:pt idx="23">
                  <c:v>338.93859252747251</c:v>
                </c:pt>
                <c:pt idx="24">
                  <c:v>338.93406593406593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D4-2F48-8D03-959054D8D0F1}"/>
            </c:ext>
          </c:extLst>
        </c:ser>
        <c:ser>
          <c:idx val="10"/>
          <c:order val="10"/>
          <c:tx>
            <c:strRef>
              <c:f>Building_MI_original_baseline!$Q$5</c:f>
              <c:strCache>
                <c:ptCount val="1"/>
                <c:pt idx="0">
                  <c:v>Keramiek (kg/m2)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Building_MI_original_baseline!$Q$6:$Q$30</c:f>
              <c:numCache>
                <c:formatCode>0.00</c:formatCode>
                <c:ptCount val="25"/>
                <c:pt idx="0">
                  <c:v>33.736131078873242</c:v>
                </c:pt>
                <c:pt idx="1">
                  <c:v>33.736131078873242</c:v>
                </c:pt>
                <c:pt idx="2">
                  <c:v>2.3478010929577464</c:v>
                </c:pt>
                <c:pt idx="3">
                  <c:v>2.3478010929577464</c:v>
                </c:pt>
                <c:pt idx="4">
                  <c:v>5.3582089552238799</c:v>
                </c:pt>
                <c:pt idx="5">
                  <c:v>3.3205046464788595</c:v>
                </c:pt>
                <c:pt idx="6">
                  <c:v>3.3205046464788595</c:v>
                </c:pt>
                <c:pt idx="7">
                  <c:v>3.3205046464788595</c:v>
                </c:pt>
                <c:pt idx="8">
                  <c:v>3.3205046464788595</c:v>
                </c:pt>
                <c:pt idx="9">
                  <c:v>5.3582089552238799</c:v>
                </c:pt>
                <c:pt idx="10">
                  <c:v>2.7625526971014498</c:v>
                </c:pt>
                <c:pt idx="11">
                  <c:v>2.7625526971014498</c:v>
                </c:pt>
                <c:pt idx="12">
                  <c:v>2.7625526971014498</c:v>
                </c:pt>
                <c:pt idx="13">
                  <c:v>2.7625526971014498</c:v>
                </c:pt>
                <c:pt idx="14">
                  <c:v>6.57487922705314</c:v>
                </c:pt>
                <c:pt idx="15">
                  <c:v>12.270727132905126</c:v>
                </c:pt>
                <c:pt idx="16">
                  <c:v>12.270727132905126</c:v>
                </c:pt>
                <c:pt idx="17">
                  <c:v>5.6977324031620444</c:v>
                </c:pt>
                <c:pt idx="18">
                  <c:v>5.6977324031620444</c:v>
                </c:pt>
                <c:pt idx="19">
                  <c:v>12.581521739130434</c:v>
                </c:pt>
                <c:pt idx="20">
                  <c:v>18.81893665164834</c:v>
                </c:pt>
                <c:pt idx="21">
                  <c:v>18.81893665164834</c:v>
                </c:pt>
                <c:pt idx="22">
                  <c:v>4.8449721571428466</c:v>
                </c:pt>
                <c:pt idx="23">
                  <c:v>4.8449721571428466</c:v>
                </c:pt>
                <c:pt idx="24">
                  <c:v>5.2527472527472527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D4-2F48-8D03-959054D8D0F1}"/>
            </c:ext>
          </c:extLst>
        </c:ser>
        <c:ser>
          <c:idx val="11"/>
          <c:order val="11"/>
          <c:tx>
            <c:strRef>
              <c:f>Building_MI_original_baseline!$R$5</c:f>
              <c:strCache>
                <c:ptCount val="1"/>
                <c:pt idx="0">
                  <c:v>Koper (kg/m2)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Building_MI_original_baseline!$R$6:$R$30</c:f>
              <c:numCache>
                <c:formatCode>0.00</c:formatCode>
                <c:ptCount val="25"/>
                <c:pt idx="0">
                  <c:v>0.91964413521126764</c:v>
                </c:pt>
                <c:pt idx="1">
                  <c:v>0.91964413521126764</c:v>
                </c:pt>
                <c:pt idx="2">
                  <c:v>0.91964413521126764</c:v>
                </c:pt>
                <c:pt idx="3">
                  <c:v>0.91964413521126764</c:v>
                </c:pt>
                <c:pt idx="4">
                  <c:v>0.47761194029850745</c:v>
                </c:pt>
                <c:pt idx="5">
                  <c:v>0.84813828732394358</c:v>
                </c:pt>
                <c:pt idx="6">
                  <c:v>0.84813828732394358</c:v>
                </c:pt>
                <c:pt idx="7">
                  <c:v>0.84813828732394358</c:v>
                </c:pt>
                <c:pt idx="8">
                  <c:v>0.84813828732394358</c:v>
                </c:pt>
                <c:pt idx="9">
                  <c:v>0.47761194029850745</c:v>
                </c:pt>
                <c:pt idx="10">
                  <c:v>0.35149360434782612</c:v>
                </c:pt>
                <c:pt idx="11">
                  <c:v>0.35149360434782612</c:v>
                </c:pt>
                <c:pt idx="12">
                  <c:v>0.35149360434782612</c:v>
                </c:pt>
                <c:pt idx="13">
                  <c:v>0.35149360434782612</c:v>
                </c:pt>
                <c:pt idx="14">
                  <c:v>0.58454106280193241</c:v>
                </c:pt>
                <c:pt idx="15">
                  <c:v>0.30749103120059285</c:v>
                </c:pt>
                <c:pt idx="16">
                  <c:v>0.30749103120059285</c:v>
                </c:pt>
                <c:pt idx="17">
                  <c:v>0.30843152722332012</c:v>
                </c:pt>
                <c:pt idx="18">
                  <c:v>0.30890177551877468</c:v>
                </c:pt>
                <c:pt idx="19">
                  <c:v>0.37499999999999994</c:v>
                </c:pt>
                <c:pt idx="20">
                  <c:v>0.20715254395604393</c:v>
                </c:pt>
                <c:pt idx="21">
                  <c:v>0.20715254395604393</c:v>
                </c:pt>
                <c:pt idx="22">
                  <c:v>0.20751864175824175</c:v>
                </c:pt>
                <c:pt idx="23">
                  <c:v>0.20770169065934066</c:v>
                </c:pt>
                <c:pt idx="24">
                  <c:v>0.2087912087912088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D4-2F48-8D03-959054D8D0F1}"/>
            </c:ext>
          </c:extLst>
        </c:ser>
        <c:ser>
          <c:idx val="12"/>
          <c:order val="12"/>
          <c:tx>
            <c:strRef>
              <c:f>Building_MI_original_baseline!$S$5</c:f>
              <c:strCache>
                <c:ptCount val="1"/>
                <c:pt idx="0">
                  <c:v>Kunststoffen (kg/m2)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Building_MI_original_baseline!$S$6:$S$30</c:f>
              <c:numCache>
                <c:formatCode>0.00</c:formatCode>
                <c:ptCount val="25"/>
                <c:pt idx="0">
                  <c:v>1.3289144064788729</c:v>
                </c:pt>
                <c:pt idx="1">
                  <c:v>1.575594152957746</c:v>
                </c:pt>
                <c:pt idx="2">
                  <c:v>1.7965501529577459</c:v>
                </c:pt>
                <c:pt idx="3">
                  <c:v>1.7965501529577459</c:v>
                </c:pt>
                <c:pt idx="4">
                  <c:v>2.4029850746268657</c:v>
                </c:pt>
                <c:pt idx="5">
                  <c:v>1.2349096312676042</c:v>
                </c:pt>
                <c:pt idx="6">
                  <c:v>1.5494636326760549</c:v>
                </c:pt>
                <c:pt idx="7">
                  <c:v>1.8044713045070404</c:v>
                </c:pt>
                <c:pt idx="8">
                  <c:v>1.8044713045070404</c:v>
                </c:pt>
                <c:pt idx="9">
                  <c:v>2.4029850746268657</c:v>
                </c:pt>
                <c:pt idx="10">
                  <c:v>0.81826993999999875</c:v>
                </c:pt>
                <c:pt idx="11">
                  <c:v>1.1453851689855061</c:v>
                </c:pt>
                <c:pt idx="12">
                  <c:v>1.8714109544927526</c:v>
                </c:pt>
                <c:pt idx="13">
                  <c:v>1.8714109544927526</c:v>
                </c:pt>
                <c:pt idx="14">
                  <c:v>2.8743961352657008</c:v>
                </c:pt>
                <c:pt idx="15">
                  <c:v>0.99483573656126456</c:v>
                </c:pt>
                <c:pt idx="16">
                  <c:v>1.2289766862154146</c:v>
                </c:pt>
                <c:pt idx="17">
                  <c:v>1.8854805530879433</c:v>
                </c:pt>
                <c:pt idx="18">
                  <c:v>1.8877069491106706</c:v>
                </c:pt>
                <c:pt idx="19">
                  <c:v>2.5054347826086953</c:v>
                </c:pt>
                <c:pt idx="20">
                  <c:v>1.4989690769230766</c:v>
                </c:pt>
                <c:pt idx="21">
                  <c:v>1.7718148934065934</c:v>
                </c:pt>
                <c:pt idx="22">
                  <c:v>1.8114522395604398</c:v>
                </c:pt>
                <c:pt idx="23">
                  <c:v>1.8127363142857145</c:v>
                </c:pt>
                <c:pt idx="24">
                  <c:v>1.813186813186813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D4-2F48-8D03-959054D8D0F1}"/>
            </c:ext>
          </c:extLst>
        </c:ser>
        <c:ser>
          <c:idx val="13"/>
          <c:order val="13"/>
          <c:tx>
            <c:strRef>
              <c:f>Building_MI_original_baseline!$T$5</c:f>
              <c:strCache>
                <c:ptCount val="1"/>
                <c:pt idx="0">
                  <c:v>Lijm en verf (kg/m2)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Building_MI_original_baseline!$T$6:$T$30</c:f>
              <c:numCache>
                <c:formatCode>0.00</c:formatCode>
                <c:ptCount val="25"/>
                <c:pt idx="0">
                  <c:v>1.5227198140845066</c:v>
                </c:pt>
                <c:pt idx="1">
                  <c:v>1.5071151830985914</c:v>
                </c:pt>
                <c:pt idx="2">
                  <c:v>1.4728023140845068</c:v>
                </c:pt>
                <c:pt idx="3">
                  <c:v>1.5506930957746479</c:v>
                </c:pt>
                <c:pt idx="4">
                  <c:v>0.9253731343283581</c:v>
                </c:pt>
                <c:pt idx="5">
                  <c:v>1.6288591619718307</c:v>
                </c:pt>
                <c:pt idx="6">
                  <c:v>1.7200033676056337</c:v>
                </c:pt>
                <c:pt idx="7">
                  <c:v>1.7337557619718309</c:v>
                </c:pt>
                <c:pt idx="8">
                  <c:v>1.8392071225352109</c:v>
                </c:pt>
                <c:pt idx="9">
                  <c:v>0.9253731343283581</c:v>
                </c:pt>
                <c:pt idx="10">
                  <c:v>1.3552014608695648</c:v>
                </c:pt>
                <c:pt idx="11">
                  <c:v>1.464410814492753</c:v>
                </c:pt>
                <c:pt idx="12">
                  <c:v>1.4601666637681157</c:v>
                </c:pt>
                <c:pt idx="13">
                  <c:v>1.5566010376811577</c:v>
                </c:pt>
                <c:pt idx="14">
                  <c:v>0.7874396135265701</c:v>
                </c:pt>
                <c:pt idx="15">
                  <c:v>2.0525547885968374</c:v>
                </c:pt>
                <c:pt idx="16">
                  <c:v>5.6162211183152166</c:v>
                </c:pt>
                <c:pt idx="17">
                  <c:v>5.616245234298419</c:v>
                </c:pt>
                <c:pt idx="18">
                  <c:v>5.554137688621541</c:v>
                </c:pt>
                <c:pt idx="19">
                  <c:v>0.99456521739130421</c:v>
                </c:pt>
                <c:pt idx="20">
                  <c:v>1.9742970098901096</c:v>
                </c:pt>
                <c:pt idx="21">
                  <c:v>2.7024723384615381</c:v>
                </c:pt>
                <c:pt idx="22">
                  <c:v>2.663679708791209</c:v>
                </c:pt>
                <c:pt idx="23">
                  <c:v>2.6451737923076921</c:v>
                </c:pt>
                <c:pt idx="24">
                  <c:v>2.6483516483516483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D4-2F48-8D03-959054D8D0F1}"/>
            </c:ext>
          </c:extLst>
        </c:ser>
        <c:ser>
          <c:idx val="14"/>
          <c:order val="14"/>
          <c:tx>
            <c:strRef>
              <c:f>Building_MI_original_baseline!$U$5</c:f>
              <c:strCache>
                <c:ptCount val="1"/>
                <c:pt idx="0">
                  <c:v>Mortel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Building_MI_original_baseline!$U$6:$U$30</c:f>
              <c:numCache>
                <c:formatCode>0.00</c:formatCode>
                <c:ptCount val="25"/>
                <c:pt idx="4">
                  <c:v>82.910447761194021</c:v>
                </c:pt>
                <c:pt idx="9">
                  <c:v>82.910447761194021</c:v>
                </c:pt>
                <c:pt idx="14">
                  <c:v>63.603864734299513</c:v>
                </c:pt>
                <c:pt idx="19">
                  <c:v>61.532608695652172</c:v>
                </c:pt>
                <c:pt idx="24">
                  <c:v>30.505494505494507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D4-2F48-8D03-959054D8D0F1}"/>
            </c:ext>
          </c:extLst>
        </c:ser>
        <c:ser>
          <c:idx val="15"/>
          <c:order val="15"/>
          <c:tx>
            <c:strRef>
              <c:f>Building_MI_original_baseline!$V$5</c:f>
              <c:strCache>
                <c:ptCount val="1"/>
                <c:pt idx="0">
                  <c:v>Overig biobased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Building_MI_original_baseline!$V$6:$V$30</c:f>
              <c:numCache>
                <c:formatCode>0.00</c:formatCode>
                <c:ptCount val="25"/>
                <c:pt idx="4">
                  <c:v>0</c:v>
                </c:pt>
                <c:pt idx="9">
                  <c:v>0</c:v>
                </c:pt>
                <c:pt idx="14">
                  <c:v>0</c:v>
                </c:pt>
                <c:pt idx="19">
                  <c:v>0</c:v>
                </c:pt>
                <c:pt idx="24">
                  <c:v>1.2307692307692308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D4-2F48-8D03-959054D8D0F1}"/>
            </c:ext>
          </c:extLst>
        </c:ser>
        <c:ser>
          <c:idx val="16"/>
          <c:order val="16"/>
          <c:tx>
            <c:strRef>
              <c:f>Building_MI_original_baseline!$W$5</c:f>
              <c:strCache>
                <c:ptCount val="1"/>
                <c:pt idx="0">
                  <c:v>Overige metalen (kg/m2)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Building_MI_original_baseline!$W$6:$W$30</c:f>
              <c:numCache>
                <c:formatCode>0.00</c:formatCode>
                <c:ptCount val="25"/>
                <c:pt idx="0">
                  <c:v>3.9420607408450712</c:v>
                </c:pt>
                <c:pt idx="1">
                  <c:v>3.945169339436621</c:v>
                </c:pt>
                <c:pt idx="2">
                  <c:v>3.945169339436621</c:v>
                </c:pt>
                <c:pt idx="3">
                  <c:v>3.945169339436621</c:v>
                </c:pt>
                <c:pt idx="4">
                  <c:v>0.11940298507462686</c:v>
                </c:pt>
                <c:pt idx="5">
                  <c:v>1.3351705873239421</c:v>
                </c:pt>
                <c:pt idx="6">
                  <c:v>1.3770228845070407</c:v>
                </c:pt>
                <c:pt idx="7">
                  <c:v>1.3770228845070407</c:v>
                </c:pt>
                <c:pt idx="8">
                  <c:v>1.3770228845070407</c:v>
                </c:pt>
                <c:pt idx="9">
                  <c:v>0.11940298507462686</c:v>
                </c:pt>
                <c:pt idx="10">
                  <c:v>1.4697139710144911</c:v>
                </c:pt>
                <c:pt idx="11">
                  <c:v>1.5202924623188392</c:v>
                </c:pt>
                <c:pt idx="12">
                  <c:v>1.5202924623188392</c:v>
                </c:pt>
                <c:pt idx="13">
                  <c:v>1.5202924623188392</c:v>
                </c:pt>
                <c:pt idx="14">
                  <c:v>0.12077294685990339</c:v>
                </c:pt>
                <c:pt idx="15">
                  <c:v>0.72710811603260872</c:v>
                </c:pt>
                <c:pt idx="16">
                  <c:v>0.74015650410079059</c:v>
                </c:pt>
                <c:pt idx="17">
                  <c:v>0.74692466405632407</c:v>
                </c:pt>
                <c:pt idx="18">
                  <c:v>0.74699402201086951</c:v>
                </c:pt>
                <c:pt idx="19">
                  <c:v>0.12499999999999999</c:v>
                </c:pt>
                <c:pt idx="20">
                  <c:v>0.46113914505494502</c:v>
                </c:pt>
                <c:pt idx="21">
                  <c:v>0.49499219999999994</c:v>
                </c:pt>
                <c:pt idx="22">
                  <c:v>0.49499219999999994</c:v>
                </c:pt>
                <c:pt idx="23">
                  <c:v>0.49499219999999994</c:v>
                </c:pt>
                <c:pt idx="24">
                  <c:v>0.49450549450549453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D4-2F48-8D03-959054D8D0F1}"/>
            </c:ext>
          </c:extLst>
        </c:ser>
        <c:ser>
          <c:idx val="17"/>
          <c:order val="17"/>
          <c:tx>
            <c:strRef>
              <c:f>Building_MI_original_baseline!$X$5</c:f>
              <c:strCache>
                <c:ptCount val="1"/>
                <c:pt idx="0">
                  <c:v>Papier (kg/m2)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Building_MI_original_baseline!$X$6:$X$30</c:f>
              <c:numCache>
                <c:formatCode>0.00</c:formatCode>
                <c:ptCount val="25"/>
                <c:pt idx="0">
                  <c:v>0</c:v>
                </c:pt>
                <c:pt idx="1">
                  <c:v>0.2419382957746479</c:v>
                </c:pt>
                <c:pt idx="2">
                  <c:v>0.2419382957746479</c:v>
                </c:pt>
                <c:pt idx="3">
                  <c:v>0.2419382957746479</c:v>
                </c:pt>
                <c:pt idx="4">
                  <c:v>1.3731343283582089</c:v>
                </c:pt>
                <c:pt idx="5">
                  <c:v>0</c:v>
                </c:pt>
                <c:pt idx="6">
                  <c:v>0.36854849295774644</c:v>
                </c:pt>
                <c:pt idx="7">
                  <c:v>0.36854849295774644</c:v>
                </c:pt>
                <c:pt idx="8">
                  <c:v>0.36854849295774644</c:v>
                </c:pt>
                <c:pt idx="9">
                  <c:v>1.3731343283582089</c:v>
                </c:pt>
                <c:pt idx="10">
                  <c:v>0</c:v>
                </c:pt>
                <c:pt idx="11">
                  <c:v>0.47785589275362322</c:v>
                </c:pt>
                <c:pt idx="12">
                  <c:v>0.47785589275362322</c:v>
                </c:pt>
                <c:pt idx="13">
                  <c:v>0.47785589275362322</c:v>
                </c:pt>
                <c:pt idx="14">
                  <c:v>0.58454106280193241</c:v>
                </c:pt>
                <c:pt idx="15">
                  <c:v>0</c:v>
                </c:pt>
                <c:pt idx="16">
                  <c:v>0.35798067065217387</c:v>
                </c:pt>
                <c:pt idx="17">
                  <c:v>0.35798067065217387</c:v>
                </c:pt>
                <c:pt idx="18">
                  <c:v>0.35798067065217387</c:v>
                </c:pt>
                <c:pt idx="19">
                  <c:v>0.27173913043478259</c:v>
                </c:pt>
                <c:pt idx="20">
                  <c:v>0</c:v>
                </c:pt>
                <c:pt idx="21">
                  <c:v>0.43177825824175825</c:v>
                </c:pt>
                <c:pt idx="22">
                  <c:v>0.43177825824175825</c:v>
                </c:pt>
                <c:pt idx="23">
                  <c:v>0.43177825824175825</c:v>
                </c:pt>
                <c:pt idx="24">
                  <c:v>0.42857142857142855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D4-2F48-8D03-959054D8D0F1}"/>
            </c:ext>
          </c:extLst>
        </c:ser>
        <c:ser>
          <c:idx val="18"/>
          <c:order val="18"/>
          <c:tx>
            <c:strRef>
              <c:f>Building_MI_original_baseline!$Y$5</c:f>
              <c:strCache>
                <c:ptCount val="1"/>
                <c:pt idx="0">
                  <c:v>Staal &amp; IJzer (kg/m2)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Building_MI_original_baseline!$Y$6:$Y$30</c:f>
              <c:numCache>
                <c:formatCode>0.00</c:formatCode>
                <c:ptCount val="25"/>
                <c:pt idx="0">
                  <c:v>69.751482257746474</c:v>
                </c:pt>
                <c:pt idx="1">
                  <c:v>56.706148863380278</c:v>
                </c:pt>
                <c:pt idx="2">
                  <c:v>44.199920694366185</c:v>
                </c:pt>
                <c:pt idx="3">
                  <c:v>44.186520899999984</c:v>
                </c:pt>
                <c:pt idx="4">
                  <c:v>25.686567164179102</c:v>
                </c:pt>
                <c:pt idx="5">
                  <c:v>59.321162621126753</c:v>
                </c:pt>
                <c:pt idx="6">
                  <c:v>61.458932929577458</c:v>
                </c:pt>
                <c:pt idx="7">
                  <c:v>63.325573736619717</c:v>
                </c:pt>
                <c:pt idx="8">
                  <c:v>63.308935043661968</c:v>
                </c:pt>
                <c:pt idx="9">
                  <c:v>25.686567164179102</c:v>
                </c:pt>
                <c:pt idx="10">
                  <c:v>51.236411047826117</c:v>
                </c:pt>
                <c:pt idx="11">
                  <c:v>53.185350868115947</c:v>
                </c:pt>
                <c:pt idx="12">
                  <c:v>54.825078604347844</c:v>
                </c:pt>
                <c:pt idx="13">
                  <c:v>54.810216828985524</c:v>
                </c:pt>
                <c:pt idx="14">
                  <c:v>29.855072463768114</c:v>
                </c:pt>
                <c:pt idx="15">
                  <c:v>69.102116075667027</c:v>
                </c:pt>
                <c:pt idx="16">
                  <c:v>68.586460476753956</c:v>
                </c:pt>
                <c:pt idx="17">
                  <c:v>70.662753874555364</c:v>
                </c:pt>
                <c:pt idx="18">
                  <c:v>70.647256890612667</c:v>
                </c:pt>
                <c:pt idx="19">
                  <c:v>21.673913043478258</c:v>
                </c:pt>
                <c:pt idx="20">
                  <c:v>46.466515152747249</c:v>
                </c:pt>
                <c:pt idx="21">
                  <c:v>46.565791712087908</c:v>
                </c:pt>
                <c:pt idx="22">
                  <c:v>48.054900825274721</c:v>
                </c:pt>
                <c:pt idx="23">
                  <c:v>48.049122736813182</c:v>
                </c:pt>
                <c:pt idx="24">
                  <c:v>48.065934065934066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D4-2F48-8D03-959054D8D0F1}"/>
            </c:ext>
          </c:extLst>
        </c:ser>
        <c:ser>
          <c:idx val="19"/>
          <c:order val="19"/>
          <c:tx>
            <c:strRef>
              <c:f>Building_MI_original_baseline!$Z$5</c:f>
              <c:strCache>
                <c:ptCount val="1"/>
                <c:pt idx="0">
                  <c:v>Steen (kg/m2)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Building_MI_original_baseline!$Z$6:$Z$30</c:f>
              <c:numCache>
                <c:formatCode>0.00</c:formatCode>
                <c:ptCount val="25"/>
                <c:pt idx="0">
                  <c:v>22.052394916901395</c:v>
                </c:pt>
                <c:pt idx="1">
                  <c:v>22.052394916901395</c:v>
                </c:pt>
                <c:pt idx="2">
                  <c:v>23.182847473239423</c:v>
                </c:pt>
                <c:pt idx="3">
                  <c:v>23.182847473239423</c:v>
                </c:pt>
                <c:pt idx="4">
                  <c:v>4.4776119402985072E-2</c:v>
                </c:pt>
                <c:pt idx="5">
                  <c:v>0.47078741830985782</c:v>
                </c:pt>
                <c:pt idx="6">
                  <c:v>0.47078741830985782</c:v>
                </c:pt>
                <c:pt idx="7">
                  <c:v>1.3004658338028157</c:v>
                </c:pt>
                <c:pt idx="8">
                  <c:v>1.3004658338028157</c:v>
                </c:pt>
                <c:pt idx="9">
                  <c:v>4.4776119402985072E-2</c:v>
                </c:pt>
                <c:pt idx="10">
                  <c:v>0.43873775797101455</c:v>
                </c:pt>
                <c:pt idx="11">
                  <c:v>0.43873775797101455</c:v>
                </c:pt>
                <c:pt idx="12">
                  <c:v>1.2235306173913045</c:v>
                </c:pt>
                <c:pt idx="13">
                  <c:v>1.2235306173913045</c:v>
                </c:pt>
                <c:pt idx="14">
                  <c:v>9.6618357487922718E-2</c:v>
                </c:pt>
                <c:pt idx="15">
                  <c:v>0.83496118913043471</c:v>
                </c:pt>
                <c:pt idx="16">
                  <c:v>0.70400742663043481</c:v>
                </c:pt>
                <c:pt idx="17">
                  <c:v>0.88796920642292487</c:v>
                </c:pt>
                <c:pt idx="18">
                  <c:v>0.88796920642292487</c:v>
                </c:pt>
                <c:pt idx="19">
                  <c:v>0.53260869565217395</c:v>
                </c:pt>
                <c:pt idx="20">
                  <c:v>5.0542406593406593E-2</c:v>
                </c:pt>
                <c:pt idx="21">
                  <c:v>0</c:v>
                </c:pt>
                <c:pt idx="22">
                  <c:v>9.2764159340659333E-2</c:v>
                </c:pt>
                <c:pt idx="23">
                  <c:v>9.2764159340659333E-2</c:v>
                </c:pt>
                <c:pt idx="24">
                  <c:v>8.7912087912087905E-2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D4-2F48-8D03-959054D8D0F1}"/>
            </c:ext>
          </c:extLst>
        </c:ser>
        <c:ser>
          <c:idx val="20"/>
          <c:order val="20"/>
          <c:tx>
            <c:strRef>
              <c:f>Building_MI_original_baseline!$AA$5</c:f>
              <c:strCache>
                <c:ptCount val="1"/>
                <c:pt idx="0">
                  <c:v>Zand (kg/m2)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Building_MI_original_baseline!$AA$6:$AA$30</c:f>
              <c:numCache>
                <c:formatCode>0.00</c:formatCode>
                <c:ptCount val="25"/>
                <c:pt idx="0">
                  <c:v>25.486250845070423</c:v>
                </c:pt>
                <c:pt idx="1">
                  <c:v>25.486250845070423</c:v>
                </c:pt>
                <c:pt idx="2">
                  <c:v>25.486250845070423</c:v>
                </c:pt>
                <c:pt idx="3">
                  <c:v>25.486250845070423</c:v>
                </c:pt>
                <c:pt idx="4">
                  <c:v>99.507462686567166</c:v>
                </c:pt>
                <c:pt idx="5">
                  <c:v>20.141574830985917</c:v>
                </c:pt>
                <c:pt idx="6">
                  <c:v>20.141574830985917</c:v>
                </c:pt>
                <c:pt idx="7">
                  <c:v>20.141574830985917</c:v>
                </c:pt>
                <c:pt idx="8">
                  <c:v>20.141574830985917</c:v>
                </c:pt>
                <c:pt idx="9">
                  <c:v>99.507462686567166</c:v>
                </c:pt>
                <c:pt idx="10">
                  <c:v>25.673779000000003</c:v>
                </c:pt>
                <c:pt idx="11">
                  <c:v>25.673779000000003</c:v>
                </c:pt>
                <c:pt idx="12">
                  <c:v>25.673779000000003</c:v>
                </c:pt>
                <c:pt idx="13">
                  <c:v>25.673779000000003</c:v>
                </c:pt>
                <c:pt idx="14">
                  <c:v>128.72946859903382</c:v>
                </c:pt>
                <c:pt idx="15">
                  <c:v>16.468138358448616</c:v>
                </c:pt>
                <c:pt idx="16">
                  <c:v>16.468138358448616</c:v>
                </c:pt>
                <c:pt idx="17">
                  <c:v>16.468138358448616</c:v>
                </c:pt>
                <c:pt idx="18">
                  <c:v>16.468138358448616</c:v>
                </c:pt>
                <c:pt idx="19">
                  <c:v>30.114130434782606</c:v>
                </c:pt>
                <c:pt idx="20">
                  <c:v>13.502395043956044</c:v>
                </c:pt>
                <c:pt idx="21">
                  <c:v>13.502395043956044</c:v>
                </c:pt>
                <c:pt idx="22">
                  <c:v>13.502395043956044</c:v>
                </c:pt>
                <c:pt idx="23">
                  <c:v>13.502395043956044</c:v>
                </c:pt>
                <c:pt idx="24">
                  <c:v>13.505494505494504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D4-2F48-8D03-959054D8D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773344"/>
        <c:axId val="23535408"/>
      </c:barChart>
      <c:catAx>
        <c:axId val="2377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5408"/>
        <c:crosses val="autoZero"/>
        <c:auto val="1"/>
        <c:lblAlgn val="ctr"/>
        <c:lblOffset val="100"/>
        <c:noMultiLvlLbl val="0"/>
      </c:catAx>
      <c:valAx>
        <c:axId val="2353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7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810831</xdr:colOff>
      <xdr:row>1</xdr:row>
      <xdr:rowOff>152762</xdr:rowOff>
    </xdr:from>
    <xdr:to>
      <xdr:col>46</xdr:col>
      <xdr:colOff>197186</xdr:colOff>
      <xdr:row>38</xdr:row>
      <xdr:rowOff>50819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9B508A-598E-9147-8885-FCD50E7E4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760031</xdr:colOff>
      <xdr:row>42</xdr:row>
      <xdr:rowOff>101962</xdr:rowOff>
    </xdr:from>
    <xdr:to>
      <xdr:col>47</xdr:col>
      <xdr:colOff>146385</xdr:colOff>
      <xdr:row>79</xdr:row>
      <xdr:rowOff>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5D6103-381C-0A42-8ADC-36A226523F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760031</xdr:colOff>
      <xdr:row>42</xdr:row>
      <xdr:rowOff>101962</xdr:rowOff>
    </xdr:from>
    <xdr:to>
      <xdr:col>47</xdr:col>
      <xdr:colOff>146385</xdr:colOff>
      <xdr:row>79</xdr:row>
      <xdr:rowOff>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F0829-0A5B-93DE-6B82-062A09884E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FB8E24-CF0B-EB4B-BD7B-2D1BFA23DA40}" name="Table1" displayName="Table1" ref="A2:B23" totalsRowShown="0">
  <autoFilter ref="A2:B23" xr:uid="{5BFB8E24-CF0B-EB4B-BD7B-2D1BFA23DA40}"/>
  <sortState xmlns:xlrd2="http://schemas.microsoft.com/office/spreadsheetml/2017/richdata2" ref="A3:B23">
    <sortCondition ref="A2:A23"/>
  </sortState>
  <tableColumns count="2">
    <tableColumn id="1" xr3:uid="{518B9C7F-F6A3-E14A-AE0B-9D83976E4EC6}" name="BONSAI"/>
    <tableColumn id="2" xr3:uid="{2BDE2033-47F4-394E-8753-F51B9A4E3C99}" name="MPG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A5543-77FF-B74F-953F-F4D8ABEC5354}">
  <dimension ref="A1:AG51"/>
  <sheetViews>
    <sheetView tabSelected="1" zoomScale="84" zoomScaleNormal="44" workbookViewId="0">
      <selection activeCell="A27" sqref="A27"/>
    </sheetView>
  </sheetViews>
  <sheetFormatPr baseColWidth="10" defaultRowHeight="16" x14ac:dyDescent="0.2"/>
  <sheetData>
    <row r="1" spans="1:28" x14ac:dyDescent="0.2">
      <c r="B1" t="s">
        <v>157</v>
      </c>
      <c r="C1" t="s">
        <v>22</v>
      </c>
      <c r="D1" t="s">
        <v>22</v>
      </c>
      <c r="E1" t="s">
        <v>22</v>
      </c>
      <c r="F1" t="s">
        <v>22</v>
      </c>
      <c r="G1" t="s">
        <v>22</v>
      </c>
      <c r="H1" t="s">
        <v>22</v>
      </c>
      <c r="I1" t="s">
        <v>22</v>
      </c>
      <c r="J1" t="s">
        <v>22</v>
      </c>
      <c r="K1" t="s">
        <v>22</v>
      </c>
      <c r="L1" t="s">
        <v>22</v>
      </c>
      <c r="M1" t="s">
        <v>22</v>
      </c>
      <c r="N1" t="s">
        <v>22</v>
      </c>
      <c r="O1" t="s">
        <v>22</v>
      </c>
      <c r="P1" t="s">
        <v>22</v>
      </c>
      <c r="Q1" t="s">
        <v>22</v>
      </c>
      <c r="R1" t="s">
        <v>22</v>
      </c>
      <c r="S1" t="s">
        <v>22</v>
      </c>
      <c r="T1" t="s">
        <v>22</v>
      </c>
      <c r="U1" t="s">
        <v>22</v>
      </c>
      <c r="V1" t="s">
        <v>22</v>
      </c>
      <c r="W1" t="s">
        <v>22</v>
      </c>
      <c r="X1" t="s">
        <v>22</v>
      </c>
      <c r="Y1" t="s">
        <v>22</v>
      </c>
      <c r="Z1" t="s">
        <v>22</v>
      </c>
      <c r="AA1" t="s">
        <v>22</v>
      </c>
    </row>
    <row r="2" spans="1:28" x14ac:dyDescent="0.2">
      <c r="B2" t="s">
        <v>158</v>
      </c>
      <c r="C2" t="s">
        <v>91</v>
      </c>
      <c r="D2" t="s">
        <v>96</v>
      </c>
      <c r="E2" t="s">
        <v>96</v>
      </c>
      <c r="F2" t="s">
        <v>96</v>
      </c>
      <c r="G2" t="s">
        <v>95</v>
      </c>
      <c r="H2" t="s">
        <v>96</v>
      </c>
      <c r="I2" t="s">
        <v>88</v>
      </c>
      <c r="J2" t="s">
        <v>92</v>
      </c>
      <c r="K2" t="s">
        <v>96</v>
      </c>
      <c r="L2" t="s">
        <v>96</v>
      </c>
      <c r="M2" t="s">
        <v>96</v>
      </c>
      <c r="N2" t="s">
        <v>96</v>
      </c>
      <c r="O2" t="s">
        <v>96</v>
      </c>
      <c r="P2" t="s">
        <v>96</v>
      </c>
      <c r="Q2" t="s">
        <v>96</v>
      </c>
      <c r="R2" t="s">
        <v>90</v>
      </c>
      <c r="S2" t="s">
        <v>89</v>
      </c>
      <c r="T2" t="s">
        <v>96</v>
      </c>
      <c r="U2" t="s">
        <v>96</v>
      </c>
      <c r="V2" t="s">
        <v>92</v>
      </c>
      <c r="W2" t="s">
        <v>93</v>
      </c>
      <c r="X2" t="s">
        <v>94</v>
      </c>
      <c r="Y2" t="s">
        <v>87</v>
      </c>
      <c r="Z2" t="s">
        <v>96</v>
      </c>
      <c r="AA2" t="s">
        <v>96</v>
      </c>
    </row>
    <row r="3" spans="1:28" x14ac:dyDescent="0.2">
      <c r="B3" t="s">
        <v>73</v>
      </c>
      <c r="F3" t="s">
        <v>75</v>
      </c>
      <c r="Q3" t="s">
        <v>77</v>
      </c>
      <c r="S3" t="s">
        <v>63</v>
      </c>
      <c r="W3" t="s">
        <v>72</v>
      </c>
      <c r="Y3" t="s">
        <v>71</v>
      </c>
    </row>
    <row r="4" spans="1:28" x14ac:dyDescent="0.2">
      <c r="B4" t="s">
        <v>59</v>
      </c>
      <c r="C4" t="s">
        <v>67</v>
      </c>
      <c r="D4" t="s">
        <v>66</v>
      </c>
      <c r="E4" t="s">
        <v>74</v>
      </c>
      <c r="F4" t="s">
        <v>135</v>
      </c>
      <c r="G4" t="s">
        <v>76</v>
      </c>
      <c r="H4" t="s">
        <v>66</v>
      </c>
      <c r="I4" t="s">
        <v>65</v>
      </c>
      <c r="J4" t="s">
        <v>60</v>
      </c>
      <c r="K4" t="s">
        <v>65</v>
      </c>
      <c r="L4" t="s">
        <v>64</v>
      </c>
      <c r="M4" t="s">
        <v>123</v>
      </c>
      <c r="N4" t="s">
        <v>64</v>
      </c>
      <c r="O4" t="s">
        <v>64</v>
      </c>
      <c r="P4" t="s">
        <v>66</v>
      </c>
      <c r="Q4" t="s">
        <v>66</v>
      </c>
      <c r="R4" t="s">
        <v>69</v>
      </c>
      <c r="S4" t="s">
        <v>64</v>
      </c>
      <c r="T4" t="s">
        <v>85</v>
      </c>
      <c r="U4" t="s">
        <v>66</v>
      </c>
      <c r="V4" t="s">
        <v>60</v>
      </c>
      <c r="W4" t="s">
        <v>68</v>
      </c>
      <c r="X4" t="s">
        <v>83</v>
      </c>
      <c r="Y4" t="s">
        <v>70</v>
      </c>
      <c r="Z4" t="s">
        <v>62</v>
      </c>
      <c r="AA4" t="s">
        <v>61</v>
      </c>
    </row>
    <row r="5" spans="1:28" x14ac:dyDescent="0.2">
      <c r="A5" t="s">
        <v>0</v>
      </c>
      <c r="B5" t="s">
        <v>14</v>
      </c>
      <c r="C5" t="s">
        <v>23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110</v>
      </c>
      <c r="L5" t="s">
        <v>111</v>
      </c>
      <c r="M5" t="s">
        <v>112</v>
      </c>
      <c r="N5" t="s">
        <v>113</v>
      </c>
      <c r="O5" t="s">
        <v>114</v>
      </c>
      <c r="P5" t="s">
        <v>32</v>
      </c>
      <c r="Q5" t="s">
        <v>33</v>
      </c>
      <c r="R5" t="s">
        <v>34</v>
      </c>
      <c r="S5" t="s">
        <v>35</v>
      </c>
      <c r="T5" t="s">
        <v>36</v>
      </c>
      <c r="U5" t="s">
        <v>49</v>
      </c>
      <c r="V5" t="s">
        <v>50</v>
      </c>
      <c r="W5" t="s">
        <v>37</v>
      </c>
      <c r="X5" t="s">
        <v>38</v>
      </c>
      <c r="Y5" t="s">
        <v>39</v>
      </c>
      <c r="Z5" t="s">
        <v>40</v>
      </c>
      <c r="AA5" t="s">
        <v>41</v>
      </c>
    </row>
    <row r="6" spans="1:28" x14ac:dyDescent="0.2">
      <c r="A6" s="21" t="s">
        <v>164</v>
      </c>
      <c r="B6" t="s">
        <v>159</v>
      </c>
      <c r="C6" s="2">
        <f>Building_MI_original_baseline!C6</f>
        <v>0.1123081338028169</v>
      </c>
      <c r="D6" s="2">
        <f>Building_MI_original_baseline!D6</f>
        <v>290.13365908450703</v>
      </c>
      <c r="E6" s="2">
        <f>Building_MI_original_baseline!E6</f>
        <v>1376.7648660647862</v>
      </c>
      <c r="F6" s="2">
        <f>Building_MI_original_baseline!F6</f>
        <v>0</v>
      </c>
      <c r="G6" s="2">
        <f>Building_MI_original_baseline!G6</f>
        <v>1.4084507042253521E-2</v>
      </c>
      <c r="H6" s="2">
        <f>Building_MI_original_baseline!H6</f>
        <v>9.3222154816901419</v>
      </c>
      <c r="I6" s="2">
        <f>Building_MI_original_baseline!I6</f>
        <v>0</v>
      </c>
      <c r="J6" s="2">
        <f>Building_MI_original_baseline!J6</f>
        <v>181.00586869013947</v>
      </c>
      <c r="K6" s="2">
        <f>Building_MI_original_baseline!K6</f>
        <v>5.0229685120985916</v>
      </c>
      <c r="L6" s="2">
        <f>Building_MI_original_baseline!L6</f>
        <v>3.6654094547746485</v>
      </c>
      <c r="M6" s="2">
        <f>Building_MI_original_baseline!M6</f>
        <v>2.9866299261126765</v>
      </c>
      <c r="N6" s="2">
        <f>Building_MI_original_baseline!N6</f>
        <v>1.086047245859155</v>
      </c>
      <c r="O6" s="2">
        <f>Building_MI_original_baseline!O6</f>
        <v>0.81453543439436626</v>
      </c>
      <c r="P6" s="2">
        <f>Building_MI_original_baseline!P6</f>
        <v>307.73567974647892</v>
      </c>
      <c r="Q6" s="2">
        <f>Building_MI_original_baseline!Q6</f>
        <v>33.736131078873242</v>
      </c>
      <c r="R6" s="2">
        <f>Building_MI_original_baseline!R6</f>
        <v>0.91964413521126764</v>
      </c>
      <c r="S6" s="2">
        <f>Building_MI_original_baseline!S6</f>
        <v>1.3289144064788729</v>
      </c>
      <c r="T6" s="2">
        <f>Building_MI_original_baseline!T6</f>
        <v>1.5227198140845066</v>
      </c>
      <c r="U6" s="2">
        <f>Building_MI_original_baseline!U6</f>
        <v>0</v>
      </c>
      <c r="V6" s="2">
        <f>Building_MI_original_baseline!V6</f>
        <v>0</v>
      </c>
      <c r="W6" s="2">
        <f>Building_MI_original_baseline!W6</f>
        <v>3.9420607408450712</v>
      </c>
      <c r="X6" s="2">
        <f>Building_MI_original_baseline!X6</f>
        <v>0</v>
      </c>
      <c r="Y6" s="2">
        <f>Building_MI_original_baseline!Y6</f>
        <v>69.751482257746474</v>
      </c>
      <c r="Z6" s="2">
        <f>Building_MI_original_baseline!Z6</f>
        <v>22.052394916901395</v>
      </c>
      <c r="AA6" s="2">
        <f>Building_MI_original_baseline!AA6</f>
        <v>25.486250845070423</v>
      </c>
      <c r="AB6" s="2"/>
    </row>
    <row r="7" spans="1:28" x14ac:dyDescent="0.2">
      <c r="B7" t="s">
        <v>160</v>
      </c>
      <c r="C7" s="2">
        <f>Building_MI_original_baseline!C7</f>
        <v>0.20712039295774648</v>
      </c>
      <c r="D7" s="2">
        <f>Building_MI_original_baseline!D7</f>
        <v>290.13365908450703</v>
      </c>
      <c r="E7" s="2">
        <f>Building_MI_original_baseline!E7</f>
        <v>1375.8505954591524</v>
      </c>
      <c r="F7" s="2">
        <f>Building_MI_original_baseline!F7</f>
        <v>0</v>
      </c>
      <c r="G7" s="2">
        <f>Building_MI_original_baseline!G7</f>
        <v>1.4084507042253521E-2</v>
      </c>
      <c r="H7" s="2">
        <f>Building_MI_original_baseline!H7</f>
        <v>31.41036341126761</v>
      </c>
      <c r="I7" s="2">
        <f>Building_MI_original_baseline!I7</f>
        <v>3.2294997704225352</v>
      </c>
      <c r="J7" s="2">
        <f>Building_MI_original_baseline!J7</f>
        <v>98.419572477464826</v>
      </c>
      <c r="K7" s="2">
        <f>Building_MI_original_baseline!K7</f>
        <v>5.1925099939154933</v>
      </c>
      <c r="L7" s="2">
        <f>Building_MI_original_baseline!L7</f>
        <v>3.7891289144788738</v>
      </c>
      <c r="M7" s="2">
        <f>Building_MI_original_baseline!M7</f>
        <v>3.0874383747605636</v>
      </c>
      <c r="N7" s="2">
        <f>Building_MI_original_baseline!N7</f>
        <v>1.122704863549296</v>
      </c>
      <c r="O7" s="2">
        <f>Building_MI_original_baseline!O7</f>
        <v>0.84202864766197183</v>
      </c>
      <c r="P7" s="2">
        <f>Building_MI_original_baseline!P7</f>
        <v>307.73567974647892</v>
      </c>
      <c r="Q7" s="2">
        <f>Building_MI_original_baseline!Q7</f>
        <v>33.736131078873242</v>
      </c>
      <c r="R7" s="2">
        <f>Building_MI_original_baseline!R7</f>
        <v>0.91964413521126764</v>
      </c>
      <c r="S7" s="2">
        <f>Building_MI_original_baseline!S7</f>
        <v>1.575594152957746</v>
      </c>
      <c r="T7" s="2">
        <f>Building_MI_original_baseline!T7</f>
        <v>1.5071151830985914</v>
      </c>
      <c r="U7" s="2">
        <f>Building_MI_original_baseline!U7</f>
        <v>0</v>
      </c>
      <c r="V7" s="2">
        <f>Building_MI_original_baseline!V7</f>
        <v>0</v>
      </c>
      <c r="W7" s="2">
        <f>Building_MI_original_baseline!W7</f>
        <v>3.945169339436621</v>
      </c>
      <c r="X7" s="2">
        <f>Building_MI_original_baseline!X7</f>
        <v>0.2419382957746479</v>
      </c>
      <c r="Y7" s="2">
        <f>Building_MI_original_baseline!Y7</f>
        <v>56.706148863380278</v>
      </c>
      <c r="Z7" s="2">
        <f>Building_MI_original_baseline!Z7</f>
        <v>22.052394916901395</v>
      </c>
      <c r="AA7" s="2">
        <f>Building_MI_original_baseline!AA7</f>
        <v>25.486250845070423</v>
      </c>
      <c r="AB7" s="2"/>
    </row>
    <row r="8" spans="1:28" x14ac:dyDescent="0.2">
      <c r="B8" t="s">
        <v>161</v>
      </c>
      <c r="C8" s="2">
        <f>(1/2)*Building_MI_original_baseline!C7+(1/2)*Building_MI_original_baseline!C8</f>
        <v>0.20054953943661974</v>
      </c>
      <c r="D8" s="2">
        <f>(1/2)*Building_MI_original_baseline!D7+(1/2)*Building_MI_original_baseline!D8</f>
        <v>203.09356135915493</v>
      </c>
      <c r="E8" s="2">
        <f>(1/2)*Building_MI_original_baseline!E7+(1/2)*Building_MI_original_baseline!E8</f>
        <v>1343.3323362725328</v>
      </c>
      <c r="F8" s="2">
        <f>(1/2)*Building_MI_original_baseline!F7+(1/2)*Building_MI_original_baseline!F8</f>
        <v>0.11593369718309859</v>
      </c>
      <c r="G8" s="2">
        <f>(1/2)*Building_MI_original_baseline!G7+(1/2)*Building_MI_original_baseline!G8</f>
        <v>1.4084507042253521E-2</v>
      </c>
      <c r="H8" s="2">
        <f>(1/2)*Building_MI_original_baseline!H7+(1/2)*Building_MI_original_baseline!H8</f>
        <v>31.41036341126761</v>
      </c>
      <c r="I8" s="2">
        <f>(1/2)*Building_MI_original_baseline!I7+(1/2)*Building_MI_original_baseline!I8</f>
        <v>4.8442496549295768</v>
      </c>
      <c r="J8" s="2">
        <f>(1/2)*Building_MI_original_baseline!J7+(1/2)*Building_MI_original_baseline!J8</f>
        <v>61.771561314788755</v>
      </c>
      <c r="K8" s="2">
        <f>(1/2)*Building_MI_original_baseline!K7+(1/2)*Building_MI_original_baseline!K8</f>
        <v>5.3051271458802791</v>
      </c>
      <c r="L8" s="2">
        <f>(1/2)*Building_MI_original_baseline!L7+(1/2)*Building_MI_original_baseline!L8</f>
        <v>3.8713089983450688</v>
      </c>
      <c r="M8" s="2">
        <f>(1/2)*Building_MI_original_baseline!M7+(1/2)*Building_MI_original_baseline!M8</f>
        <v>3.1543999245774632</v>
      </c>
      <c r="N8" s="2">
        <f>(1/2)*Building_MI_original_baseline!N7+(1/2)*Building_MI_original_baseline!N8</f>
        <v>1.1470545180281686</v>
      </c>
      <c r="O8" s="2">
        <f>(1/2)*Building_MI_original_baseline!O7+(1/2)*Building_MI_original_baseline!O8</f>
        <v>0.86029088852112623</v>
      </c>
      <c r="P8" s="2">
        <f>(1/2)*Building_MI_original_baseline!P7+(1/2)*Building_MI_original_baseline!P8</f>
        <v>481.55970531690008</v>
      </c>
      <c r="Q8" s="2">
        <f>(1/2)*Building_MI_original_baseline!Q7+(1/2)*Building_MI_original_baseline!Q8</f>
        <v>18.041966085915494</v>
      </c>
      <c r="R8" s="2">
        <f>(1/2)*Building_MI_original_baseline!R7+(1/2)*Building_MI_original_baseline!R8</f>
        <v>0.91964413521126764</v>
      </c>
      <c r="S8" s="2">
        <f>(1/2)*Building_MI_original_baseline!S7+(1/2)*Building_MI_original_baseline!S8</f>
        <v>1.6860721529577458</v>
      </c>
      <c r="T8" s="2">
        <f>(1/2)*Building_MI_original_baseline!T7+(1/2)*Building_MI_original_baseline!T8</f>
        <v>1.4899587485915491</v>
      </c>
      <c r="U8" s="2">
        <f>(1/2)*Building_MI_original_baseline!U7+(1/2)*Building_MI_original_baseline!U8</f>
        <v>0</v>
      </c>
      <c r="V8" s="2">
        <f>(1/2)*Building_MI_original_baseline!V7+(1/2)*Building_MI_original_baseline!V8</f>
        <v>0</v>
      </c>
      <c r="W8" s="2">
        <f>(1/2)*Building_MI_original_baseline!W7+(1/2)*Building_MI_original_baseline!W8</f>
        <v>3.945169339436621</v>
      </c>
      <c r="X8" s="2">
        <f>(1/2)*Building_MI_original_baseline!X7+(1/2)*Building_MI_original_baseline!X8</f>
        <v>0.2419382957746479</v>
      </c>
      <c r="Y8" s="2">
        <f>(1/2)*Building_MI_original_baseline!Y7+(1/2)*Building_MI_original_baseline!Y8</f>
        <v>50.453034778873231</v>
      </c>
      <c r="Z8" s="2">
        <f>(1/2)*Building_MI_original_baseline!Z7+(1/2)*Building_MI_original_baseline!Z8</f>
        <v>22.617621195070409</v>
      </c>
      <c r="AA8" s="2">
        <f>(1/2)*Building_MI_original_baseline!AA7+(1/2)*Building_MI_original_baseline!AA8</f>
        <v>25.486250845070423</v>
      </c>
      <c r="AB8" s="2"/>
    </row>
    <row r="9" spans="1:28" x14ac:dyDescent="0.2">
      <c r="B9" t="s">
        <v>162</v>
      </c>
      <c r="C9" s="2">
        <f>Building_MI_original_baseline!C8</f>
        <v>0.19397868591549297</v>
      </c>
      <c r="D9" s="2">
        <f>Building_MI_original_baseline!D8</f>
        <v>116.05346363380282</v>
      </c>
      <c r="E9" s="2">
        <f>Building_MI_original_baseline!E8</f>
        <v>1310.8140770859129</v>
      </c>
      <c r="F9" s="2">
        <f>Building_MI_original_baseline!F8</f>
        <v>0.23186739436619719</v>
      </c>
      <c r="G9" s="2">
        <f>Building_MI_original_baseline!G8</f>
        <v>1.4084507042253521E-2</v>
      </c>
      <c r="H9" s="2">
        <f>Building_MI_original_baseline!H8</f>
        <v>31.41036341126761</v>
      </c>
      <c r="I9" s="2">
        <f>Building_MI_original_baseline!I8</f>
        <v>6.4589995394366193</v>
      </c>
      <c r="J9" s="2">
        <f>Building_MI_original_baseline!J8</f>
        <v>25.123550152112678</v>
      </c>
      <c r="K9" s="2">
        <f>Building_MI_original_baseline!K8</f>
        <v>5.4177442978450649</v>
      </c>
      <c r="L9" s="2">
        <f>Building_MI_original_baseline!L8</f>
        <v>3.9534890822112638</v>
      </c>
      <c r="M9" s="2">
        <f>Building_MI_original_baseline!M8</f>
        <v>3.2213614743943628</v>
      </c>
      <c r="N9" s="2">
        <f>Building_MI_original_baseline!N8</f>
        <v>1.171404172507041</v>
      </c>
      <c r="O9" s="2">
        <f>Building_MI_original_baseline!O8</f>
        <v>0.87855312938028074</v>
      </c>
      <c r="P9" s="2">
        <f>Building_MI_original_baseline!P8</f>
        <v>655.38373088732124</v>
      </c>
      <c r="Q9" s="2">
        <f>Building_MI_original_baseline!Q8</f>
        <v>2.3478010929577464</v>
      </c>
      <c r="R9" s="2">
        <f>Building_MI_original_baseline!R8</f>
        <v>0.91964413521126764</v>
      </c>
      <c r="S9" s="2">
        <f>Building_MI_original_baseline!S8</f>
        <v>1.7965501529577459</v>
      </c>
      <c r="T9" s="2">
        <f>Building_MI_original_baseline!T8</f>
        <v>1.4728023140845068</v>
      </c>
      <c r="U9" s="2">
        <f>Building_MI_original_baseline!U8</f>
        <v>0</v>
      </c>
      <c r="V9" s="2">
        <f>Building_MI_original_baseline!V8</f>
        <v>0</v>
      </c>
      <c r="W9" s="2">
        <f>Building_MI_original_baseline!W8</f>
        <v>3.945169339436621</v>
      </c>
      <c r="X9" s="2">
        <f>Building_MI_original_baseline!X8</f>
        <v>0.2419382957746479</v>
      </c>
      <c r="Y9" s="2">
        <f>Building_MI_original_baseline!Y8</f>
        <v>44.199920694366185</v>
      </c>
      <c r="Z9" s="2">
        <f>Building_MI_original_baseline!Z8</f>
        <v>23.182847473239423</v>
      </c>
      <c r="AA9" s="2">
        <f>Building_MI_original_baseline!AA8</f>
        <v>25.486250845070423</v>
      </c>
      <c r="AB9" s="2"/>
    </row>
    <row r="10" spans="1:28" x14ac:dyDescent="0.2">
      <c r="B10" t="s">
        <v>163</v>
      </c>
      <c r="C10" s="2">
        <f>(8/13)*Building_MI_original_baseline!C8+(5/13)*Building_MI_original_baseline!C9</f>
        <v>0.19397868591549297</v>
      </c>
      <c r="D10" s="2">
        <f>(8/13)*Building_MI_original_baseline!D8+(5/13)*Building_MI_original_baseline!D9</f>
        <v>116.05346363380283</v>
      </c>
      <c r="E10" s="2">
        <f>(8/13)*Building_MI_original_baseline!E8+(5/13)*Building_MI_original_baseline!E9</f>
        <v>1310.8140770859131</v>
      </c>
      <c r="F10" s="2">
        <f>(8/13)*Building_MI_original_baseline!F8+(5/13)*Building_MI_original_baseline!F9</f>
        <v>0.23186739436619719</v>
      </c>
      <c r="G10" s="2">
        <f>(8/13)*Building_MI_original_baseline!G8+(5/13)*Building_MI_original_baseline!G9</f>
        <v>1.4084507042253523E-2</v>
      </c>
      <c r="H10" s="2">
        <f>(8/13)*Building_MI_original_baseline!H8+(5/13)*Building_MI_original_baseline!H9</f>
        <v>31.41036341126761</v>
      </c>
      <c r="I10" s="2">
        <f>(8/13)*Building_MI_original_baseline!I8+(5/13)*Building_MI_original_baseline!I9</f>
        <v>6.4589995394366202</v>
      </c>
      <c r="J10" s="2">
        <f>(8/13)*Building_MI_original_baseline!J8+(5/13)*Building_MI_original_baseline!J9</f>
        <v>29.187577170530879</v>
      </c>
      <c r="K10" s="2">
        <f>(8/13)*Building_MI_original_baseline!K8+(5/13)*Building_MI_original_baseline!K9</f>
        <v>5.6812744136901401</v>
      </c>
      <c r="L10" s="2">
        <f>(8/13)*Building_MI_original_baseline!L8+(5/13)*Building_MI_original_baseline!L9</f>
        <v>4.1457948424225348</v>
      </c>
      <c r="M10" s="2">
        <f>(8/13)*Building_MI_original_baseline!M8+(5/13)*Building_MI_original_baseline!M9</f>
        <v>3.3780550567887317</v>
      </c>
      <c r="N10" s="2">
        <f>(8/13)*Building_MI_original_baseline!N8+(5/13)*Building_MI_original_baseline!N9</f>
        <v>1.2283836570140843</v>
      </c>
      <c r="O10" s="2">
        <f>(8/13)*Building_MI_original_baseline!O8+(5/13)*Building_MI_original_baseline!O9</f>
        <v>0.92128774276056324</v>
      </c>
      <c r="P10" s="2">
        <f>(8/13)*Building_MI_original_baseline!P8+(5/13)*Building_MI_original_baseline!P9</f>
        <v>655.38373088732124</v>
      </c>
      <c r="Q10" s="2">
        <f>(8/13)*Building_MI_original_baseline!Q8+(5/13)*Building_MI_original_baseline!Q9</f>
        <v>2.3478010929577464</v>
      </c>
      <c r="R10" s="2">
        <f>(8/13)*Building_MI_original_baseline!R8+(5/13)*Building_MI_original_baseline!R9</f>
        <v>0.91964413521126775</v>
      </c>
      <c r="S10" s="2">
        <f>(8/13)*Building_MI_original_baseline!S8+(5/13)*Building_MI_original_baseline!S9</f>
        <v>1.7965501529577459</v>
      </c>
      <c r="T10" s="2">
        <f>(8/13)*Building_MI_original_baseline!T8+(5/13)*Building_MI_original_baseline!T9</f>
        <v>1.5027603070422533</v>
      </c>
      <c r="U10" s="2">
        <f>(8/13)*Building_MI_original_baseline!U8+(5/13)*Building_MI_original_baseline!U9</f>
        <v>0</v>
      </c>
      <c r="V10" s="2">
        <f>(8/13)*Building_MI_original_baseline!V8+(5/13)*Building_MI_original_baseline!V9</f>
        <v>0</v>
      </c>
      <c r="W10" s="2">
        <f>(8/13)*Building_MI_original_baseline!W8+(5/13)*Building_MI_original_baseline!W9</f>
        <v>3.9451693394366214</v>
      </c>
      <c r="X10" s="2">
        <f>(8/13)*Building_MI_original_baseline!X8+(5/13)*Building_MI_original_baseline!X9</f>
        <v>0.24193829577464793</v>
      </c>
      <c r="Y10" s="2">
        <f>(8/13)*Building_MI_original_baseline!Y8+(5/13)*Building_MI_original_baseline!Y9</f>
        <v>44.194766927302268</v>
      </c>
      <c r="Z10" s="2">
        <f>(8/13)*Building_MI_original_baseline!Z8+(5/13)*Building_MI_original_baseline!Z9</f>
        <v>23.182847473239427</v>
      </c>
      <c r="AA10" s="2">
        <f>(8/13)*Building_MI_original_baseline!AA8+(5/13)*Building_MI_original_baseline!AA9</f>
        <v>25.486250845070423</v>
      </c>
      <c r="AB10" s="2"/>
    </row>
    <row r="11" spans="1:28" x14ac:dyDescent="0.2">
      <c r="B11" t="s">
        <v>156</v>
      </c>
      <c r="C11" s="2">
        <f>Building_MI_original_baseline!C9</f>
        <v>0.19397868591549297</v>
      </c>
      <c r="D11" s="2">
        <f>Building_MI_original_baseline!D9</f>
        <v>116.05346363380282</v>
      </c>
      <c r="E11" s="2">
        <f>Building_MI_original_baseline!E9</f>
        <v>1310.8140770859129</v>
      </c>
      <c r="F11" s="2">
        <f>Building_MI_original_baseline!F9</f>
        <v>0.23186739436619719</v>
      </c>
      <c r="G11" s="2">
        <f>Building_MI_original_baseline!G9</f>
        <v>1.4084507042253521E-2</v>
      </c>
      <c r="H11" s="2">
        <f>Building_MI_original_baseline!H9</f>
        <v>31.41036341126761</v>
      </c>
      <c r="I11" s="2">
        <f>Building_MI_original_baseline!I9</f>
        <v>6.4589995394366193</v>
      </c>
      <c r="J11" s="2">
        <f>Building_MI_original_baseline!J9</f>
        <v>35.690020400000002</v>
      </c>
      <c r="K11" s="2">
        <f>Building_MI_original_baseline!K9</f>
        <v>6.1029225990422589</v>
      </c>
      <c r="L11" s="2">
        <f>Building_MI_original_baseline!L9</f>
        <v>4.4534840587605675</v>
      </c>
      <c r="M11" s="2">
        <f>Building_MI_original_baseline!M9</f>
        <v>3.6287647886197218</v>
      </c>
      <c r="N11" s="2">
        <f>Building_MI_original_baseline!N9</f>
        <v>1.3195508322253533</v>
      </c>
      <c r="O11" s="2">
        <f>Building_MI_original_baseline!O9</f>
        <v>0.98966312416901503</v>
      </c>
      <c r="P11" s="2">
        <f>Building_MI_original_baseline!P9</f>
        <v>655.38373088732124</v>
      </c>
      <c r="Q11" s="2">
        <f>Building_MI_original_baseline!Q9</f>
        <v>2.3478010929577464</v>
      </c>
      <c r="R11" s="2">
        <f>Building_MI_original_baseline!R9</f>
        <v>0.91964413521126764</v>
      </c>
      <c r="S11" s="2">
        <f>Building_MI_original_baseline!S9</f>
        <v>1.7965501529577459</v>
      </c>
      <c r="T11" s="2">
        <f>Building_MI_original_baseline!T9</f>
        <v>1.5506930957746479</v>
      </c>
      <c r="U11" s="2">
        <f>Building_MI_original_baseline!U9</f>
        <v>0</v>
      </c>
      <c r="V11" s="2">
        <f>Building_MI_original_baseline!V9</f>
        <v>0</v>
      </c>
      <c r="W11" s="2">
        <f>Building_MI_original_baseline!W9</f>
        <v>3.945169339436621</v>
      </c>
      <c r="X11" s="2">
        <f>Building_MI_original_baseline!X9</f>
        <v>0.2419382957746479</v>
      </c>
      <c r="Y11" s="2">
        <f>Building_MI_original_baseline!Y9</f>
        <v>44.186520899999984</v>
      </c>
      <c r="Z11" s="2">
        <f>Building_MI_original_baseline!Z9</f>
        <v>23.182847473239423</v>
      </c>
      <c r="AA11" s="2">
        <f>Building_MI_original_baseline!AA9</f>
        <v>25.486250845070423</v>
      </c>
      <c r="AB11" s="2"/>
    </row>
    <row r="12" spans="1:28" x14ac:dyDescent="0.2">
      <c r="B12" t="s">
        <v>21</v>
      </c>
      <c r="C12" s="2">
        <f>Building_MI_original_baseline!C10</f>
        <v>1.8059701492537312</v>
      </c>
      <c r="D12" s="2">
        <f>Building_MI_original_baseline!D10</f>
        <v>218.41791044776119</v>
      </c>
      <c r="E12" s="2">
        <f>Building_MI_original_baseline!E10</f>
        <v>1190.3880597014925</v>
      </c>
      <c r="F12" s="2">
        <f>Building_MI_original_baseline!F10</f>
        <v>0.10447761194029852</v>
      </c>
      <c r="G12" s="2">
        <f>Building_MI_original_baseline!G10</f>
        <v>0.62686567164179097</v>
      </c>
      <c r="H12" s="2">
        <f>Building_MI_original_baseline!H10</f>
        <v>15.820895522388058</v>
      </c>
      <c r="I12" s="2">
        <f>Building_MI_original_baseline!I10</f>
        <v>11.134328358208954</v>
      </c>
      <c r="J12" s="2">
        <f>Building_MI_original_baseline!J10</f>
        <v>34.328358208955223</v>
      </c>
      <c r="K12" s="2">
        <f>Building_MI_original_baseline!K10</f>
        <v>12.61865671641791</v>
      </c>
      <c r="L12" s="2">
        <f>Building_MI_original_baseline!L10</f>
        <v>9.2082089552238813</v>
      </c>
      <c r="M12" s="2">
        <f>Building_MI_original_baseline!M10</f>
        <v>7.5029850746268654</v>
      </c>
      <c r="N12" s="2">
        <f>Building_MI_original_baseline!N10</f>
        <v>2.7283582089552239</v>
      </c>
      <c r="O12" s="2">
        <f>Building_MI_original_baseline!O10</f>
        <v>2.0462686567164177</v>
      </c>
      <c r="P12" s="2">
        <f>Building_MI_original_baseline!P10</f>
        <v>0</v>
      </c>
      <c r="Q12" s="2">
        <f>Building_MI_original_baseline!Q10</f>
        <v>5.3582089552238799</v>
      </c>
      <c r="R12" s="2">
        <f>Building_MI_original_baseline!R10</f>
        <v>0.47761194029850745</v>
      </c>
      <c r="S12" s="2">
        <f>Building_MI_original_baseline!S10</f>
        <v>2.4029850746268657</v>
      </c>
      <c r="T12" s="2">
        <f>Building_MI_original_baseline!T10</f>
        <v>0.9253731343283581</v>
      </c>
      <c r="U12" s="2">
        <f>Building_MI_original_baseline!U10</f>
        <v>82.910447761194021</v>
      </c>
      <c r="V12" s="2">
        <f>Building_MI_original_baseline!V10</f>
        <v>0</v>
      </c>
      <c r="W12" s="2">
        <f>Building_MI_original_baseline!W10</f>
        <v>0.11940298507462686</v>
      </c>
      <c r="X12" s="2">
        <f>Building_MI_original_baseline!X10</f>
        <v>1.3731343283582089</v>
      </c>
      <c r="Y12" s="2">
        <f>Building_MI_original_baseline!Y10</f>
        <v>25.686567164179102</v>
      </c>
      <c r="Z12" s="2">
        <f>Building_MI_original_baseline!Z10</f>
        <v>4.4776119402985072E-2</v>
      </c>
      <c r="AA12" s="2">
        <f>Building_MI_original_baseline!AA10</f>
        <v>99.507462686567166</v>
      </c>
      <c r="AB12" s="2"/>
    </row>
    <row r="13" spans="1:28" x14ac:dyDescent="0.2">
      <c r="A13" s="21" t="s">
        <v>165</v>
      </c>
      <c r="B13" t="s">
        <v>159</v>
      </c>
      <c r="C13" s="2">
        <f>Building_MI_original_baseline!C11</f>
        <v>0.18886813098591554</v>
      </c>
      <c r="D13" s="2">
        <f>Building_MI_original_baseline!D11</f>
        <v>322.16941545070426</v>
      </c>
      <c r="E13" s="2">
        <f>Building_MI_original_baseline!E11</f>
        <v>1388.6241446239421</v>
      </c>
      <c r="F13" s="2">
        <f>Building_MI_original_baseline!F11</f>
        <v>0</v>
      </c>
      <c r="G13" s="2">
        <f>Building_MI_original_baseline!G11</f>
        <v>7.0422535211267607E-3</v>
      </c>
      <c r="H13" s="2">
        <f>Building_MI_original_baseline!H11</f>
        <v>10.021588338028154</v>
      </c>
      <c r="I13" s="2">
        <f>Building_MI_original_baseline!I11</f>
        <v>0.18055071267605635</v>
      </c>
      <c r="J13" s="2">
        <f>Building_MI_original_baseline!J11</f>
        <v>88.17859265915493</v>
      </c>
      <c r="K13" s="2">
        <f>Building_MI_original_baseline!K11</f>
        <v>5.3200696925492945</v>
      </c>
      <c r="L13" s="2">
        <f>Building_MI_original_baseline!L11</f>
        <v>3.8822130188873234</v>
      </c>
      <c r="M13" s="2">
        <f>Building_MI_original_baseline!M11</f>
        <v>3.1632846820563376</v>
      </c>
      <c r="N13" s="2">
        <f>Building_MI_original_baseline!N11</f>
        <v>1.1502853389295773</v>
      </c>
      <c r="O13" s="2">
        <f>Building_MI_original_baseline!O11</f>
        <v>0.86271400419718292</v>
      </c>
      <c r="P13" s="2">
        <f>Building_MI_original_baseline!P11</f>
        <v>327.72170992957751</v>
      </c>
      <c r="Q13" s="2">
        <f>Building_MI_original_baseline!Q11</f>
        <v>3.3205046464788595</v>
      </c>
      <c r="R13" s="2">
        <f>Building_MI_original_baseline!R11</f>
        <v>0.84813828732394358</v>
      </c>
      <c r="S13" s="2">
        <f>Building_MI_original_baseline!S11</f>
        <v>1.2349096312676042</v>
      </c>
      <c r="T13" s="2">
        <f>Building_MI_original_baseline!T11</f>
        <v>1.6288591619718307</v>
      </c>
      <c r="U13" s="2">
        <f>Building_MI_original_baseline!U11</f>
        <v>0</v>
      </c>
      <c r="V13" s="2">
        <f>Building_MI_original_baseline!V11</f>
        <v>0</v>
      </c>
      <c r="W13" s="2">
        <f>Building_MI_original_baseline!W11</f>
        <v>1.3351705873239421</v>
      </c>
      <c r="X13" s="2">
        <f>Building_MI_original_baseline!X11</f>
        <v>0</v>
      </c>
      <c r="Y13" s="2">
        <f>Building_MI_original_baseline!Y11</f>
        <v>59.321162621126753</v>
      </c>
      <c r="Z13" s="2">
        <f>Building_MI_original_baseline!Z11</f>
        <v>0.47078741830985782</v>
      </c>
      <c r="AA13" s="2">
        <f>Building_MI_original_baseline!AA11</f>
        <v>20.141574830985917</v>
      </c>
      <c r="AB13" s="2"/>
    </row>
    <row r="14" spans="1:28" x14ac:dyDescent="0.2">
      <c r="B14" t="s">
        <v>160</v>
      </c>
      <c r="C14" s="2">
        <f>Building_MI_original_baseline!C12</f>
        <v>0.2876202295774648</v>
      </c>
      <c r="D14" s="2">
        <f>Building_MI_original_baseline!D12</f>
        <v>322.16941545070426</v>
      </c>
      <c r="E14" s="2">
        <f>Building_MI_original_baseline!E12</f>
        <v>1508.265099229576</v>
      </c>
      <c r="F14" s="2">
        <f>Building_MI_original_baseline!F12</f>
        <v>0</v>
      </c>
      <c r="G14" s="2">
        <f>Building_MI_original_baseline!G12</f>
        <v>7.0422535211267607E-3</v>
      </c>
      <c r="H14" s="2">
        <f>Building_MI_original_baseline!H12</f>
        <v>46.677546563380261</v>
      </c>
      <c r="I14" s="2">
        <f>Building_MI_original_baseline!I12</f>
        <v>2.4917772253521133</v>
      </c>
      <c r="J14" s="2">
        <f>Building_MI_original_baseline!J12</f>
        <v>52.5479935169014</v>
      </c>
      <c r="K14" s="2">
        <f>Building_MI_original_baseline!K12</f>
        <v>5.5080911474647882</v>
      </c>
      <c r="L14" s="2">
        <f>Building_MI_original_baseline!L12</f>
        <v>4.0194178643661971</v>
      </c>
      <c r="M14" s="2">
        <f>Building_MI_original_baseline!M12</f>
        <v>3.2750812228169011</v>
      </c>
      <c r="N14" s="2">
        <f>Building_MI_original_baseline!N12</f>
        <v>1.1909386264788731</v>
      </c>
      <c r="O14" s="2">
        <f>Building_MI_original_baseline!O12</f>
        <v>0.89320396985915473</v>
      </c>
      <c r="P14" s="2">
        <f>Building_MI_original_baseline!P12</f>
        <v>327.72170992957751</v>
      </c>
      <c r="Q14" s="2">
        <f>Building_MI_original_baseline!Q12</f>
        <v>3.3205046464788595</v>
      </c>
      <c r="R14" s="2">
        <f>Building_MI_original_baseline!R12</f>
        <v>0.84813828732394358</v>
      </c>
      <c r="S14" s="2">
        <f>Building_MI_original_baseline!S12</f>
        <v>1.5494636326760549</v>
      </c>
      <c r="T14" s="2">
        <f>Building_MI_original_baseline!T12</f>
        <v>1.7200033676056337</v>
      </c>
      <c r="U14" s="2">
        <f>Building_MI_original_baseline!U12</f>
        <v>0</v>
      </c>
      <c r="V14" s="2">
        <f>Building_MI_original_baseline!V12</f>
        <v>0</v>
      </c>
      <c r="W14" s="2">
        <f>Building_MI_original_baseline!W12</f>
        <v>1.3770228845070407</v>
      </c>
      <c r="X14" s="2">
        <f>Building_MI_original_baseline!X12</f>
        <v>0.36854849295774644</v>
      </c>
      <c r="Y14" s="2">
        <f>Building_MI_original_baseline!Y12</f>
        <v>61.458932929577458</v>
      </c>
      <c r="Z14" s="2">
        <f>Building_MI_original_baseline!Z12</f>
        <v>0.47078741830985782</v>
      </c>
      <c r="AA14" s="2">
        <f>Building_MI_original_baseline!AA12</f>
        <v>20.141574830985917</v>
      </c>
      <c r="AB14" s="2"/>
    </row>
    <row r="15" spans="1:28" x14ac:dyDescent="0.2">
      <c r="B15" t="s">
        <v>161</v>
      </c>
      <c r="C15" s="2">
        <f>(1/2)*Building_MI_original_baseline!C12+(1/2)*Building_MI_original_baseline!C13</f>
        <v>0.27010362746478878</v>
      </c>
      <c r="D15" s="2">
        <f>(1/2)*Building_MI_original_baseline!D12+(1/2)*Building_MI_original_baseline!D13</f>
        <v>225.51859081690142</v>
      </c>
      <c r="E15" s="2">
        <f>(1/2)*Building_MI_original_baseline!E12+(1/2)*Building_MI_original_baseline!E13</f>
        <v>1549.0926430154914</v>
      </c>
      <c r="F15" s="2">
        <f>(1/2)*Building_MI_original_baseline!F12+(1/2)*Building_MI_original_baseline!F13</f>
        <v>0</v>
      </c>
      <c r="G15" s="2">
        <f>(1/2)*Building_MI_original_baseline!G12+(1/2)*Building_MI_original_baseline!G13</f>
        <v>7.0422535211267607E-3</v>
      </c>
      <c r="H15" s="2">
        <f>(1/2)*Building_MI_original_baseline!H12+(1/2)*Building_MI_original_baseline!H13</f>
        <v>46.677546563380261</v>
      </c>
      <c r="I15" s="2">
        <f>(1/2)*Building_MI_original_baseline!I12+(1/2)*Building_MI_original_baseline!I13</f>
        <v>3.6473904816901408</v>
      </c>
      <c r="J15" s="2">
        <f>(1/2)*Building_MI_original_baseline!J12+(1/2)*Building_MI_original_baseline!J13</f>
        <v>40.568142797887319</v>
      </c>
      <c r="K15" s="2">
        <f>(1/2)*Building_MI_original_baseline!K12+(1/2)*Building_MI_original_baseline!K13</f>
        <v>5.6028457630492952</v>
      </c>
      <c r="L15" s="2">
        <f>(1/2)*Building_MI_original_baseline!L12+(1/2)*Building_MI_original_baseline!L13</f>
        <v>4.0885631243873242</v>
      </c>
      <c r="M15" s="2">
        <f>(1/2)*Building_MI_original_baseline!M12+(1/2)*Building_MI_original_baseline!M13</f>
        <v>3.3314218050563378</v>
      </c>
      <c r="N15" s="2">
        <f>(1/2)*Building_MI_original_baseline!N12+(1/2)*Building_MI_original_baseline!N13</f>
        <v>1.2114261109295774</v>
      </c>
      <c r="O15" s="2">
        <f>(1/2)*Building_MI_original_baseline!O12+(1/2)*Building_MI_original_baseline!O13</f>
        <v>0.90856958319718295</v>
      </c>
      <c r="P15" s="2">
        <f>(1/2)*Building_MI_original_baseline!P12+(1/2)*Building_MI_original_baseline!P13</f>
        <v>528.12196566901412</v>
      </c>
      <c r="Q15" s="2">
        <f>(1/2)*Building_MI_original_baseline!Q12+(1/2)*Building_MI_original_baseline!Q13</f>
        <v>3.3205046464788595</v>
      </c>
      <c r="R15" s="2">
        <f>(1/2)*Building_MI_original_baseline!R12+(1/2)*Building_MI_original_baseline!R13</f>
        <v>0.84813828732394358</v>
      </c>
      <c r="S15" s="2">
        <f>(1/2)*Building_MI_original_baseline!S12+(1/2)*Building_MI_original_baseline!S13</f>
        <v>1.6769674685915477</v>
      </c>
      <c r="T15" s="2">
        <f>(1/2)*Building_MI_original_baseline!T12+(1/2)*Building_MI_original_baseline!T13</f>
        <v>1.7268795647887323</v>
      </c>
      <c r="U15" s="2">
        <f>(1/2)*Building_MI_original_baseline!U12+(1/2)*Building_MI_original_baseline!U13</f>
        <v>0</v>
      </c>
      <c r="V15" s="2">
        <f>(1/2)*Building_MI_original_baseline!V12+(1/2)*Building_MI_original_baseline!V13</f>
        <v>0</v>
      </c>
      <c r="W15" s="2">
        <f>(1/2)*Building_MI_original_baseline!W12+(1/2)*Building_MI_original_baseline!W13</f>
        <v>1.3770228845070407</v>
      </c>
      <c r="X15" s="2">
        <f>(1/2)*Building_MI_original_baseline!X12+(1/2)*Building_MI_original_baseline!X13</f>
        <v>0.36854849295774644</v>
      </c>
      <c r="Y15" s="2">
        <f>(1/2)*Building_MI_original_baseline!Y12+(1/2)*Building_MI_original_baseline!Y13</f>
        <v>62.392253333098587</v>
      </c>
      <c r="Z15" s="2">
        <f>(1/2)*Building_MI_original_baseline!Z12+(1/2)*Building_MI_original_baseline!Z13</f>
        <v>0.8856266260563368</v>
      </c>
      <c r="AA15" s="2">
        <f>(1/2)*Building_MI_original_baseline!AA12+(1/2)*Building_MI_original_baseline!AA13</f>
        <v>20.141574830985917</v>
      </c>
      <c r="AB15" s="2"/>
    </row>
    <row r="16" spans="1:28" x14ac:dyDescent="0.2">
      <c r="B16" t="s">
        <v>162</v>
      </c>
      <c r="C16" s="2">
        <f>Building_MI_original_baseline!C13</f>
        <v>0.25258702535211269</v>
      </c>
      <c r="D16" s="2">
        <f>Building_MI_original_baseline!D13</f>
        <v>128.86776618309858</v>
      </c>
      <c r="E16" s="2">
        <f>Building_MI_original_baseline!E13</f>
        <v>1589.920186801407</v>
      </c>
      <c r="F16" s="2">
        <f>Building_MI_original_baseline!F13</f>
        <v>0</v>
      </c>
      <c r="G16" s="2">
        <f>Building_MI_original_baseline!G13</f>
        <v>7.0422535211267607E-3</v>
      </c>
      <c r="H16" s="2">
        <f>Building_MI_original_baseline!H13</f>
        <v>46.677546563380261</v>
      </c>
      <c r="I16" s="2">
        <f>Building_MI_original_baseline!I13</f>
        <v>4.8030037380281687</v>
      </c>
      <c r="J16" s="2">
        <f>Building_MI_original_baseline!J13</f>
        <v>28.588292078873238</v>
      </c>
      <c r="K16" s="2">
        <f>Building_MI_original_baseline!K13</f>
        <v>5.6976003786338021</v>
      </c>
      <c r="L16" s="2">
        <f>Building_MI_original_baseline!L13</f>
        <v>4.1577083844084504</v>
      </c>
      <c r="M16" s="2">
        <f>Building_MI_original_baseline!M13</f>
        <v>3.3877623872957741</v>
      </c>
      <c r="N16" s="2">
        <f>Building_MI_original_baseline!N13</f>
        <v>1.2319135953802816</v>
      </c>
      <c r="O16" s="2">
        <f>Building_MI_original_baseline!O13</f>
        <v>0.92393519653521106</v>
      </c>
      <c r="P16" s="2">
        <f>Building_MI_original_baseline!P13</f>
        <v>728.52222140845072</v>
      </c>
      <c r="Q16" s="2">
        <f>Building_MI_original_baseline!Q13</f>
        <v>3.3205046464788595</v>
      </c>
      <c r="R16" s="2">
        <f>Building_MI_original_baseline!R13</f>
        <v>0.84813828732394358</v>
      </c>
      <c r="S16" s="2">
        <f>Building_MI_original_baseline!S13</f>
        <v>1.8044713045070404</v>
      </c>
      <c r="T16" s="2">
        <f>Building_MI_original_baseline!T13</f>
        <v>1.7337557619718309</v>
      </c>
      <c r="U16" s="2">
        <f>Building_MI_original_baseline!U13</f>
        <v>0</v>
      </c>
      <c r="V16" s="2">
        <f>Building_MI_original_baseline!V13</f>
        <v>0</v>
      </c>
      <c r="W16" s="2">
        <f>Building_MI_original_baseline!W13</f>
        <v>1.3770228845070407</v>
      </c>
      <c r="X16" s="2">
        <f>Building_MI_original_baseline!X13</f>
        <v>0.36854849295774644</v>
      </c>
      <c r="Y16" s="2">
        <f>Building_MI_original_baseline!Y13</f>
        <v>63.325573736619717</v>
      </c>
      <c r="Z16" s="2">
        <f>Building_MI_original_baseline!Z13</f>
        <v>1.3004658338028157</v>
      </c>
      <c r="AA16" s="2">
        <f>Building_MI_original_baseline!AA13</f>
        <v>20.141574830985917</v>
      </c>
      <c r="AB16" s="2"/>
    </row>
    <row r="17" spans="1:28" x14ac:dyDescent="0.2">
      <c r="B17" t="s">
        <v>163</v>
      </c>
      <c r="C17" s="2">
        <f>(8/13)*Building_MI_original_baseline!C13+(5/13)*Building_MI_original_baseline!C14</f>
        <v>0.25258702535211269</v>
      </c>
      <c r="D17" s="2">
        <f>(8/13)*Building_MI_original_baseline!D13+(5/13)*Building_MI_original_baseline!D14</f>
        <v>128.86776618309858</v>
      </c>
      <c r="E17" s="2">
        <f>(8/13)*Building_MI_original_baseline!E13+(5/13)*Building_MI_original_baseline!E14</f>
        <v>1589.920186801407</v>
      </c>
      <c r="F17" s="2">
        <f>(8/13)*Building_MI_original_baseline!F13+(5/13)*Building_MI_original_baseline!F14</f>
        <v>0</v>
      </c>
      <c r="G17" s="2">
        <f>(8/13)*Building_MI_original_baseline!G13+(5/13)*Building_MI_original_baseline!G14</f>
        <v>7.0422535211267616E-3</v>
      </c>
      <c r="H17" s="2">
        <f>(8/13)*Building_MI_original_baseline!H13+(5/13)*Building_MI_original_baseline!H14</f>
        <v>46.677546563380261</v>
      </c>
      <c r="I17" s="2">
        <f>(8/13)*Building_MI_original_baseline!I13+(5/13)*Building_MI_original_baseline!I14</f>
        <v>4.8030037380281687</v>
      </c>
      <c r="J17" s="2">
        <f>(8/13)*Building_MI_original_baseline!J13+(5/13)*Building_MI_original_baseline!J14</f>
        <v>33.906028507367282</v>
      </c>
      <c r="K17" s="2">
        <f>(8/13)*Building_MI_original_baseline!K13+(5/13)*Building_MI_original_baseline!K14</f>
        <v>5.9268696713234004</v>
      </c>
      <c r="L17" s="2">
        <f>(8/13)*Building_MI_original_baseline!L13+(5/13)*Building_MI_original_baseline!L14</f>
        <v>4.3250130033981575</v>
      </c>
      <c r="M17" s="2">
        <f>(8/13)*Building_MI_original_baseline!M13+(5/13)*Building_MI_original_baseline!M14</f>
        <v>3.5240846694355352</v>
      </c>
      <c r="N17" s="2">
        <f>(8/13)*Building_MI_original_baseline!N13+(5/13)*Building_MI_original_baseline!N14</f>
        <v>1.2814853343401948</v>
      </c>
      <c r="O17" s="2">
        <f>(8/13)*Building_MI_original_baseline!O13+(5/13)*Building_MI_original_baseline!O14</f>
        <v>0.96111400075514597</v>
      </c>
      <c r="P17" s="2">
        <f>(8/13)*Building_MI_original_baseline!P13+(5/13)*Building_MI_original_baseline!P14</f>
        <v>728.52222140845072</v>
      </c>
      <c r="Q17" s="2">
        <f>(8/13)*Building_MI_original_baseline!Q13+(5/13)*Building_MI_original_baseline!Q14</f>
        <v>3.3205046464788599</v>
      </c>
      <c r="R17" s="2">
        <f>(8/13)*Building_MI_original_baseline!R13+(5/13)*Building_MI_original_baseline!R14</f>
        <v>0.84813828732394358</v>
      </c>
      <c r="S17" s="2">
        <f>(8/13)*Building_MI_original_baseline!S13+(5/13)*Building_MI_original_baseline!S14</f>
        <v>1.8044713045070404</v>
      </c>
      <c r="T17" s="2">
        <f>(8/13)*Building_MI_original_baseline!T13+(5/13)*Building_MI_original_baseline!T14</f>
        <v>1.7743139775731311</v>
      </c>
      <c r="U17" s="2">
        <f>(8/13)*Building_MI_original_baseline!U13+(5/13)*Building_MI_original_baseline!U14</f>
        <v>0</v>
      </c>
      <c r="V17" s="2">
        <f>(8/13)*Building_MI_original_baseline!V13+(5/13)*Building_MI_original_baseline!V14</f>
        <v>0</v>
      </c>
      <c r="W17" s="2">
        <f>(8/13)*Building_MI_original_baseline!W13+(5/13)*Building_MI_original_baseline!W14</f>
        <v>1.3770228845070407</v>
      </c>
      <c r="X17" s="2">
        <f>(8/13)*Building_MI_original_baseline!X13+(5/13)*Building_MI_original_baseline!X14</f>
        <v>0.3685484929577465</v>
      </c>
      <c r="Y17" s="2">
        <f>(8/13)*Building_MI_original_baseline!Y13+(5/13)*Building_MI_original_baseline!Y14</f>
        <v>63.319174239328277</v>
      </c>
      <c r="Z17" s="2">
        <f>(8/13)*Building_MI_original_baseline!Z13+(5/13)*Building_MI_original_baseline!Z14</f>
        <v>1.3004658338028157</v>
      </c>
      <c r="AA17" s="2">
        <f>(8/13)*Building_MI_original_baseline!AA13+(5/13)*Building_MI_original_baseline!AA14</f>
        <v>20.141574830985917</v>
      </c>
      <c r="AB17" s="2"/>
    </row>
    <row r="18" spans="1:28" x14ac:dyDescent="0.2">
      <c r="B18" t="s">
        <v>156</v>
      </c>
      <c r="C18" s="2">
        <f>Building_MI_original_baseline!C14</f>
        <v>0.25258702535211269</v>
      </c>
      <c r="D18" s="2">
        <f>Building_MI_original_baseline!D14</f>
        <v>128.86776618309858</v>
      </c>
      <c r="E18" s="2">
        <f>Building_MI_original_baseline!E14</f>
        <v>1589.920186801407</v>
      </c>
      <c r="F18" s="2">
        <f>Building_MI_original_baseline!F14</f>
        <v>0</v>
      </c>
      <c r="G18" s="2">
        <f>Building_MI_original_baseline!G14</f>
        <v>7.0422535211267607E-3</v>
      </c>
      <c r="H18" s="2">
        <f>Building_MI_original_baseline!H14</f>
        <v>46.677546563380261</v>
      </c>
      <c r="I18" s="2">
        <f>Building_MI_original_baseline!I14</f>
        <v>4.8030037380281687</v>
      </c>
      <c r="J18" s="2">
        <f>Building_MI_original_baseline!J14</f>
        <v>42.414406792957749</v>
      </c>
      <c r="K18" s="2">
        <f>Building_MI_original_baseline!K14</f>
        <v>6.2937005396267569</v>
      </c>
      <c r="L18" s="2">
        <f>Building_MI_original_baseline!L14</f>
        <v>4.5927003937816879</v>
      </c>
      <c r="M18" s="2">
        <f>Building_MI_original_baseline!M14</f>
        <v>3.742200320859153</v>
      </c>
      <c r="N18" s="2">
        <f>Building_MI_original_baseline!N14</f>
        <v>1.3608001166760557</v>
      </c>
      <c r="O18" s="2">
        <f>Building_MI_original_baseline!O14</f>
        <v>1.0206000875070416</v>
      </c>
      <c r="P18" s="2">
        <f>Building_MI_original_baseline!P14</f>
        <v>728.52222140845072</v>
      </c>
      <c r="Q18" s="2">
        <f>Building_MI_original_baseline!Q14</f>
        <v>3.3205046464788595</v>
      </c>
      <c r="R18" s="2">
        <f>Building_MI_original_baseline!R14</f>
        <v>0.84813828732394358</v>
      </c>
      <c r="S18" s="2">
        <f>Building_MI_original_baseline!S14</f>
        <v>1.8044713045070404</v>
      </c>
      <c r="T18" s="2">
        <f>Building_MI_original_baseline!T14</f>
        <v>1.8392071225352109</v>
      </c>
      <c r="U18" s="2">
        <f>Building_MI_original_baseline!U14</f>
        <v>0</v>
      </c>
      <c r="V18" s="2">
        <f>Building_MI_original_baseline!V14</f>
        <v>0</v>
      </c>
      <c r="W18" s="2">
        <f>Building_MI_original_baseline!W14</f>
        <v>1.3770228845070407</v>
      </c>
      <c r="X18" s="2">
        <f>Building_MI_original_baseline!X14</f>
        <v>0.36854849295774644</v>
      </c>
      <c r="Y18" s="2">
        <f>Building_MI_original_baseline!Y14</f>
        <v>63.308935043661968</v>
      </c>
      <c r="Z18" s="2">
        <f>Building_MI_original_baseline!Z14</f>
        <v>1.3004658338028157</v>
      </c>
      <c r="AA18" s="2">
        <f>Building_MI_original_baseline!AA14</f>
        <v>20.141574830985917</v>
      </c>
      <c r="AB18" s="2"/>
    </row>
    <row r="19" spans="1:28" x14ac:dyDescent="0.2">
      <c r="B19" t="s">
        <v>21</v>
      </c>
      <c r="C19" s="2">
        <f>Building_MI_original_baseline!C15</f>
        <v>1.8059701492537312</v>
      </c>
      <c r="D19" s="2">
        <f>Building_MI_original_baseline!D15</f>
        <v>218.41791044776119</v>
      </c>
      <c r="E19" s="2">
        <f>Building_MI_original_baseline!E15</f>
        <v>1190.3880597014925</v>
      </c>
      <c r="F19" s="2">
        <f>Building_MI_original_baseline!F15</f>
        <v>0.10447761194029852</v>
      </c>
      <c r="G19" s="2">
        <f>Building_MI_original_baseline!G15</f>
        <v>0.62686567164179097</v>
      </c>
      <c r="H19" s="2">
        <f>Building_MI_original_baseline!H15</f>
        <v>15.820895522388058</v>
      </c>
      <c r="I19" s="2">
        <f>Building_MI_original_baseline!I15</f>
        <v>11.134328358208954</v>
      </c>
      <c r="J19" s="2">
        <f>Building_MI_original_baseline!J15</f>
        <v>34.328358208955223</v>
      </c>
      <c r="K19" s="2">
        <f>Building_MI_original_baseline!K15</f>
        <v>12.61865671641791</v>
      </c>
      <c r="L19" s="2">
        <f>Building_MI_original_baseline!L15</f>
        <v>9.2082089552238813</v>
      </c>
      <c r="M19" s="2">
        <f>Building_MI_original_baseline!M15</f>
        <v>7.5029850746268654</v>
      </c>
      <c r="N19" s="2">
        <f>Building_MI_original_baseline!N15</f>
        <v>2.7283582089552239</v>
      </c>
      <c r="O19" s="2">
        <f>Building_MI_original_baseline!O15</f>
        <v>2.0462686567164177</v>
      </c>
      <c r="P19" s="2">
        <f>Building_MI_original_baseline!P15</f>
        <v>0</v>
      </c>
      <c r="Q19" s="2">
        <f>Building_MI_original_baseline!Q15</f>
        <v>5.3582089552238799</v>
      </c>
      <c r="R19" s="2">
        <f>Building_MI_original_baseline!R15</f>
        <v>0.47761194029850745</v>
      </c>
      <c r="S19" s="2">
        <f>Building_MI_original_baseline!S15</f>
        <v>2.4029850746268657</v>
      </c>
      <c r="T19" s="2">
        <f>Building_MI_original_baseline!T15</f>
        <v>0.9253731343283581</v>
      </c>
      <c r="U19" s="2">
        <f>Building_MI_original_baseline!U15</f>
        <v>82.910447761194021</v>
      </c>
      <c r="V19" s="2">
        <f>Building_MI_original_baseline!V15</f>
        <v>0</v>
      </c>
      <c r="W19" s="2">
        <f>Building_MI_original_baseline!W15</f>
        <v>0.11940298507462686</v>
      </c>
      <c r="X19" s="2">
        <f>Building_MI_original_baseline!X15</f>
        <v>1.3731343283582089</v>
      </c>
      <c r="Y19" s="2">
        <f>Building_MI_original_baseline!Y15</f>
        <v>25.686567164179102</v>
      </c>
      <c r="Z19" s="2">
        <f>Building_MI_original_baseline!Z15</f>
        <v>4.4776119402985072E-2</v>
      </c>
      <c r="AA19" s="2">
        <f>Building_MI_original_baseline!AA15</f>
        <v>99.507462686567166</v>
      </c>
      <c r="AB19" s="2"/>
    </row>
    <row r="20" spans="1:28" x14ac:dyDescent="0.2">
      <c r="A20" s="21" t="s">
        <v>166</v>
      </c>
      <c r="B20" t="s">
        <v>159</v>
      </c>
      <c r="C20" s="2">
        <f>Building_MI_original_baseline!C16</f>
        <v>0.37854946376811599</v>
      </c>
      <c r="D20" s="2">
        <f>Building_MI_original_baseline!D16</f>
        <v>162.86606424637682</v>
      </c>
      <c r="E20" s="2">
        <f>Building_MI_original_baseline!E16</f>
        <v>1144.3172885652173</v>
      </c>
      <c r="F20" s="2">
        <f>Building_MI_original_baseline!F16</f>
        <v>0</v>
      </c>
      <c r="G20" s="2">
        <f>Building_MI_original_baseline!G16</f>
        <v>1.8924160869565217E-2</v>
      </c>
      <c r="H20" s="2">
        <f>Building_MI_original_baseline!H16</f>
        <v>7.6938449159420292</v>
      </c>
      <c r="I20" s="2">
        <f>Building_MI_original_baseline!I16</f>
        <v>0.23043419420289715</v>
      </c>
      <c r="J20" s="2">
        <f>Building_MI_original_baseline!J16</f>
        <v>64.768413495652169</v>
      </c>
      <c r="K20" s="2">
        <f>Building_MI_original_baseline!K16</f>
        <v>4.8911125378840588</v>
      </c>
      <c r="L20" s="2">
        <f>Building_MI_original_baseline!L16</f>
        <v>3.5691902303478269</v>
      </c>
      <c r="M20" s="2">
        <f>Building_MI_original_baseline!M16</f>
        <v>2.9082290765797105</v>
      </c>
      <c r="N20" s="2">
        <f>Building_MI_original_baseline!N16</f>
        <v>1.0575378460289857</v>
      </c>
      <c r="O20" s="2">
        <f>Building_MI_original_baseline!O16</f>
        <v>0.79315338452173922</v>
      </c>
      <c r="P20" s="2">
        <f>Building_MI_original_baseline!P16</f>
        <v>263.36174559420294</v>
      </c>
      <c r="Q20" s="2">
        <f>Building_MI_original_baseline!Q16</f>
        <v>2.7625526971014498</v>
      </c>
      <c r="R20" s="2">
        <f>Building_MI_original_baseline!R16</f>
        <v>0.35149360434782612</v>
      </c>
      <c r="S20" s="2">
        <f>Building_MI_original_baseline!S16</f>
        <v>0.81826993999999875</v>
      </c>
      <c r="T20" s="2">
        <f>Building_MI_original_baseline!T16</f>
        <v>1.3552014608695648</v>
      </c>
      <c r="U20" s="2">
        <f>Building_MI_original_baseline!U16</f>
        <v>0</v>
      </c>
      <c r="V20" s="2">
        <f>Building_MI_original_baseline!V16</f>
        <v>0</v>
      </c>
      <c r="W20" s="2">
        <f>Building_MI_original_baseline!W16</f>
        <v>1.4697139710144911</v>
      </c>
      <c r="X20" s="2">
        <f>Building_MI_original_baseline!X16</f>
        <v>0</v>
      </c>
      <c r="Y20" s="2">
        <f>Building_MI_original_baseline!Y16</f>
        <v>51.236411047826117</v>
      </c>
      <c r="Z20" s="2">
        <f>Building_MI_original_baseline!Z16</f>
        <v>0.43873775797101455</v>
      </c>
      <c r="AA20" s="2">
        <f>Building_MI_original_baseline!AA16</f>
        <v>25.673779000000003</v>
      </c>
      <c r="AB20" s="2"/>
    </row>
    <row r="21" spans="1:28" x14ac:dyDescent="0.2">
      <c r="B21" t="s">
        <v>160</v>
      </c>
      <c r="C21" s="2">
        <f>Building_MI_original_baseline!C17</f>
        <v>0.47542224637681163</v>
      </c>
      <c r="D21" s="2">
        <f>Building_MI_original_baseline!D17</f>
        <v>162.86606424637682</v>
      </c>
      <c r="E21" s="2">
        <f>Building_MI_original_baseline!E17</f>
        <v>1225.6518204347826</v>
      </c>
      <c r="F21" s="2">
        <f>Building_MI_original_baseline!F17</f>
        <v>0</v>
      </c>
      <c r="G21" s="2">
        <f>Building_MI_original_baseline!G17</f>
        <v>1.8924160869565217E-2</v>
      </c>
      <c r="H21" s="2">
        <f>Building_MI_original_baseline!H17</f>
        <v>16.722916946376813</v>
      </c>
      <c r="I21" s="2">
        <f>Building_MI_original_baseline!I17</f>
        <v>2.3138175405797088</v>
      </c>
      <c r="J21" s="2">
        <f>Building_MI_original_baseline!J17</f>
        <v>40.861085121739109</v>
      </c>
      <c r="K21" s="2">
        <f>Building_MI_original_baseline!K17</f>
        <v>4.9866049922463773</v>
      </c>
      <c r="L21" s="2">
        <f>Building_MI_original_baseline!L17</f>
        <v>3.6388739132608703</v>
      </c>
      <c r="M21" s="2">
        <f>Building_MI_original_baseline!M17</f>
        <v>2.9650083737681165</v>
      </c>
      <c r="N21" s="2">
        <f>Building_MI_original_baseline!N17</f>
        <v>1.0781848631884061</v>
      </c>
      <c r="O21" s="2">
        <f>Building_MI_original_baseline!O17</f>
        <v>0.80863864739130442</v>
      </c>
      <c r="P21" s="2">
        <f>Building_MI_original_baseline!P17</f>
        <v>263.36174559420294</v>
      </c>
      <c r="Q21" s="2">
        <f>Building_MI_original_baseline!Q17</f>
        <v>2.7625526971014498</v>
      </c>
      <c r="R21" s="2">
        <f>Building_MI_original_baseline!R17</f>
        <v>0.35149360434782612</v>
      </c>
      <c r="S21" s="2">
        <f>Building_MI_original_baseline!S17</f>
        <v>1.1453851689855061</v>
      </c>
      <c r="T21" s="2">
        <f>Building_MI_original_baseline!T17</f>
        <v>1.464410814492753</v>
      </c>
      <c r="U21" s="2">
        <f>Building_MI_original_baseline!U17</f>
        <v>0</v>
      </c>
      <c r="V21" s="2">
        <f>Building_MI_original_baseline!V17</f>
        <v>0</v>
      </c>
      <c r="W21" s="2">
        <f>Building_MI_original_baseline!W17</f>
        <v>1.5202924623188392</v>
      </c>
      <c r="X21" s="2">
        <f>Building_MI_original_baseline!X17</f>
        <v>0.47785589275362322</v>
      </c>
      <c r="Y21" s="2">
        <f>Building_MI_original_baseline!Y17</f>
        <v>53.185350868115947</v>
      </c>
      <c r="Z21" s="2">
        <f>Building_MI_original_baseline!Z17</f>
        <v>0.43873775797101455</v>
      </c>
      <c r="AA21" s="2">
        <f>Building_MI_original_baseline!AA17</f>
        <v>25.673779000000003</v>
      </c>
      <c r="AB21" s="2"/>
    </row>
    <row r="22" spans="1:28" x14ac:dyDescent="0.2">
      <c r="B22" t="s">
        <v>161</v>
      </c>
      <c r="C22" s="2">
        <f>(1/2)*Building_MI_original_baseline!C17+(1/2)*Building_MI_original_baseline!C18</f>
        <v>0.42675403405797108</v>
      </c>
      <c r="D22" s="2">
        <f>(1/2)*Building_MI_original_baseline!D17+(1/2)*Building_MI_original_baseline!D18</f>
        <v>114.0062449710145</v>
      </c>
      <c r="E22" s="2">
        <f>(1/2)*Building_MI_original_baseline!E17+(1/2)*Building_MI_original_baseline!E18</f>
        <v>1265.0665229282608</v>
      </c>
      <c r="F22" s="2">
        <f>(1/2)*Building_MI_original_baseline!F17+(1/2)*Building_MI_original_baseline!F18</f>
        <v>0</v>
      </c>
      <c r="G22" s="2">
        <f>(1/2)*Building_MI_original_baseline!G17+(1/2)*Building_MI_original_baseline!G18</f>
        <v>1.8924160869565217E-2</v>
      </c>
      <c r="H22" s="2">
        <f>(1/2)*Building_MI_original_baseline!H17+(1/2)*Building_MI_original_baseline!H18</f>
        <v>16.722916946376813</v>
      </c>
      <c r="I22" s="2">
        <f>(1/2)*Building_MI_original_baseline!I17+(1/2)*Building_MI_original_baseline!I18</f>
        <v>3.3555092137681148</v>
      </c>
      <c r="J22" s="2">
        <f>(1/2)*Building_MI_original_baseline!J17+(1/2)*Building_MI_original_baseline!J18</f>
        <v>30.582543150724625</v>
      </c>
      <c r="K22" s="2">
        <f>(1/2)*Building_MI_original_baseline!K17+(1/2)*Building_MI_original_baseline!K18</f>
        <v>5.0543060050000008</v>
      </c>
      <c r="L22" s="2">
        <f>(1/2)*Building_MI_original_baseline!L17+(1/2)*Building_MI_original_baseline!L18</f>
        <v>3.6882773550000003</v>
      </c>
      <c r="M22" s="2">
        <f>(1/2)*Building_MI_original_baseline!M17+(1/2)*Building_MI_original_baseline!M18</f>
        <v>3.0052630300000005</v>
      </c>
      <c r="N22" s="2">
        <f>(1/2)*Building_MI_original_baseline!N17+(1/2)*Building_MI_original_baseline!N18</f>
        <v>1.0928229200000001</v>
      </c>
      <c r="O22" s="2">
        <f>(1/2)*Building_MI_original_baseline!O17+(1/2)*Building_MI_original_baseline!O18</f>
        <v>0.81961719</v>
      </c>
      <c r="P22" s="2">
        <f>(1/2)*Building_MI_original_baseline!P17+(1/2)*Building_MI_original_baseline!P18</f>
        <v>345.34430656521738</v>
      </c>
      <c r="Q22" s="2">
        <f>(1/2)*Building_MI_original_baseline!Q17+(1/2)*Building_MI_original_baseline!Q18</f>
        <v>2.7625526971014498</v>
      </c>
      <c r="R22" s="2">
        <f>(1/2)*Building_MI_original_baseline!R17+(1/2)*Building_MI_original_baseline!R18</f>
        <v>0.35149360434782612</v>
      </c>
      <c r="S22" s="2">
        <f>(1/2)*Building_MI_original_baseline!S17+(1/2)*Building_MI_original_baseline!S18</f>
        <v>1.5083980617391295</v>
      </c>
      <c r="T22" s="2">
        <f>(1/2)*Building_MI_original_baseline!T17+(1/2)*Building_MI_original_baseline!T18</f>
        <v>1.4622887391304342</v>
      </c>
      <c r="U22" s="2">
        <f>(1/2)*Building_MI_original_baseline!U17+(1/2)*Building_MI_original_baseline!U18</f>
        <v>0</v>
      </c>
      <c r="V22" s="2">
        <f>(1/2)*Building_MI_original_baseline!V17+(1/2)*Building_MI_original_baseline!V18</f>
        <v>0</v>
      </c>
      <c r="W22" s="2">
        <f>(1/2)*Building_MI_original_baseline!W17+(1/2)*Building_MI_original_baseline!W18</f>
        <v>1.5202924623188392</v>
      </c>
      <c r="X22" s="2">
        <f>(1/2)*Building_MI_original_baseline!X17+(1/2)*Building_MI_original_baseline!X18</f>
        <v>0.47785589275362322</v>
      </c>
      <c r="Y22" s="2">
        <f>(1/2)*Building_MI_original_baseline!Y17+(1/2)*Building_MI_original_baseline!Y18</f>
        <v>54.005214736231892</v>
      </c>
      <c r="Z22" s="2">
        <f>(1/2)*Building_MI_original_baseline!Z17+(1/2)*Building_MI_original_baseline!Z18</f>
        <v>0.83113418768115954</v>
      </c>
      <c r="AA22" s="2">
        <f>(1/2)*Building_MI_original_baseline!AA17+(1/2)*Building_MI_original_baseline!AA18</f>
        <v>25.673779000000003</v>
      </c>
      <c r="AB22" s="2"/>
    </row>
    <row r="23" spans="1:28" x14ac:dyDescent="0.2">
      <c r="B23" t="s">
        <v>162</v>
      </c>
      <c r="C23" s="2">
        <f>Building_MI_original_baseline!C18</f>
        <v>0.37808582173913047</v>
      </c>
      <c r="D23" s="2">
        <f>Building_MI_original_baseline!D18</f>
        <v>65.146425695652184</v>
      </c>
      <c r="E23" s="2">
        <f>Building_MI_original_baseline!E18</f>
        <v>1304.4812254217391</v>
      </c>
      <c r="F23" s="2">
        <f>Building_MI_original_baseline!F18</f>
        <v>0</v>
      </c>
      <c r="G23" s="2">
        <f>Building_MI_original_baseline!G18</f>
        <v>1.8924160869565217E-2</v>
      </c>
      <c r="H23" s="2">
        <f>Building_MI_original_baseline!H18</f>
        <v>16.722916946376813</v>
      </c>
      <c r="I23" s="2">
        <f>Building_MI_original_baseline!I18</f>
        <v>4.3972008869565204</v>
      </c>
      <c r="J23" s="2">
        <f>Building_MI_original_baseline!J18</f>
        <v>20.304001179710145</v>
      </c>
      <c r="K23" s="2">
        <f>Building_MI_original_baseline!K18</f>
        <v>5.1220070177536234</v>
      </c>
      <c r="L23" s="2">
        <f>Building_MI_original_baseline!L18</f>
        <v>3.7376807967391308</v>
      </c>
      <c r="M23" s="2">
        <f>Building_MI_original_baseline!M18</f>
        <v>3.0455176862318845</v>
      </c>
      <c r="N23" s="2">
        <f>Building_MI_original_baseline!N18</f>
        <v>1.1074609768115944</v>
      </c>
      <c r="O23" s="2">
        <f>Building_MI_original_baseline!O18</f>
        <v>0.83059573260869568</v>
      </c>
      <c r="P23" s="2">
        <f>Building_MI_original_baseline!P18</f>
        <v>427.32686753623187</v>
      </c>
      <c r="Q23" s="2">
        <f>Building_MI_original_baseline!Q18</f>
        <v>2.7625526971014498</v>
      </c>
      <c r="R23" s="2">
        <f>Building_MI_original_baseline!R18</f>
        <v>0.35149360434782612</v>
      </c>
      <c r="S23" s="2">
        <f>Building_MI_original_baseline!S18</f>
        <v>1.8714109544927526</v>
      </c>
      <c r="T23" s="2">
        <f>Building_MI_original_baseline!T18</f>
        <v>1.4601666637681157</v>
      </c>
      <c r="U23" s="2">
        <f>Building_MI_original_baseline!U18</f>
        <v>0</v>
      </c>
      <c r="V23" s="2">
        <f>Building_MI_original_baseline!V18</f>
        <v>0</v>
      </c>
      <c r="W23" s="2">
        <f>Building_MI_original_baseline!W18</f>
        <v>1.5202924623188392</v>
      </c>
      <c r="X23" s="2">
        <f>Building_MI_original_baseline!X18</f>
        <v>0.47785589275362322</v>
      </c>
      <c r="Y23" s="2">
        <f>Building_MI_original_baseline!Y18</f>
        <v>54.825078604347844</v>
      </c>
      <c r="Z23" s="2">
        <f>Building_MI_original_baseline!Z18</f>
        <v>1.2235306173913045</v>
      </c>
      <c r="AA23" s="2">
        <f>Building_MI_original_baseline!AA18</f>
        <v>25.673779000000003</v>
      </c>
      <c r="AB23" s="2"/>
    </row>
    <row r="24" spans="1:28" x14ac:dyDescent="0.2">
      <c r="B24" t="s">
        <v>163</v>
      </c>
      <c r="C24" s="2">
        <f>(8/13)*Building_MI_original_baseline!C18+(5/13)*Building_MI_original_baseline!C19</f>
        <v>0.37808582173913052</v>
      </c>
      <c r="D24" s="2">
        <f>(8/13)*Building_MI_original_baseline!D18+(5/13)*Building_MI_original_baseline!D19</f>
        <v>65.146425695652184</v>
      </c>
      <c r="E24" s="2">
        <f>(8/13)*Building_MI_original_baseline!E18+(5/13)*Building_MI_original_baseline!E19</f>
        <v>1304.4812254217391</v>
      </c>
      <c r="F24" s="2">
        <f>(8/13)*Building_MI_original_baseline!F18+(5/13)*Building_MI_original_baseline!F19</f>
        <v>0</v>
      </c>
      <c r="G24" s="2">
        <f>(8/13)*Building_MI_original_baseline!G18+(5/13)*Building_MI_original_baseline!G19</f>
        <v>1.8924160869565221E-2</v>
      </c>
      <c r="H24" s="2">
        <f>(8/13)*Building_MI_original_baseline!H18+(5/13)*Building_MI_original_baseline!H19</f>
        <v>16.722916946376813</v>
      </c>
      <c r="I24" s="2">
        <f>(8/13)*Building_MI_original_baseline!I18+(5/13)*Building_MI_original_baseline!I19</f>
        <v>4.3972008869565204</v>
      </c>
      <c r="J24" s="2">
        <f>(8/13)*Building_MI_original_baseline!J18+(5/13)*Building_MI_original_baseline!J19</f>
        <v>25.123583257748052</v>
      </c>
      <c r="K24" s="2">
        <f>(8/13)*Building_MI_original_baseline!K18+(5/13)*Building_MI_original_baseline!K19</f>
        <v>5.2823990148550735</v>
      </c>
      <c r="L24" s="2">
        <f>(8/13)*Building_MI_original_baseline!L18+(5/13)*Building_MI_original_baseline!L19</f>
        <v>3.8547236054347831</v>
      </c>
      <c r="M24" s="2">
        <f>(8/13)*Building_MI_original_baseline!M18+(5/13)*Building_MI_original_baseline!M19</f>
        <v>3.1408859007246384</v>
      </c>
      <c r="N24" s="2">
        <f>(8/13)*Building_MI_original_baseline!N18+(5/13)*Building_MI_original_baseline!N19</f>
        <v>1.1421403275362323</v>
      </c>
      <c r="O24" s="2">
        <f>(8/13)*Building_MI_original_baseline!O18+(5/13)*Building_MI_original_baseline!O19</f>
        <v>0.856605245652174</v>
      </c>
      <c r="P24" s="2">
        <f>(8/13)*Building_MI_original_baseline!P18+(5/13)*Building_MI_original_baseline!P19</f>
        <v>427.32686753623187</v>
      </c>
      <c r="Q24" s="2">
        <f>(8/13)*Building_MI_original_baseline!Q18+(5/13)*Building_MI_original_baseline!Q19</f>
        <v>2.7625526971014498</v>
      </c>
      <c r="R24" s="2">
        <f>(8/13)*Building_MI_original_baseline!R18+(5/13)*Building_MI_original_baseline!R19</f>
        <v>0.35149360434782617</v>
      </c>
      <c r="S24" s="2">
        <f>(8/13)*Building_MI_original_baseline!S18+(5/13)*Building_MI_original_baseline!S19</f>
        <v>1.8714109544927529</v>
      </c>
      <c r="T24" s="2">
        <f>(8/13)*Building_MI_original_baseline!T18+(5/13)*Building_MI_original_baseline!T19</f>
        <v>1.4972568075808241</v>
      </c>
      <c r="U24" s="2">
        <f>(8/13)*Building_MI_original_baseline!U18+(5/13)*Building_MI_original_baseline!U19</f>
        <v>0</v>
      </c>
      <c r="V24" s="2">
        <f>(8/13)*Building_MI_original_baseline!V18+(5/13)*Building_MI_original_baseline!V19</f>
        <v>0</v>
      </c>
      <c r="W24" s="2">
        <f>(8/13)*Building_MI_original_baseline!W18+(5/13)*Building_MI_original_baseline!W19</f>
        <v>1.5202924623188392</v>
      </c>
      <c r="X24" s="2">
        <f>(8/13)*Building_MI_original_baseline!X18+(5/13)*Building_MI_original_baseline!X19</f>
        <v>0.47785589275362322</v>
      </c>
      <c r="Y24" s="2">
        <f>(8/13)*Building_MI_original_baseline!Y18+(5/13)*Building_MI_original_baseline!Y19</f>
        <v>54.819362536900798</v>
      </c>
      <c r="Z24" s="2">
        <f>(8/13)*Building_MI_original_baseline!Z18+(5/13)*Building_MI_original_baseline!Z19</f>
        <v>1.2235306173913045</v>
      </c>
      <c r="AA24" s="2">
        <f>(8/13)*Building_MI_original_baseline!AA18+(5/13)*Building_MI_original_baseline!AA19</f>
        <v>25.673779000000003</v>
      </c>
      <c r="AB24" s="2"/>
    </row>
    <row r="25" spans="1:28" x14ac:dyDescent="0.2">
      <c r="B25" t="s">
        <v>156</v>
      </c>
      <c r="C25" s="2">
        <f>Building_MI_original_baseline!C19</f>
        <v>0.37808582173913047</v>
      </c>
      <c r="D25" s="2">
        <f>Building_MI_original_baseline!D19</f>
        <v>65.146425695652184</v>
      </c>
      <c r="E25" s="2">
        <f>Building_MI_original_baseline!E19</f>
        <v>1304.4812254217391</v>
      </c>
      <c r="F25" s="2">
        <f>Building_MI_original_baseline!F19</f>
        <v>0</v>
      </c>
      <c r="G25" s="2">
        <f>Building_MI_original_baseline!G19</f>
        <v>1.8924160869565217E-2</v>
      </c>
      <c r="H25" s="2">
        <f>Building_MI_original_baseline!H19</f>
        <v>16.722916946376813</v>
      </c>
      <c r="I25" s="2">
        <f>Building_MI_original_baseline!I19</f>
        <v>4.3972008869565204</v>
      </c>
      <c r="J25" s="2">
        <f>Building_MI_original_baseline!J19</f>
        <v>32.834914582608697</v>
      </c>
      <c r="K25" s="2">
        <f>Building_MI_original_baseline!K19</f>
        <v>5.5390262102173917</v>
      </c>
      <c r="L25" s="2">
        <f>Building_MI_original_baseline!L19</f>
        <v>4.0419920993478273</v>
      </c>
      <c r="M25" s="2">
        <f>Building_MI_original_baseline!M19</f>
        <v>3.2934750439130442</v>
      </c>
      <c r="N25" s="2">
        <f>Building_MI_original_baseline!N19</f>
        <v>1.1976272886956525</v>
      </c>
      <c r="O25" s="2">
        <f>Building_MI_original_baseline!O19</f>
        <v>0.89822046652173926</v>
      </c>
      <c r="P25" s="2">
        <f>Building_MI_original_baseline!P19</f>
        <v>427.32686753623187</v>
      </c>
      <c r="Q25" s="2">
        <f>Building_MI_original_baseline!Q19</f>
        <v>2.7625526971014498</v>
      </c>
      <c r="R25" s="2">
        <f>Building_MI_original_baseline!R19</f>
        <v>0.35149360434782612</v>
      </c>
      <c r="S25" s="2">
        <f>Building_MI_original_baseline!S19</f>
        <v>1.8714109544927526</v>
      </c>
      <c r="T25" s="2">
        <f>Building_MI_original_baseline!T19</f>
        <v>1.5566010376811577</v>
      </c>
      <c r="U25" s="2">
        <f>Building_MI_original_baseline!U19</f>
        <v>0</v>
      </c>
      <c r="V25" s="2">
        <f>Building_MI_original_baseline!V19</f>
        <v>0</v>
      </c>
      <c r="W25" s="2">
        <f>Building_MI_original_baseline!W19</f>
        <v>1.5202924623188392</v>
      </c>
      <c r="X25" s="2">
        <f>Building_MI_original_baseline!X19</f>
        <v>0.47785589275362322</v>
      </c>
      <c r="Y25" s="2">
        <f>Building_MI_original_baseline!Y19</f>
        <v>54.810216828985524</v>
      </c>
      <c r="Z25" s="2">
        <f>Building_MI_original_baseline!Z19</f>
        <v>1.2235306173913045</v>
      </c>
      <c r="AA25" s="2">
        <f>Building_MI_original_baseline!AA19</f>
        <v>25.673779000000003</v>
      </c>
      <c r="AB25" s="2"/>
    </row>
    <row r="26" spans="1:28" x14ac:dyDescent="0.2">
      <c r="B26" t="s">
        <v>21</v>
      </c>
      <c r="C26" s="2">
        <f>Building_MI_original_baseline!C20</f>
        <v>1.1980676328502415</v>
      </c>
      <c r="D26" s="2">
        <f>Building_MI_original_baseline!D20</f>
        <v>179.96618357487924</v>
      </c>
      <c r="E26" s="2">
        <f>Building_MI_original_baseline!E20</f>
        <v>1662.6231884057972</v>
      </c>
      <c r="F26" s="2">
        <f>Building_MI_original_baseline!F20</f>
        <v>0.64251207729468607</v>
      </c>
      <c r="G26" s="2">
        <f>Building_MI_original_baseline!G20</f>
        <v>0.89855072463768126</v>
      </c>
      <c r="H26" s="2">
        <f>Building_MI_original_baseline!H20</f>
        <v>13.54106280193237</v>
      </c>
      <c r="I26" s="2">
        <f>Building_MI_original_baseline!I20</f>
        <v>7.5458937198067639</v>
      </c>
      <c r="J26" s="2">
        <f>Building_MI_original_baseline!J20</f>
        <v>24.90338164251208</v>
      </c>
      <c r="K26" s="2">
        <f>Building_MI_original_baseline!K20</f>
        <v>9.7737198067632871</v>
      </c>
      <c r="L26" s="2">
        <f>Building_MI_original_baseline!L20</f>
        <v>7.1321739130434798</v>
      </c>
      <c r="M26" s="2">
        <f>Building_MI_original_baseline!M20</f>
        <v>5.8114009661835757</v>
      </c>
      <c r="N26" s="2">
        <f>Building_MI_original_baseline!N20</f>
        <v>2.1132367149758458</v>
      </c>
      <c r="O26" s="2">
        <f>Building_MI_original_baseline!O20</f>
        <v>1.5849275362318842</v>
      </c>
      <c r="P26" s="2">
        <f>Building_MI_original_baseline!P20</f>
        <v>0</v>
      </c>
      <c r="Q26" s="2">
        <f>Building_MI_original_baseline!Q20</f>
        <v>6.57487922705314</v>
      </c>
      <c r="R26" s="2">
        <f>Building_MI_original_baseline!R20</f>
        <v>0.58454106280193241</v>
      </c>
      <c r="S26" s="2">
        <f>Building_MI_original_baseline!S20</f>
        <v>2.8743961352657008</v>
      </c>
      <c r="T26" s="2">
        <f>Building_MI_original_baseline!T20</f>
        <v>0.7874396135265701</v>
      </c>
      <c r="U26" s="2">
        <f>Building_MI_original_baseline!U20</f>
        <v>63.603864734299513</v>
      </c>
      <c r="V26" s="2">
        <f>Building_MI_original_baseline!V20</f>
        <v>0</v>
      </c>
      <c r="W26" s="2">
        <f>Building_MI_original_baseline!W20</f>
        <v>0.12077294685990339</v>
      </c>
      <c r="X26" s="2">
        <f>Building_MI_original_baseline!X20</f>
        <v>0.58454106280193241</v>
      </c>
      <c r="Y26" s="2">
        <f>Building_MI_original_baseline!Y20</f>
        <v>29.855072463768114</v>
      </c>
      <c r="Z26" s="2">
        <f>Building_MI_original_baseline!Z20</f>
        <v>9.6618357487922718E-2</v>
      </c>
      <c r="AA26" s="2">
        <f>Building_MI_original_baseline!AA20</f>
        <v>128.72946859903382</v>
      </c>
    </row>
    <row r="27" spans="1:28" x14ac:dyDescent="0.2">
      <c r="A27" s="21" t="s">
        <v>167</v>
      </c>
      <c r="B27" t="s">
        <v>159</v>
      </c>
      <c r="C27" s="2">
        <f>Building_MI_original_baseline!C21</f>
        <v>0.20221829725790513</v>
      </c>
      <c r="D27" s="2">
        <f>Building_MI_original_baseline!D21</f>
        <v>169.93780449011857</v>
      </c>
      <c r="E27" s="2">
        <f>Building_MI_original_baseline!E21</f>
        <v>1421.6139480039028</v>
      </c>
      <c r="F27" s="2">
        <f>Building_MI_original_baseline!F21</f>
        <v>0</v>
      </c>
      <c r="G27" s="2">
        <f>Building_MI_original_baseline!G21</f>
        <v>3.2032279496047429E-2</v>
      </c>
      <c r="H27" s="2">
        <f>Building_MI_original_baseline!H21</f>
        <v>13.986688577099798</v>
      </c>
      <c r="I27" s="2">
        <f>Building_MI_original_baseline!I21</f>
        <v>0.23152289397233203</v>
      </c>
      <c r="J27" s="2">
        <f>Building_MI_original_baseline!J21</f>
        <v>33.943422969713424</v>
      </c>
      <c r="K27" s="2">
        <f>Building_MI_original_baseline!K21</f>
        <v>6.8289593353866085</v>
      </c>
      <c r="L27" s="2">
        <f>Building_MI_original_baseline!L21</f>
        <v>4.983294650146985</v>
      </c>
      <c r="M27" s="2">
        <f>Building_MI_original_baseline!M21</f>
        <v>4.0604623075271729</v>
      </c>
      <c r="N27" s="2">
        <f>Building_MI_original_baseline!N21</f>
        <v>1.4765317481916993</v>
      </c>
      <c r="O27" s="2">
        <f>Building_MI_original_baseline!O21</f>
        <v>1.1073988111437743</v>
      </c>
      <c r="P27" s="2">
        <f>Building_MI_original_baseline!P21</f>
        <v>224.76978087598758</v>
      </c>
      <c r="Q27" s="2">
        <f>Building_MI_original_baseline!Q21</f>
        <v>12.270727132905126</v>
      </c>
      <c r="R27" s="2">
        <f>Building_MI_original_baseline!R21</f>
        <v>0.30749103120059285</v>
      </c>
      <c r="S27" s="2">
        <f>Building_MI_original_baseline!S21</f>
        <v>0.99483573656126456</v>
      </c>
      <c r="T27" s="2">
        <f>Building_MI_original_baseline!T21</f>
        <v>2.0525547885968374</v>
      </c>
      <c r="U27" s="2">
        <f>Building_MI_original_baseline!U21</f>
        <v>0</v>
      </c>
      <c r="V27" s="2">
        <f>Building_MI_original_baseline!V21</f>
        <v>0</v>
      </c>
      <c r="W27" s="2">
        <f>Building_MI_original_baseline!W21</f>
        <v>0.72710811603260872</v>
      </c>
      <c r="X27" s="2">
        <f>Building_MI_original_baseline!X21</f>
        <v>0</v>
      </c>
      <c r="Y27" s="2">
        <f>Building_MI_original_baseline!Y21</f>
        <v>69.102116075667027</v>
      </c>
      <c r="Z27" s="2">
        <f>Building_MI_original_baseline!Z21</f>
        <v>0.83496118913043471</v>
      </c>
      <c r="AA27" s="2">
        <f>Building_MI_original_baseline!AA21</f>
        <v>16.468138358448616</v>
      </c>
    </row>
    <row r="28" spans="1:28" x14ac:dyDescent="0.2">
      <c r="B28" t="s">
        <v>160</v>
      </c>
      <c r="C28" s="2">
        <f>Building_MI_original_baseline!C22</f>
        <v>0.21147096627964426</v>
      </c>
      <c r="D28" s="2">
        <f>Building_MI_original_baseline!D22</f>
        <v>169.93780449011857</v>
      </c>
      <c r="E28" s="2">
        <f>Building_MI_original_baseline!E22</f>
        <v>1512.2461587949108</v>
      </c>
      <c r="F28" s="2">
        <f>Building_MI_original_baseline!F22</f>
        <v>0</v>
      </c>
      <c r="G28" s="2">
        <f>Building_MI_original_baseline!G22</f>
        <v>3.2032279496047429E-2</v>
      </c>
      <c r="H28" s="2">
        <f>Building_MI_original_baseline!H22</f>
        <v>13.986688577099798</v>
      </c>
      <c r="I28" s="2">
        <f>Building_MI_original_baseline!I22</f>
        <v>2.5580129903903108</v>
      </c>
      <c r="J28" s="2">
        <f>Building_MI_original_baseline!J22</f>
        <v>23.011512423023714</v>
      </c>
      <c r="K28" s="2">
        <f>Building_MI_original_baseline!K22</f>
        <v>7.0887254337863128</v>
      </c>
      <c r="L28" s="2">
        <f>Building_MI_original_baseline!L22</f>
        <v>5.1728536949251476</v>
      </c>
      <c r="M28" s="2">
        <f>Building_MI_original_baseline!M22</f>
        <v>4.2149178254945641</v>
      </c>
      <c r="N28" s="2">
        <f>Building_MI_original_baseline!N22</f>
        <v>1.5326973910889325</v>
      </c>
      <c r="O28" s="2">
        <f>Building_MI_original_baseline!O22</f>
        <v>1.1495230433166994</v>
      </c>
      <c r="P28" s="2">
        <f>Building_MI_original_baseline!P22</f>
        <v>224.76978087598758</v>
      </c>
      <c r="Q28" s="2">
        <f>Building_MI_original_baseline!Q22</f>
        <v>12.270727132905126</v>
      </c>
      <c r="R28" s="2">
        <f>Building_MI_original_baseline!R22</f>
        <v>0.30749103120059285</v>
      </c>
      <c r="S28" s="2">
        <f>Building_MI_original_baseline!S22</f>
        <v>1.2289766862154146</v>
      </c>
      <c r="T28" s="2">
        <f>Building_MI_original_baseline!T22</f>
        <v>5.6162211183152166</v>
      </c>
      <c r="U28" s="2">
        <f>Building_MI_original_baseline!U22</f>
        <v>0</v>
      </c>
      <c r="V28" s="2">
        <f>Building_MI_original_baseline!V22</f>
        <v>0</v>
      </c>
      <c r="W28" s="2">
        <f>Building_MI_original_baseline!W22</f>
        <v>0.74015650410079059</v>
      </c>
      <c r="X28" s="2">
        <f>Building_MI_original_baseline!X22</f>
        <v>0.35798067065217387</v>
      </c>
      <c r="Y28" s="2">
        <f>Building_MI_original_baseline!Y22</f>
        <v>68.586460476753956</v>
      </c>
      <c r="Z28" s="2">
        <f>Building_MI_original_baseline!Z22</f>
        <v>0.70400742663043481</v>
      </c>
      <c r="AA28" s="2">
        <f>Building_MI_original_baseline!AA22</f>
        <v>16.468138358448616</v>
      </c>
    </row>
    <row r="29" spans="1:28" x14ac:dyDescent="0.2">
      <c r="B29" t="s">
        <v>161</v>
      </c>
      <c r="C29" s="2">
        <f>(1/2)*Building_MI_original_baseline!C22+(1/2)*Building_MI_original_baseline!C23</f>
        <v>0.49684034108201303</v>
      </c>
      <c r="D29" s="2">
        <f>(1/2)*Building_MI_original_baseline!D22+(1/2)*Building_MI_original_baseline!D23</f>
        <v>112.24658576371047</v>
      </c>
      <c r="E29" s="2">
        <f>(1/2)*Building_MI_original_baseline!E22+(1/2)*Building_MI_original_baseline!E23</f>
        <v>1519.3709354200344</v>
      </c>
      <c r="F29" s="2">
        <f>(1/2)*Building_MI_original_baseline!F22+(1/2)*Building_MI_original_baseline!F23</f>
        <v>0.41293410048171886</v>
      </c>
      <c r="G29" s="2">
        <f>(1/2)*Building_MI_original_baseline!G22+(1/2)*Building_MI_original_baseline!G23</f>
        <v>3.2032279496047429E-2</v>
      </c>
      <c r="H29" s="2">
        <f>(1/2)*Building_MI_original_baseline!H22+(1/2)*Building_MI_original_baseline!H23</f>
        <v>13.493654474258891</v>
      </c>
      <c r="I29" s="2">
        <f>(1/2)*Building_MI_original_baseline!I22+(1/2)*Building_MI_original_baseline!I23</f>
        <v>3.7212580391551353</v>
      </c>
      <c r="J29" s="2">
        <f>(1/2)*Building_MI_original_baseline!J22+(1/2)*Building_MI_original_baseline!J23</f>
        <v>17.409347896874998</v>
      </c>
      <c r="K29" s="2">
        <f>(1/2)*Building_MI_original_baseline!K22+(1/2)*Building_MI_original_baseline!K23</f>
        <v>6.0587284328754922</v>
      </c>
      <c r="L29" s="2">
        <f>(1/2)*Building_MI_original_baseline!L22+(1/2)*Building_MI_original_baseline!L23</f>
        <v>4.4212342618280625</v>
      </c>
      <c r="M29" s="2">
        <f>(1/2)*Building_MI_original_baseline!M22+(1/2)*Building_MI_original_baseline!M23</f>
        <v>3.6024871763043467</v>
      </c>
      <c r="N29" s="2">
        <f>(1/2)*Building_MI_original_baseline!N22+(1/2)*Building_MI_original_baseline!N23</f>
        <v>1.3099953368379444</v>
      </c>
      <c r="O29" s="2">
        <f>(1/2)*Building_MI_original_baseline!O22+(1/2)*Building_MI_original_baseline!O23</f>
        <v>0.98249650262845822</v>
      </c>
      <c r="P29" s="2">
        <f>(1/2)*Building_MI_original_baseline!P22+(1/2)*Building_MI_original_baseline!P23</f>
        <v>274.78162223122501</v>
      </c>
      <c r="Q29" s="2">
        <f>(1/2)*Building_MI_original_baseline!Q22+(1/2)*Building_MI_original_baseline!Q23</f>
        <v>8.9842297680335861</v>
      </c>
      <c r="R29" s="2">
        <f>(1/2)*Building_MI_original_baseline!R22+(1/2)*Building_MI_original_baseline!R23</f>
        <v>0.30796127921195648</v>
      </c>
      <c r="S29" s="2">
        <f>(1/2)*Building_MI_original_baseline!S22+(1/2)*Building_MI_original_baseline!S23</f>
        <v>1.5572286196516789</v>
      </c>
      <c r="T29" s="2">
        <f>(1/2)*Building_MI_original_baseline!T22+(1/2)*Building_MI_original_baseline!T23</f>
        <v>5.6162331763068174</v>
      </c>
      <c r="U29" s="2">
        <f>(1/2)*Building_MI_original_baseline!U22+(1/2)*Building_MI_original_baseline!U23</f>
        <v>0</v>
      </c>
      <c r="V29" s="2">
        <f>(1/2)*Building_MI_original_baseline!V22+(1/2)*Building_MI_original_baseline!V23</f>
        <v>0</v>
      </c>
      <c r="W29" s="2">
        <f>(1/2)*Building_MI_original_baseline!W22+(1/2)*Building_MI_original_baseline!W23</f>
        <v>0.74354058407855739</v>
      </c>
      <c r="X29" s="2">
        <f>(1/2)*Building_MI_original_baseline!X22+(1/2)*Building_MI_original_baseline!X23</f>
        <v>0.35798067065217387</v>
      </c>
      <c r="Y29" s="2">
        <f>(1/2)*Building_MI_original_baseline!Y22+(1/2)*Building_MI_original_baseline!Y23</f>
        <v>69.62460717565466</v>
      </c>
      <c r="Z29" s="2">
        <f>(1/2)*Building_MI_original_baseline!Z22+(1/2)*Building_MI_original_baseline!Z23</f>
        <v>0.7959883165266799</v>
      </c>
      <c r="AA29" s="2">
        <f>(1/2)*Building_MI_original_baseline!AA22+(1/2)*Building_MI_original_baseline!AA23</f>
        <v>16.468138358448616</v>
      </c>
    </row>
    <row r="30" spans="1:28" x14ac:dyDescent="0.2">
      <c r="B30" t="s">
        <v>162</v>
      </c>
      <c r="C30" s="2">
        <f>Building_MI_original_baseline!C23</f>
        <v>0.78220971588438182</v>
      </c>
      <c r="D30" s="2">
        <f>Building_MI_original_baseline!D23</f>
        <v>54.555367037302368</v>
      </c>
      <c r="E30" s="2">
        <f>Building_MI_original_baseline!E23</f>
        <v>1526.4957120451579</v>
      </c>
      <c r="F30" s="2">
        <f>Building_MI_original_baseline!F23</f>
        <v>0.82586820096343772</v>
      </c>
      <c r="G30" s="2">
        <f>Building_MI_original_baseline!G23</f>
        <v>3.2032279496047429E-2</v>
      </c>
      <c r="H30" s="2">
        <f>Building_MI_original_baseline!H23</f>
        <v>13.000620371417984</v>
      </c>
      <c r="I30" s="2">
        <f>Building_MI_original_baseline!I23</f>
        <v>4.8845030879199598</v>
      </c>
      <c r="J30" s="2">
        <f>Building_MI_original_baseline!J23</f>
        <v>11.80718337072628</v>
      </c>
      <c r="K30" s="2">
        <f>Building_MI_original_baseline!K23</f>
        <v>5.0287314319646716</v>
      </c>
      <c r="L30" s="2">
        <f>Building_MI_original_baseline!L23</f>
        <v>3.6696148287309769</v>
      </c>
      <c r="M30" s="2">
        <f>Building_MI_original_baseline!M23</f>
        <v>2.9900565271141293</v>
      </c>
      <c r="N30" s="2">
        <f>Building_MI_original_baseline!N23</f>
        <v>1.0872932825869561</v>
      </c>
      <c r="O30" s="2">
        <f>Building_MI_original_baseline!O23</f>
        <v>0.81546996194021704</v>
      </c>
      <c r="P30" s="2">
        <f>Building_MI_original_baseline!P23</f>
        <v>324.79346358646245</v>
      </c>
      <c r="Q30" s="2">
        <f>Building_MI_original_baseline!Q23</f>
        <v>5.6977324031620444</v>
      </c>
      <c r="R30" s="2">
        <f>Building_MI_original_baseline!R23</f>
        <v>0.30843152722332012</v>
      </c>
      <c r="S30" s="2">
        <f>Building_MI_original_baseline!S23</f>
        <v>1.8854805530879433</v>
      </c>
      <c r="T30" s="2">
        <f>Building_MI_original_baseline!T23</f>
        <v>5.616245234298419</v>
      </c>
      <c r="U30" s="2">
        <f>Building_MI_original_baseline!U23</f>
        <v>0</v>
      </c>
      <c r="V30" s="2">
        <f>Building_MI_original_baseline!V23</f>
        <v>0</v>
      </c>
      <c r="W30" s="2">
        <f>Building_MI_original_baseline!W23</f>
        <v>0.74692466405632407</v>
      </c>
      <c r="X30" s="2">
        <f>Building_MI_original_baseline!X23</f>
        <v>0.35798067065217387</v>
      </c>
      <c r="Y30" s="2">
        <f>Building_MI_original_baseline!Y23</f>
        <v>70.662753874555364</v>
      </c>
      <c r="Z30" s="2">
        <f>Building_MI_original_baseline!Z23</f>
        <v>0.88796920642292487</v>
      </c>
      <c r="AA30" s="2">
        <f>Building_MI_original_baseline!AA23</f>
        <v>16.468138358448616</v>
      </c>
    </row>
    <row r="31" spans="1:28" x14ac:dyDescent="0.2">
      <c r="B31" t="s">
        <v>163</v>
      </c>
      <c r="C31" s="2">
        <f>(8/13)*Building_MI_original_baseline!C23+(5/13)*Building_MI_original_baseline!C24</f>
        <v>0.78220971588438193</v>
      </c>
      <c r="D31" s="2">
        <f>(8/13)*Building_MI_original_baseline!D23+(5/13)*Building_MI_original_baseline!D24</f>
        <v>54.555367037302368</v>
      </c>
      <c r="E31" s="2">
        <f>(8/13)*Building_MI_original_baseline!E23+(5/13)*Building_MI_original_baseline!E24</f>
        <v>1526.4957120451581</v>
      </c>
      <c r="F31" s="2">
        <f>(8/13)*Building_MI_original_baseline!F23+(5/13)*Building_MI_original_baseline!F24</f>
        <v>0.82586820096343772</v>
      </c>
      <c r="G31" s="2">
        <f>(8/13)*Building_MI_original_baseline!G23+(5/13)*Building_MI_original_baseline!G24</f>
        <v>3.2032279496047429E-2</v>
      </c>
      <c r="H31" s="2">
        <f>(8/13)*Building_MI_original_baseline!H23+(5/13)*Building_MI_original_baseline!H24</f>
        <v>13.000620371417984</v>
      </c>
      <c r="I31" s="2">
        <f>(8/13)*Building_MI_original_baseline!I23+(5/13)*Building_MI_original_baseline!I24</f>
        <v>4.8845030879199598</v>
      </c>
      <c r="J31" s="2">
        <f>(8/13)*Building_MI_original_baseline!J23+(5/13)*Building_MI_original_baseline!J24</f>
        <v>12.314097416180827</v>
      </c>
      <c r="K31" s="2">
        <f>(8/13)*Building_MI_original_baseline!K23+(5/13)*Building_MI_original_baseline!K24</f>
        <v>4.5828263287686495</v>
      </c>
      <c r="L31" s="2">
        <f>(8/13)*Building_MI_original_baseline!L23+(5/13)*Building_MI_original_baseline!L24</f>
        <v>3.3442246182906361</v>
      </c>
      <c r="M31" s="2">
        <f>(8/13)*Building_MI_original_baseline!M23+(5/13)*Building_MI_original_baseline!M24</f>
        <v>2.7249237630516294</v>
      </c>
      <c r="N31" s="2">
        <f>(8/13)*Building_MI_original_baseline!N23+(5/13)*Building_MI_original_baseline!N24</f>
        <v>0.9908813683824107</v>
      </c>
      <c r="O31" s="2">
        <f>(8/13)*Building_MI_original_baseline!O23+(5/13)*Building_MI_original_baseline!O24</f>
        <v>0.74316102628680802</v>
      </c>
      <c r="P31" s="2">
        <f>(8/13)*Building_MI_original_baseline!P23+(5/13)*Building_MI_original_baseline!P24</f>
        <v>324.79346358646245</v>
      </c>
      <c r="Q31" s="2">
        <f>(8/13)*Building_MI_original_baseline!Q23+(5/13)*Building_MI_original_baseline!Q24</f>
        <v>5.6977324031620444</v>
      </c>
      <c r="R31" s="2">
        <f>(8/13)*Building_MI_original_baseline!R23+(5/13)*Building_MI_original_baseline!R24</f>
        <v>0.30861239195234114</v>
      </c>
      <c r="S31" s="2">
        <f>(8/13)*Building_MI_original_baseline!S23+(5/13)*Building_MI_original_baseline!S24</f>
        <v>1.8863368592505307</v>
      </c>
      <c r="T31" s="2">
        <f>(8/13)*Building_MI_original_baseline!T23+(5/13)*Building_MI_original_baseline!T24</f>
        <v>5.5923577167303886</v>
      </c>
      <c r="U31" s="2">
        <f>(8/13)*Building_MI_original_baseline!U23+(5/13)*Building_MI_original_baseline!U24</f>
        <v>0</v>
      </c>
      <c r="V31" s="2">
        <f>(8/13)*Building_MI_original_baseline!V23+(5/13)*Building_MI_original_baseline!V24</f>
        <v>0</v>
      </c>
      <c r="W31" s="2">
        <f>(8/13)*Building_MI_original_baseline!W23+(5/13)*Building_MI_original_baseline!W24</f>
        <v>0.74695134019268772</v>
      </c>
      <c r="X31" s="2">
        <f>(8/13)*Building_MI_original_baseline!X23+(5/13)*Building_MI_original_baseline!X24</f>
        <v>0.35798067065217387</v>
      </c>
      <c r="Y31" s="2">
        <f>(8/13)*Building_MI_original_baseline!Y23+(5/13)*Building_MI_original_baseline!Y24</f>
        <v>70.656793496115867</v>
      </c>
      <c r="Z31" s="2">
        <f>(8/13)*Building_MI_original_baseline!Z23+(5/13)*Building_MI_original_baseline!Z24</f>
        <v>0.88796920642292498</v>
      </c>
      <c r="AA31" s="2">
        <f>(8/13)*Building_MI_original_baseline!AA23+(5/13)*Building_MI_original_baseline!AA24</f>
        <v>16.46813835844862</v>
      </c>
    </row>
    <row r="32" spans="1:28" x14ac:dyDescent="0.2">
      <c r="B32" t="s">
        <v>156</v>
      </c>
      <c r="C32" s="2">
        <f>Building_MI_original_baseline!C24</f>
        <v>0.78220971588438182</v>
      </c>
      <c r="D32" s="2">
        <f>Building_MI_original_baseline!D24</f>
        <v>54.555367037302368</v>
      </c>
      <c r="E32" s="2">
        <f>Building_MI_original_baseline!E24</f>
        <v>1526.4957120451579</v>
      </c>
      <c r="F32" s="2">
        <f>Building_MI_original_baseline!F24</f>
        <v>0.82586820096343772</v>
      </c>
      <c r="G32" s="2">
        <f>Building_MI_original_baseline!G24</f>
        <v>3.2032279496047429E-2</v>
      </c>
      <c r="H32" s="2">
        <f>Building_MI_original_baseline!H24</f>
        <v>13.000620371417984</v>
      </c>
      <c r="I32" s="2">
        <f>Building_MI_original_baseline!I24</f>
        <v>4.8845030879199598</v>
      </c>
      <c r="J32" s="2">
        <f>Building_MI_original_baseline!J24</f>
        <v>13.125159888908099</v>
      </c>
      <c r="K32" s="2">
        <f>Building_MI_original_baseline!K24</f>
        <v>3.8693781636550129</v>
      </c>
      <c r="L32" s="2">
        <f>Building_MI_original_baseline!L24</f>
        <v>2.8236002815860908</v>
      </c>
      <c r="M32" s="2">
        <f>Building_MI_original_baseline!M24</f>
        <v>2.3007113405516293</v>
      </c>
      <c r="N32" s="2">
        <f>Building_MI_original_baseline!N24</f>
        <v>0.83662230565513795</v>
      </c>
      <c r="O32" s="2">
        <f>Building_MI_original_baseline!O24</f>
        <v>0.62746672924135349</v>
      </c>
      <c r="P32" s="2">
        <f>Building_MI_original_baseline!P24</f>
        <v>324.79346358646245</v>
      </c>
      <c r="Q32" s="2">
        <f>Building_MI_original_baseline!Q24</f>
        <v>5.6977324031620444</v>
      </c>
      <c r="R32" s="2">
        <f>Building_MI_original_baseline!R24</f>
        <v>0.30890177551877468</v>
      </c>
      <c r="S32" s="2">
        <f>Building_MI_original_baseline!S24</f>
        <v>1.8877069491106706</v>
      </c>
      <c r="T32" s="2">
        <f>Building_MI_original_baseline!T24</f>
        <v>5.554137688621541</v>
      </c>
      <c r="U32" s="2">
        <f>Building_MI_original_baseline!U24</f>
        <v>0</v>
      </c>
      <c r="V32" s="2">
        <f>Building_MI_original_baseline!V24</f>
        <v>0</v>
      </c>
      <c r="W32" s="2">
        <f>Building_MI_original_baseline!W24</f>
        <v>0.74699402201086951</v>
      </c>
      <c r="X32" s="2">
        <f>Building_MI_original_baseline!X24</f>
        <v>0.35798067065217387</v>
      </c>
      <c r="Y32" s="2">
        <f>Building_MI_original_baseline!Y24</f>
        <v>70.647256890612667</v>
      </c>
      <c r="Z32" s="2">
        <f>Building_MI_original_baseline!Z24</f>
        <v>0.88796920642292487</v>
      </c>
      <c r="AA32" s="2">
        <f>Building_MI_original_baseline!AA24</f>
        <v>16.468138358448616</v>
      </c>
    </row>
    <row r="33" spans="1:33" x14ac:dyDescent="0.2">
      <c r="B33" t="s">
        <v>21</v>
      </c>
      <c r="C33" s="2">
        <f>Building_MI_original_baseline!C25</f>
        <v>1.5489130434782608</v>
      </c>
      <c r="D33" s="2">
        <f>Building_MI_original_baseline!D25</f>
        <v>237.06521739130437</v>
      </c>
      <c r="E33" s="2">
        <f>Building_MI_original_baseline!E25</f>
        <v>1107.9076086956522</v>
      </c>
      <c r="F33" s="2">
        <f>Building_MI_original_baseline!F25</f>
        <v>0.31521739130434784</v>
      </c>
      <c r="G33" s="2">
        <f>Building_MI_original_baseline!G25</f>
        <v>1.2880434782608696</v>
      </c>
      <c r="H33" s="2">
        <f>Building_MI_original_baseline!H25</f>
        <v>30.874999999999996</v>
      </c>
      <c r="I33" s="2">
        <f>Building_MI_original_baseline!I25</f>
        <v>5.8913043478260869</v>
      </c>
      <c r="J33" s="2">
        <f>Building_MI_original_baseline!J25</f>
        <v>2.206521739130435</v>
      </c>
      <c r="K33" s="2">
        <f>Building_MI_original_baseline!K25</f>
        <v>2.851413043478261</v>
      </c>
      <c r="L33" s="2">
        <f>Building_MI_original_baseline!L25</f>
        <v>2.0807608695652173</v>
      </c>
      <c r="M33" s="2">
        <f>Building_MI_original_baseline!M25</f>
        <v>1.6954347826086955</v>
      </c>
      <c r="N33" s="2">
        <f>Building_MI_original_baseline!N25</f>
        <v>0.61652173913043473</v>
      </c>
      <c r="O33" s="2">
        <f>Building_MI_original_baseline!O25</f>
        <v>0.46239130434782605</v>
      </c>
      <c r="P33" s="2">
        <f>Building_MI_original_baseline!P25</f>
        <v>0</v>
      </c>
      <c r="Q33" s="2">
        <f>Building_MI_original_baseline!Q25</f>
        <v>12.581521739130434</v>
      </c>
      <c r="R33" s="2">
        <f>Building_MI_original_baseline!R25</f>
        <v>0.37499999999999994</v>
      </c>
      <c r="S33" s="2">
        <f>Building_MI_original_baseline!S25</f>
        <v>2.5054347826086953</v>
      </c>
      <c r="T33" s="2">
        <f>Building_MI_original_baseline!T25</f>
        <v>0.99456521739130421</v>
      </c>
      <c r="U33" s="2">
        <f>Building_MI_original_baseline!U25</f>
        <v>61.532608695652172</v>
      </c>
      <c r="V33" s="2">
        <f>Building_MI_original_baseline!V25</f>
        <v>0</v>
      </c>
      <c r="W33" s="2">
        <f>Building_MI_original_baseline!W25</f>
        <v>0.12499999999999999</v>
      </c>
      <c r="X33" s="2">
        <f>Building_MI_original_baseline!X25</f>
        <v>0.27173913043478259</v>
      </c>
      <c r="Y33" s="2">
        <f>Building_MI_original_baseline!Y25</f>
        <v>21.673913043478258</v>
      </c>
      <c r="Z33" s="2">
        <f>Building_MI_original_baseline!Z25</f>
        <v>0.53260869565217395</v>
      </c>
      <c r="AA33" s="2">
        <f>Building_MI_original_baseline!AA25</f>
        <v>30.114130434782606</v>
      </c>
    </row>
    <row r="34" spans="1:33" x14ac:dyDescent="0.2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33" x14ac:dyDescent="0.2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33" x14ac:dyDescent="0.2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G36" s="23"/>
    </row>
    <row r="37" spans="1:33" x14ac:dyDescent="0.2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G37" s="23"/>
    </row>
    <row r="38" spans="1:33" x14ac:dyDescent="0.2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G38" s="23"/>
    </row>
    <row r="39" spans="1:33" x14ac:dyDescent="0.2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33" x14ac:dyDescent="0.2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2" spans="1:33" x14ac:dyDescent="0.2">
      <c r="M42" s="2"/>
    </row>
    <row r="45" spans="1:33" x14ac:dyDescent="0.2">
      <c r="A45" s="1"/>
      <c r="D45" s="1"/>
    </row>
    <row r="51" spans="3:24" x14ac:dyDescent="0.2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</sheetData>
  <mergeCells count="1">
    <mergeCell ref="AG36:AG38"/>
  </mergeCells>
  <conditionalFormatting sqref="AB6:AB10 AB21:AB25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:AB15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:AB2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G10 AG16:AG25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901B3-F5A3-1345-A63B-AFC8DC4E2639}">
  <dimension ref="A1:F4"/>
  <sheetViews>
    <sheetView workbookViewId="0">
      <selection sqref="A1:F4"/>
    </sheetView>
  </sheetViews>
  <sheetFormatPr baseColWidth="10" defaultRowHeight="16" x14ac:dyDescent="0.2"/>
  <sheetData>
    <row r="1" spans="1:6" x14ac:dyDescent="0.2">
      <c r="A1" s="22" t="s">
        <v>45</v>
      </c>
      <c r="B1" s="20"/>
      <c r="C1" s="20"/>
      <c r="D1" s="22" t="s">
        <v>57</v>
      </c>
      <c r="E1" s="20"/>
      <c r="F1" s="20"/>
    </row>
    <row r="2" spans="1:6" x14ac:dyDescent="0.2">
      <c r="A2" s="20" t="s">
        <v>46</v>
      </c>
      <c r="B2" s="20" t="s">
        <v>1</v>
      </c>
      <c r="C2" s="20"/>
      <c r="D2" s="20"/>
      <c r="E2" s="20"/>
      <c r="F2" s="20"/>
    </row>
    <row r="3" spans="1:6" x14ac:dyDescent="0.2">
      <c r="A3" s="20" t="s">
        <v>51</v>
      </c>
      <c r="B3" s="20" t="s">
        <v>47</v>
      </c>
      <c r="C3" s="20" t="s">
        <v>54</v>
      </c>
      <c r="D3" s="20" t="s">
        <v>56</v>
      </c>
      <c r="E3" s="20"/>
      <c r="F3" s="20"/>
    </row>
    <row r="4" spans="1:6" x14ac:dyDescent="0.2">
      <c r="A4" s="20" t="s">
        <v>52</v>
      </c>
      <c r="B4" s="20" t="s">
        <v>48</v>
      </c>
      <c r="C4" s="20" t="s">
        <v>53</v>
      </c>
      <c r="D4" s="20" t="s">
        <v>55</v>
      </c>
      <c r="E4" s="20"/>
      <c r="F4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B347C-2DA5-2547-8F72-FB5225524569}">
  <dimension ref="A1:AG51"/>
  <sheetViews>
    <sheetView zoomScale="59" zoomScaleNormal="44" workbookViewId="0">
      <selection activeCell="S22" sqref="S22"/>
    </sheetView>
  </sheetViews>
  <sheetFormatPr baseColWidth="10" defaultRowHeight="16" x14ac:dyDescent="0.2"/>
  <cols>
    <col min="3" max="3" width="20" bestFit="1" customWidth="1"/>
  </cols>
  <sheetData>
    <row r="1" spans="1:28" x14ac:dyDescent="0.2">
      <c r="C1" t="s">
        <v>22</v>
      </c>
      <c r="D1" t="s">
        <v>22</v>
      </c>
      <c r="E1" t="s">
        <v>22</v>
      </c>
      <c r="F1" t="s">
        <v>22</v>
      </c>
      <c r="G1" t="s">
        <v>22</v>
      </c>
      <c r="H1" t="s">
        <v>22</v>
      </c>
      <c r="I1" t="s">
        <v>22</v>
      </c>
      <c r="J1" t="s">
        <v>22</v>
      </c>
      <c r="K1" t="s">
        <v>22</v>
      </c>
      <c r="L1" t="s">
        <v>22</v>
      </c>
      <c r="M1" t="s">
        <v>22</v>
      </c>
      <c r="N1" t="s">
        <v>22</v>
      </c>
      <c r="O1" t="s">
        <v>22</v>
      </c>
      <c r="P1" t="s">
        <v>22</v>
      </c>
      <c r="Q1" t="s">
        <v>22</v>
      </c>
      <c r="R1" t="s">
        <v>22</v>
      </c>
      <c r="S1" t="s">
        <v>22</v>
      </c>
      <c r="T1" t="s">
        <v>22</v>
      </c>
      <c r="U1" t="s">
        <v>22</v>
      </c>
      <c r="V1" t="s">
        <v>22</v>
      </c>
      <c r="W1" t="s">
        <v>22</v>
      </c>
      <c r="X1" t="s">
        <v>22</v>
      </c>
      <c r="Y1" t="s">
        <v>22</v>
      </c>
      <c r="Z1" t="s">
        <v>22</v>
      </c>
      <c r="AA1" t="s">
        <v>22</v>
      </c>
    </row>
    <row r="2" spans="1:28" x14ac:dyDescent="0.2">
      <c r="A2" t="s">
        <v>133</v>
      </c>
      <c r="B2" t="s">
        <v>86</v>
      </c>
      <c r="C2" t="s">
        <v>91</v>
      </c>
      <c r="D2" t="s">
        <v>96</v>
      </c>
      <c r="E2" t="s">
        <v>96</v>
      </c>
      <c r="F2" t="s">
        <v>96</v>
      </c>
      <c r="G2" t="s">
        <v>95</v>
      </c>
      <c r="H2" t="s">
        <v>96</v>
      </c>
      <c r="I2" t="s">
        <v>88</v>
      </c>
      <c r="J2" t="s">
        <v>92</v>
      </c>
      <c r="K2" t="s">
        <v>96</v>
      </c>
      <c r="L2" t="s">
        <v>96</v>
      </c>
      <c r="M2" t="s">
        <v>96</v>
      </c>
      <c r="N2" t="s">
        <v>96</v>
      </c>
      <c r="O2" t="s">
        <v>96</v>
      </c>
      <c r="P2" t="s">
        <v>96</v>
      </c>
      <c r="Q2" t="s">
        <v>96</v>
      </c>
      <c r="R2" t="s">
        <v>90</v>
      </c>
      <c r="S2" t="s">
        <v>89</v>
      </c>
      <c r="T2" t="s">
        <v>96</v>
      </c>
      <c r="U2" t="s">
        <v>96</v>
      </c>
      <c r="V2" t="s">
        <v>92</v>
      </c>
      <c r="W2" t="s">
        <v>93</v>
      </c>
      <c r="X2" t="s">
        <v>94</v>
      </c>
      <c r="Y2" t="s">
        <v>87</v>
      </c>
      <c r="Z2" t="s">
        <v>96</v>
      </c>
      <c r="AA2" t="s">
        <v>96</v>
      </c>
    </row>
    <row r="3" spans="1:28" x14ac:dyDescent="0.2">
      <c r="B3" t="s">
        <v>73</v>
      </c>
      <c r="F3" t="s">
        <v>75</v>
      </c>
      <c r="Q3" t="s">
        <v>77</v>
      </c>
      <c r="S3" t="s">
        <v>63</v>
      </c>
      <c r="W3" t="s">
        <v>72</v>
      </c>
      <c r="Y3" t="s">
        <v>71</v>
      </c>
    </row>
    <row r="4" spans="1:28" x14ac:dyDescent="0.2">
      <c r="A4" t="s">
        <v>132</v>
      </c>
      <c r="B4" t="s">
        <v>59</v>
      </c>
      <c r="C4" t="s">
        <v>67</v>
      </c>
      <c r="D4" t="s">
        <v>66</v>
      </c>
      <c r="E4" t="s">
        <v>74</v>
      </c>
      <c r="F4" t="s">
        <v>135</v>
      </c>
      <c r="G4" t="s">
        <v>76</v>
      </c>
      <c r="H4" t="s">
        <v>66</v>
      </c>
      <c r="I4" t="s">
        <v>65</v>
      </c>
      <c r="J4" t="s">
        <v>60</v>
      </c>
      <c r="K4" t="s">
        <v>65</v>
      </c>
      <c r="L4" t="s">
        <v>64</v>
      </c>
      <c r="M4" t="s">
        <v>123</v>
      </c>
      <c r="N4" t="s">
        <v>64</v>
      </c>
      <c r="O4" t="s">
        <v>64</v>
      </c>
      <c r="P4" t="s">
        <v>66</v>
      </c>
      <c r="Q4" t="s">
        <v>66</v>
      </c>
      <c r="R4" t="s">
        <v>69</v>
      </c>
      <c r="S4" t="s">
        <v>64</v>
      </c>
      <c r="T4" t="s">
        <v>85</v>
      </c>
      <c r="U4" t="s">
        <v>66</v>
      </c>
      <c r="V4" t="s">
        <v>60</v>
      </c>
      <c r="W4" t="s">
        <v>68</v>
      </c>
      <c r="X4" t="s">
        <v>83</v>
      </c>
      <c r="Y4" t="s">
        <v>70</v>
      </c>
      <c r="Z4" t="s">
        <v>62</v>
      </c>
      <c r="AA4" t="s">
        <v>61</v>
      </c>
    </row>
    <row r="5" spans="1:28" x14ac:dyDescent="0.2">
      <c r="A5" t="s">
        <v>0</v>
      </c>
      <c r="B5" t="s">
        <v>14</v>
      </c>
      <c r="C5" t="s">
        <v>23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110</v>
      </c>
      <c r="L5" t="s">
        <v>111</v>
      </c>
      <c r="M5" t="s">
        <v>112</v>
      </c>
      <c r="N5" t="s">
        <v>113</v>
      </c>
      <c r="O5" t="s">
        <v>114</v>
      </c>
      <c r="P5" t="s">
        <v>32</v>
      </c>
      <c r="Q5" t="s">
        <v>33</v>
      </c>
      <c r="R5" t="s">
        <v>34</v>
      </c>
      <c r="S5" t="s">
        <v>35</v>
      </c>
      <c r="T5" t="s">
        <v>36</v>
      </c>
      <c r="U5" t="s">
        <v>49</v>
      </c>
      <c r="V5" t="s">
        <v>50</v>
      </c>
      <c r="W5" t="s">
        <v>37</v>
      </c>
      <c r="X5" t="s">
        <v>38</v>
      </c>
      <c r="Y5" t="s">
        <v>39</v>
      </c>
      <c r="Z5" t="s">
        <v>40</v>
      </c>
      <c r="AA5" t="s">
        <v>41</v>
      </c>
      <c r="AB5" t="s">
        <v>42</v>
      </c>
    </row>
    <row r="6" spans="1:28" x14ac:dyDescent="0.2">
      <c r="A6" t="s">
        <v>9</v>
      </c>
      <c r="B6" t="s">
        <v>16</v>
      </c>
      <c r="C6" s="2">
        <f>Building_MI_original_baseline!C6</f>
        <v>0.1123081338028169</v>
      </c>
      <c r="D6" s="2">
        <f>Building_MI_original_baseline!D6</f>
        <v>290.13365908450703</v>
      </c>
      <c r="E6" s="2">
        <f>Building_MI_original_baseline!E6</f>
        <v>1376.7648660647862</v>
      </c>
      <c r="F6" s="2">
        <f>Building_MI_original_baseline!F6</f>
        <v>0</v>
      </c>
      <c r="G6" s="2">
        <f>Building_MI_original_baseline!G6</f>
        <v>1.4084507042253521E-2</v>
      </c>
      <c r="H6" s="2">
        <f>Building_MI_original_baseline!H6</f>
        <v>9.3222154816901419</v>
      </c>
      <c r="I6" s="2">
        <f>Building_MI_original_baseline!I6</f>
        <v>0</v>
      </c>
      <c r="J6" s="2">
        <f>Building_MI_original_baseline!J6</f>
        <v>181.00586869013947</v>
      </c>
      <c r="K6" s="2">
        <f>Building_MI_original_baseline!K6</f>
        <v>5.0229685120985916</v>
      </c>
      <c r="L6" s="2">
        <f>Building_MI_original_baseline!L6</f>
        <v>3.6654094547746485</v>
      </c>
      <c r="M6" s="2">
        <f>Building_MI_original_baseline!M6</f>
        <v>2.9866299261126765</v>
      </c>
      <c r="N6" s="2">
        <f>Building_MI_original_baseline!N6</f>
        <v>1.086047245859155</v>
      </c>
      <c r="O6" s="2">
        <f>Building_MI_original_baseline!O6</f>
        <v>0.81453543439436626</v>
      </c>
      <c r="P6" s="2">
        <f>Building_MI_original_baseline!P6</f>
        <v>307.73567974647892</v>
      </c>
      <c r="Q6" s="2">
        <f>Building_MI_original_baseline!Q6</f>
        <v>33.736131078873242</v>
      </c>
      <c r="R6" s="2">
        <f>Building_MI_original_baseline!R6</f>
        <v>0.91964413521126764</v>
      </c>
      <c r="S6" s="2">
        <f>Building_MI_original_baseline!S6</f>
        <v>1.3289144064788729</v>
      </c>
      <c r="T6" s="2">
        <f>Building_MI_original_baseline!T6</f>
        <v>1.5227198140845066</v>
      </c>
      <c r="U6" s="2">
        <f>Building_MI_original_baseline!U6</f>
        <v>0</v>
      </c>
      <c r="V6" s="2">
        <f>Building_MI_original_baseline!V6</f>
        <v>0</v>
      </c>
      <c r="W6" s="2">
        <f>Building_MI_original_baseline!W6</f>
        <v>3.9420607408450712</v>
      </c>
      <c r="X6" s="2">
        <f>Building_MI_original_baseline!X6</f>
        <v>0</v>
      </c>
      <c r="Y6" s="2">
        <f>Building_MI_original_baseline!Y6</f>
        <v>69.751482257746474</v>
      </c>
      <c r="Z6" s="2">
        <f>Building_MI_original_baseline!Z6</f>
        <v>22.052394916901395</v>
      </c>
      <c r="AA6" s="2">
        <f>Building_MI_original_baseline!AA6</f>
        <v>25.486250845070423</v>
      </c>
      <c r="AB6" s="2">
        <f>Building_MI_original_baseline!AB6</f>
        <v>2337.4038704768982</v>
      </c>
    </row>
    <row r="7" spans="1:28" x14ac:dyDescent="0.2">
      <c r="B7" t="s">
        <v>160</v>
      </c>
      <c r="C7" s="2">
        <f>Building_MI_original_baseline!C7</f>
        <v>0.20712039295774648</v>
      </c>
      <c r="D7" s="2">
        <f>Building_MI_original_baseline!D7</f>
        <v>290.13365908450703</v>
      </c>
      <c r="E7" s="2">
        <f>Building_MI_original_baseline!E7</f>
        <v>1375.8505954591524</v>
      </c>
      <c r="F7" s="2">
        <f>Building_MI_original_baseline!F7</f>
        <v>0</v>
      </c>
      <c r="G7" s="2">
        <f>Building_MI_original_baseline!G7</f>
        <v>1.4084507042253521E-2</v>
      </c>
      <c r="H7" s="2">
        <f>Building_MI_original_baseline!H7</f>
        <v>31.41036341126761</v>
      </c>
      <c r="I7" s="2">
        <f>Building_MI_original_baseline!I7</f>
        <v>3.2294997704225352</v>
      </c>
      <c r="J7" s="2">
        <f>Building_MI_original_baseline!J7</f>
        <v>98.419572477464826</v>
      </c>
      <c r="K7" s="2">
        <f>Building_MI_original_baseline!K7</f>
        <v>5.1925099939154933</v>
      </c>
      <c r="L7" s="2">
        <f>Building_MI_original_baseline!L7</f>
        <v>3.7891289144788738</v>
      </c>
      <c r="M7" s="2">
        <f>Building_MI_original_baseline!M7</f>
        <v>3.0874383747605636</v>
      </c>
      <c r="N7" s="2">
        <f>Building_MI_original_baseline!N7</f>
        <v>1.122704863549296</v>
      </c>
      <c r="O7" s="2">
        <f>Building_MI_original_baseline!O7</f>
        <v>0.84202864766197183</v>
      </c>
      <c r="P7" s="2">
        <f>Building_MI_original_baseline!P7</f>
        <v>307.73567974647892</v>
      </c>
      <c r="Q7" s="2">
        <f>Building_MI_original_baseline!Q7</f>
        <v>33.736131078873242</v>
      </c>
      <c r="R7" s="2">
        <f>Building_MI_original_baseline!R7</f>
        <v>0.91964413521126764</v>
      </c>
      <c r="S7" s="2">
        <f>Building_MI_original_baseline!S7</f>
        <v>1.575594152957746</v>
      </c>
      <c r="T7" s="2">
        <f>Building_MI_original_baseline!T7</f>
        <v>1.5071151830985914</v>
      </c>
      <c r="U7" s="2">
        <f>Building_MI_original_baseline!U7</f>
        <v>0</v>
      </c>
      <c r="V7" s="2">
        <f>Building_MI_original_baseline!V7</f>
        <v>0</v>
      </c>
      <c r="W7" s="2">
        <f>Building_MI_original_baseline!W7</f>
        <v>3.945169339436621</v>
      </c>
      <c r="X7" s="2">
        <f>Building_MI_original_baseline!X7</f>
        <v>0.2419382957746479</v>
      </c>
      <c r="Y7" s="2">
        <f>Building_MI_original_baseline!Y7</f>
        <v>56.706148863380278</v>
      </c>
      <c r="Z7" s="2">
        <f>Building_MI_original_baseline!Z7</f>
        <v>22.052394916901395</v>
      </c>
      <c r="AA7" s="2">
        <f>Building_MI_original_baseline!AA7</f>
        <v>25.486250845070423</v>
      </c>
      <c r="AB7" s="2">
        <f>Building_MI_original_baseline!AB7</f>
        <v>2267.204772454364</v>
      </c>
    </row>
    <row r="8" spans="1:28" x14ac:dyDescent="0.2">
      <c r="B8" t="s">
        <v>161</v>
      </c>
      <c r="C8" s="2">
        <f>(1/2)*Building_MI_original_baseline!C7+(1/2)*Building_MI_original_baseline!C8</f>
        <v>0.20054953943661974</v>
      </c>
      <c r="D8" s="2">
        <f>(1/2)*Building_MI_original_baseline!D7+(1/2)*Building_MI_original_baseline!D8</f>
        <v>203.09356135915493</v>
      </c>
      <c r="E8" s="2">
        <f>(1/2)*Building_MI_original_baseline!E7+(1/2)*Building_MI_original_baseline!E8</f>
        <v>1343.3323362725328</v>
      </c>
      <c r="F8" s="2">
        <f>(1/2)*Building_MI_original_baseline!F7+(1/2)*Building_MI_original_baseline!F8</f>
        <v>0.11593369718309859</v>
      </c>
      <c r="G8" s="2">
        <f>(1/2)*Building_MI_original_baseline!G7+(1/2)*Building_MI_original_baseline!G8</f>
        <v>1.4084507042253521E-2</v>
      </c>
      <c r="H8" s="2">
        <f>(1/2)*Building_MI_original_baseline!H7+(1/2)*Building_MI_original_baseline!H8</f>
        <v>31.41036341126761</v>
      </c>
      <c r="I8" s="2">
        <f>(1/2)*Building_MI_original_baseline!I7+(1/2)*Building_MI_original_baseline!I8</f>
        <v>4.8442496549295768</v>
      </c>
      <c r="J8" s="2">
        <f>(1/2)*Building_MI_original_baseline!J7+(1/2)*Building_MI_original_baseline!J8</f>
        <v>61.771561314788755</v>
      </c>
      <c r="K8" s="2">
        <f>(1/2)*Building_MI_original_baseline!K7+(1/2)*Building_MI_original_baseline!K8</f>
        <v>5.3051271458802791</v>
      </c>
      <c r="L8" s="2">
        <f>(1/2)*Building_MI_original_baseline!L7+(1/2)*Building_MI_original_baseline!L8</f>
        <v>3.8713089983450688</v>
      </c>
      <c r="M8" s="2">
        <f>(1/2)*Building_MI_original_baseline!M7+(1/2)*Building_MI_original_baseline!M8</f>
        <v>3.1543999245774632</v>
      </c>
      <c r="N8" s="2">
        <f>(1/2)*Building_MI_original_baseline!N7+(1/2)*Building_MI_original_baseline!N8</f>
        <v>1.1470545180281686</v>
      </c>
      <c r="O8" s="2">
        <f>(1/2)*Building_MI_original_baseline!O7+(1/2)*Building_MI_original_baseline!O8</f>
        <v>0.86029088852112623</v>
      </c>
      <c r="P8" s="2">
        <f>(1/2)*Building_MI_original_baseline!P7+(1/2)*Building_MI_original_baseline!P8</f>
        <v>481.55970531690008</v>
      </c>
      <c r="Q8" s="2">
        <f>(1/2)*Building_MI_original_baseline!Q7+(1/2)*Building_MI_original_baseline!Q8</f>
        <v>18.041966085915494</v>
      </c>
      <c r="R8" s="2">
        <f>(1/2)*Building_MI_original_baseline!R7+(1/2)*Building_MI_original_baseline!R8</f>
        <v>0.91964413521126764</v>
      </c>
      <c r="S8" s="2">
        <f>(1/2)*Building_MI_original_baseline!S7+(1/2)*Building_MI_original_baseline!S8</f>
        <v>1.6860721529577458</v>
      </c>
      <c r="T8" s="2">
        <f>(1/2)*Building_MI_original_baseline!T7+(1/2)*Building_MI_original_baseline!T8</f>
        <v>1.4899587485915491</v>
      </c>
      <c r="U8" s="2">
        <f>(1/2)*Building_MI_original_baseline!U7+(1/2)*Building_MI_original_baseline!U8</f>
        <v>0</v>
      </c>
      <c r="V8" s="2">
        <f>(1/2)*Building_MI_original_baseline!V7+(1/2)*Building_MI_original_baseline!V8</f>
        <v>0</v>
      </c>
      <c r="W8" s="2">
        <f>(1/2)*Building_MI_original_baseline!W7+(1/2)*Building_MI_original_baseline!W8</f>
        <v>3.945169339436621</v>
      </c>
      <c r="X8" s="2">
        <f>(1/2)*Building_MI_original_baseline!X7+(1/2)*Building_MI_original_baseline!X8</f>
        <v>0.2419382957746479</v>
      </c>
      <c r="Y8" s="2">
        <f>(1/2)*Building_MI_original_baseline!Y7+(1/2)*Building_MI_original_baseline!Y8</f>
        <v>50.453034778873231</v>
      </c>
      <c r="Z8" s="2">
        <f>(1/2)*Building_MI_original_baseline!Z7+(1/2)*Building_MI_original_baseline!Z8</f>
        <v>22.617621195070409</v>
      </c>
      <c r="AA8" s="2">
        <f>(1/2)*Building_MI_original_baseline!AA7+(1/2)*Building_MI_original_baseline!AA8</f>
        <v>25.486250845070423</v>
      </c>
      <c r="AB8" s="2">
        <f>(1/2)*Building_MI_original_baseline!AB7+(1/2)*Building_MI_original_baseline!AB8</f>
        <v>2265.5621821254895</v>
      </c>
    </row>
    <row r="9" spans="1:28" x14ac:dyDescent="0.2">
      <c r="B9" t="s">
        <v>162</v>
      </c>
      <c r="C9" s="2">
        <f>Building_MI_original_baseline!C8</f>
        <v>0.19397868591549297</v>
      </c>
      <c r="D9" s="2">
        <f>Building_MI_original_baseline!D8</f>
        <v>116.05346363380282</v>
      </c>
      <c r="E9" s="2">
        <f>Building_MI_original_baseline!E8</f>
        <v>1310.8140770859129</v>
      </c>
      <c r="F9" s="2">
        <f>Building_MI_original_baseline!F8</f>
        <v>0.23186739436619719</v>
      </c>
      <c r="G9" s="2">
        <f>Building_MI_original_baseline!G8</f>
        <v>1.4084507042253521E-2</v>
      </c>
      <c r="H9" s="2">
        <f>Building_MI_original_baseline!H8</f>
        <v>31.41036341126761</v>
      </c>
      <c r="I9" s="2">
        <f>Building_MI_original_baseline!I8</f>
        <v>6.4589995394366193</v>
      </c>
      <c r="J9" s="2">
        <f>Building_MI_original_baseline!J8</f>
        <v>25.123550152112678</v>
      </c>
      <c r="K9" s="2">
        <f>Building_MI_original_baseline!K8</f>
        <v>5.4177442978450649</v>
      </c>
      <c r="L9" s="2">
        <f>Building_MI_original_baseline!L8</f>
        <v>3.9534890822112638</v>
      </c>
      <c r="M9" s="2">
        <f>Building_MI_original_baseline!M8</f>
        <v>3.2213614743943628</v>
      </c>
      <c r="N9" s="2">
        <f>Building_MI_original_baseline!N8</f>
        <v>1.171404172507041</v>
      </c>
      <c r="O9" s="2">
        <f>Building_MI_original_baseline!O8</f>
        <v>0.87855312938028074</v>
      </c>
      <c r="P9" s="2">
        <f>Building_MI_original_baseline!P8</f>
        <v>655.38373088732124</v>
      </c>
      <c r="Q9" s="2">
        <f>Building_MI_original_baseline!Q8</f>
        <v>2.3478010929577464</v>
      </c>
      <c r="R9" s="2">
        <f>Building_MI_original_baseline!R8</f>
        <v>0.91964413521126764</v>
      </c>
      <c r="S9" s="2">
        <f>Building_MI_original_baseline!S8</f>
        <v>1.7965501529577459</v>
      </c>
      <c r="T9" s="2">
        <f>Building_MI_original_baseline!T8</f>
        <v>1.4728023140845068</v>
      </c>
      <c r="U9" s="2">
        <f>Building_MI_original_baseline!U8</f>
        <v>0</v>
      </c>
      <c r="V9" s="2">
        <f>Building_MI_original_baseline!V8</f>
        <v>0</v>
      </c>
      <c r="W9" s="2">
        <f>Building_MI_original_baseline!W8</f>
        <v>3.945169339436621</v>
      </c>
      <c r="X9" s="2">
        <f>Building_MI_original_baseline!X8</f>
        <v>0.2419382957746479</v>
      </c>
      <c r="Y9" s="2">
        <f>Building_MI_original_baseline!Y8</f>
        <v>44.199920694366185</v>
      </c>
      <c r="Z9" s="2">
        <f>Building_MI_original_baseline!Z8</f>
        <v>23.182847473239423</v>
      </c>
      <c r="AA9" s="2">
        <f>Building_MI_original_baseline!AA8</f>
        <v>25.486250845070423</v>
      </c>
      <c r="AB9" s="2">
        <f>Building_MI_original_baseline!AB8</f>
        <v>2263.9195917966149</v>
      </c>
    </row>
    <row r="10" spans="1:28" x14ac:dyDescent="0.2">
      <c r="B10" t="s">
        <v>163</v>
      </c>
      <c r="C10" s="2">
        <f>(8/13)*Building_MI_original_baseline!C8+(5/13)*Building_MI_original_baseline!C9</f>
        <v>0.19397868591549297</v>
      </c>
      <c r="D10" s="2">
        <f>(8/13)*Building_MI_original_baseline!D8+(5/13)*Building_MI_original_baseline!D9</f>
        <v>116.05346363380283</v>
      </c>
      <c r="E10" s="2">
        <f>(8/13)*Building_MI_original_baseline!E8+(5/13)*Building_MI_original_baseline!E9</f>
        <v>1310.8140770859131</v>
      </c>
      <c r="F10" s="2">
        <f>(8/13)*Building_MI_original_baseline!F8+(5/13)*Building_MI_original_baseline!F9</f>
        <v>0.23186739436619719</v>
      </c>
      <c r="G10" s="2">
        <f>(8/13)*Building_MI_original_baseline!G8+(5/13)*Building_MI_original_baseline!G9</f>
        <v>1.4084507042253523E-2</v>
      </c>
      <c r="H10" s="2">
        <f>(8/13)*Building_MI_original_baseline!H8+(5/13)*Building_MI_original_baseline!H9</f>
        <v>31.41036341126761</v>
      </c>
      <c r="I10" s="2">
        <f>(8/13)*Building_MI_original_baseline!I8+(5/13)*Building_MI_original_baseline!I9</f>
        <v>6.4589995394366202</v>
      </c>
      <c r="J10" s="2">
        <f>(8/13)*Building_MI_original_baseline!J8+(5/13)*Building_MI_original_baseline!J9</f>
        <v>29.187577170530879</v>
      </c>
      <c r="K10" s="2">
        <f>(8/13)*Building_MI_original_baseline!K8+(5/13)*Building_MI_original_baseline!K9</f>
        <v>5.6812744136901401</v>
      </c>
      <c r="L10" s="2">
        <f>(8/13)*Building_MI_original_baseline!L8+(5/13)*Building_MI_original_baseline!L9</f>
        <v>4.1457948424225348</v>
      </c>
      <c r="M10" s="2">
        <f>(8/13)*Building_MI_original_baseline!M8+(5/13)*Building_MI_original_baseline!M9</f>
        <v>3.3780550567887317</v>
      </c>
      <c r="N10" s="2">
        <f>(8/13)*Building_MI_original_baseline!N8+(5/13)*Building_MI_original_baseline!N9</f>
        <v>1.2283836570140843</v>
      </c>
      <c r="O10" s="2">
        <f>(8/13)*Building_MI_original_baseline!O8+(5/13)*Building_MI_original_baseline!O9</f>
        <v>0.92128774276056324</v>
      </c>
      <c r="P10" s="2">
        <f>(8/13)*Building_MI_original_baseline!P8+(5/13)*Building_MI_original_baseline!P9</f>
        <v>655.38373088732124</v>
      </c>
      <c r="Q10" s="2">
        <f>(8/13)*Building_MI_original_baseline!Q8+(5/13)*Building_MI_original_baseline!Q9</f>
        <v>2.3478010929577464</v>
      </c>
      <c r="R10" s="2">
        <f>(8/13)*Building_MI_original_baseline!R8+(5/13)*Building_MI_original_baseline!R9</f>
        <v>0.91964413521126775</v>
      </c>
      <c r="S10" s="2">
        <f>(8/13)*Building_MI_original_baseline!S8+(5/13)*Building_MI_original_baseline!S9</f>
        <v>1.7965501529577459</v>
      </c>
      <c r="T10" s="2">
        <f>(8/13)*Building_MI_original_baseline!T8+(5/13)*Building_MI_original_baseline!T9</f>
        <v>1.5027603070422533</v>
      </c>
      <c r="U10" s="2">
        <f>(8/13)*Building_MI_original_baseline!U8+(5/13)*Building_MI_original_baseline!U9</f>
        <v>0</v>
      </c>
      <c r="V10" s="2">
        <f>(8/13)*Building_MI_original_baseline!V8+(5/13)*Building_MI_original_baseline!V9</f>
        <v>0</v>
      </c>
      <c r="W10" s="2">
        <f>(8/13)*Building_MI_original_baseline!W8+(5/13)*Building_MI_original_baseline!W9</f>
        <v>3.9451693394366214</v>
      </c>
      <c r="X10" s="2">
        <f>(8/13)*Building_MI_original_baseline!X8+(5/13)*Building_MI_original_baseline!X9</f>
        <v>0.24193829577464793</v>
      </c>
      <c r="Y10" s="2">
        <f>(8/13)*Building_MI_original_baseline!Y8+(5/13)*Building_MI_original_baseline!Y9</f>
        <v>44.194766927302268</v>
      </c>
      <c r="Z10" s="2">
        <f>(8/13)*Building_MI_original_baseline!Z8+(5/13)*Building_MI_original_baseline!Z9</f>
        <v>23.182847473239427</v>
      </c>
      <c r="AA10" s="2">
        <f>(8/13)*Building_MI_original_baseline!AA8+(5/13)*Building_MI_original_baseline!AA9</f>
        <v>25.486250845070423</v>
      </c>
      <c r="AB10" s="2">
        <f>(8/13)*Building_MI_original_baseline!AB8+(5/13)*Building_MI_original_baseline!AB9</f>
        <v>2268.7206665972649</v>
      </c>
    </row>
    <row r="11" spans="1:28" x14ac:dyDescent="0.2">
      <c r="B11" t="s">
        <v>156</v>
      </c>
      <c r="C11" s="2">
        <f>Building_MI_original_baseline!C9</f>
        <v>0.19397868591549297</v>
      </c>
      <c r="D11" s="2">
        <f>Building_MI_original_baseline!D9</f>
        <v>116.05346363380282</v>
      </c>
      <c r="E11" s="2">
        <f>Building_MI_original_baseline!E9</f>
        <v>1310.8140770859129</v>
      </c>
      <c r="F11" s="2">
        <f>Building_MI_original_baseline!F9</f>
        <v>0.23186739436619719</v>
      </c>
      <c r="G11" s="2">
        <f>Building_MI_original_baseline!G9</f>
        <v>1.4084507042253521E-2</v>
      </c>
      <c r="H11" s="2">
        <f>Building_MI_original_baseline!H9</f>
        <v>31.41036341126761</v>
      </c>
      <c r="I11" s="2">
        <f>Building_MI_original_baseline!I9</f>
        <v>6.4589995394366193</v>
      </c>
      <c r="J11" s="2">
        <f>Building_MI_original_baseline!J9</f>
        <v>35.690020400000002</v>
      </c>
      <c r="K11" s="2">
        <f>Building_MI_original_baseline!K9</f>
        <v>6.1029225990422589</v>
      </c>
      <c r="L11" s="2">
        <f>Building_MI_original_baseline!L9</f>
        <v>4.4534840587605675</v>
      </c>
      <c r="M11" s="2">
        <f>Building_MI_original_baseline!M9</f>
        <v>3.6287647886197218</v>
      </c>
      <c r="N11" s="2">
        <f>Building_MI_original_baseline!N9</f>
        <v>1.3195508322253533</v>
      </c>
      <c r="O11" s="2">
        <f>Building_MI_original_baseline!O9</f>
        <v>0.98966312416901503</v>
      </c>
      <c r="P11" s="2">
        <f>Building_MI_original_baseline!P9</f>
        <v>655.38373088732124</v>
      </c>
      <c r="Q11" s="2">
        <f>Building_MI_original_baseline!Q9</f>
        <v>2.3478010929577464</v>
      </c>
      <c r="R11" s="2">
        <f>Building_MI_original_baseline!R9</f>
        <v>0.91964413521126764</v>
      </c>
      <c r="S11" s="2">
        <f>Building_MI_original_baseline!S9</f>
        <v>1.7965501529577459</v>
      </c>
      <c r="T11" s="2">
        <f>Building_MI_original_baseline!T9</f>
        <v>1.5506930957746479</v>
      </c>
      <c r="U11" s="2">
        <f>Building_MI_original_baseline!U9</f>
        <v>0</v>
      </c>
      <c r="V11" s="2">
        <f>Building_MI_original_baseline!V9</f>
        <v>0</v>
      </c>
      <c r="W11" s="2">
        <f>Building_MI_original_baseline!W9</f>
        <v>3.945169339436621</v>
      </c>
      <c r="X11" s="2">
        <f>Building_MI_original_baseline!X9</f>
        <v>0.2419382957746479</v>
      </c>
      <c r="Y11" s="2">
        <f>Building_MI_original_baseline!Y9</f>
        <v>44.186520899999984</v>
      </c>
      <c r="Z11" s="2">
        <f>Building_MI_original_baseline!Z9</f>
        <v>23.182847473239423</v>
      </c>
      <c r="AA11" s="2">
        <f>Building_MI_original_baseline!AA9</f>
        <v>25.486250845070423</v>
      </c>
      <c r="AB11" s="2">
        <f>Building_MI_original_baseline!AB9</f>
        <v>2276.4023862783047</v>
      </c>
    </row>
    <row r="12" spans="1:28" x14ac:dyDescent="0.2">
      <c r="B12" t="s">
        <v>21</v>
      </c>
      <c r="C12" s="2">
        <f>Building_MI_original_baseline!C10</f>
        <v>1.8059701492537312</v>
      </c>
      <c r="D12" s="2">
        <f>Building_MI_original_baseline!D10</f>
        <v>218.41791044776119</v>
      </c>
      <c r="E12" s="2">
        <f>Building_MI_original_baseline!E10</f>
        <v>1190.3880597014925</v>
      </c>
      <c r="F12" s="2">
        <f>Building_MI_original_baseline!F10</f>
        <v>0.10447761194029852</v>
      </c>
      <c r="G12" s="2">
        <f>Building_MI_original_baseline!G10</f>
        <v>0.62686567164179097</v>
      </c>
      <c r="H12" s="2">
        <f>Building_MI_original_baseline!H10</f>
        <v>15.820895522388058</v>
      </c>
      <c r="I12" s="2">
        <f>Building_MI_original_baseline!I10</f>
        <v>11.134328358208954</v>
      </c>
      <c r="J12" s="2">
        <f>Building_MI_original_baseline!J10</f>
        <v>34.328358208955223</v>
      </c>
      <c r="K12" s="2">
        <f>Building_MI_original_baseline!K10</f>
        <v>12.61865671641791</v>
      </c>
      <c r="L12" s="2">
        <f>Building_MI_original_baseline!L10</f>
        <v>9.2082089552238813</v>
      </c>
      <c r="M12" s="2">
        <f>Building_MI_original_baseline!M10</f>
        <v>7.5029850746268654</v>
      </c>
      <c r="N12" s="2">
        <f>Building_MI_original_baseline!N10</f>
        <v>2.7283582089552239</v>
      </c>
      <c r="O12" s="2">
        <f>Building_MI_original_baseline!O10</f>
        <v>2.0462686567164177</v>
      </c>
      <c r="P12" s="2">
        <f>Building_MI_original_baseline!P10</f>
        <v>0</v>
      </c>
      <c r="Q12" s="2">
        <f>Building_MI_original_baseline!Q10</f>
        <v>5.3582089552238799</v>
      </c>
      <c r="R12" s="2">
        <f>Building_MI_original_baseline!R10</f>
        <v>0.47761194029850745</v>
      </c>
      <c r="S12" s="2">
        <f>Building_MI_original_baseline!S10</f>
        <v>2.4029850746268657</v>
      </c>
      <c r="T12" s="2">
        <f>Building_MI_original_baseline!T10</f>
        <v>0.9253731343283581</v>
      </c>
      <c r="U12" s="2">
        <f>Building_MI_original_baseline!U10</f>
        <v>82.910447761194021</v>
      </c>
      <c r="V12" s="2">
        <f>Building_MI_original_baseline!V10</f>
        <v>0</v>
      </c>
      <c r="W12" s="2">
        <f>Building_MI_original_baseline!W10</f>
        <v>0.11940298507462686</v>
      </c>
      <c r="X12" s="2">
        <f>Building_MI_original_baseline!X10</f>
        <v>1.3731343283582089</v>
      </c>
      <c r="Y12" s="2">
        <f>Building_MI_original_baseline!Y10</f>
        <v>25.686567164179102</v>
      </c>
      <c r="Z12" s="2">
        <f>Building_MI_original_baseline!Z10</f>
        <v>4.4776119402985072E-2</v>
      </c>
      <c r="AA12" s="2">
        <f>Building_MI_original_baseline!AA10</f>
        <v>99.507462686567166</v>
      </c>
      <c r="AB12" s="2">
        <f>Building_MI_original_baseline!AB10</f>
        <v>1725.5373134328356</v>
      </c>
    </row>
    <row r="13" spans="1:28" x14ac:dyDescent="0.2">
      <c r="A13" t="s">
        <v>43</v>
      </c>
      <c r="B13" t="s">
        <v>16</v>
      </c>
      <c r="C13" s="2">
        <f>Building_MI_original_baseline!C11</f>
        <v>0.18886813098591554</v>
      </c>
      <c r="D13" s="2">
        <f>Building_MI_original_baseline!D11</f>
        <v>322.16941545070426</v>
      </c>
      <c r="E13" s="2">
        <f>Building_MI_original_baseline!E11</f>
        <v>1388.6241446239421</v>
      </c>
      <c r="F13" s="2">
        <f>Building_MI_original_baseline!F11</f>
        <v>0</v>
      </c>
      <c r="G13" s="2">
        <f>Building_MI_original_baseline!G11</f>
        <v>7.0422535211267607E-3</v>
      </c>
      <c r="H13" s="2">
        <f>Building_MI_original_baseline!H11</f>
        <v>10.021588338028154</v>
      </c>
      <c r="I13" s="2">
        <f>Building_MI_original_baseline!I11</f>
        <v>0.18055071267605635</v>
      </c>
      <c r="J13" s="2">
        <f>Building_MI_original_baseline!J11</f>
        <v>88.17859265915493</v>
      </c>
      <c r="K13" s="2">
        <f>Building_MI_original_baseline!K11</f>
        <v>5.3200696925492945</v>
      </c>
      <c r="L13" s="2">
        <f>Building_MI_original_baseline!L11</f>
        <v>3.8822130188873234</v>
      </c>
      <c r="M13" s="2">
        <f>Building_MI_original_baseline!M11</f>
        <v>3.1632846820563376</v>
      </c>
      <c r="N13" s="2">
        <f>Building_MI_original_baseline!N11</f>
        <v>1.1502853389295773</v>
      </c>
      <c r="O13" s="2">
        <f>Building_MI_original_baseline!O11</f>
        <v>0.86271400419718292</v>
      </c>
      <c r="P13" s="2">
        <f>Building_MI_original_baseline!P11</f>
        <v>327.72170992957751</v>
      </c>
      <c r="Q13" s="2">
        <f>Building_MI_original_baseline!Q11</f>
        <v>3.3205046464788595</v>
      </c>
      <c r="R13" s="2">
        <f>Building_MI_original_baseline!R11</f>
        <v>0.84813828732394358</v>
      </c>
      <c r="S13" s="2">
        <f>Building_MI_original_baseline!S11</f>
        <v>1.2349096312676042</v>
      </c>
      <c r="T13" s="2">
        <f>Building_MI_original_baseline!T11</f>
        <v>1.6288591619718307</v>
      </c>
      <c r="U13" s="2">
        <f>Building_MI_original_baseline!U11</f>
        <v>0</v>
      </c>
      <c r="V13" s="2">
        <f>Building_MI_original_baseline!V11</f>
        <v>0</v>
      </c>
      <c r="W13" s="2">
        <f>Building_MI_original_baseline!W11</f>
        <v>1.3351705873239421</v>
      </c>
      <c r="X13" s="2">
        <f>Building_MI_original_baseline!X11</f>
        <v>0</v>
      </c>
      <c r="Y13" s="2">
        <f>Building_MI_original_baseline!Y11</f>
        <v>59.321162621126753</v>
      </c>
      <c r="Z13" s="2">
        <f>Building_MI_original_baseline!Z11</f>
        <v>0.47078741830985782</v>
      </c>
      <c r="AA13" s="2">
        <f>Building_MI_original_baseline!AA11</f>
        <v>20.141574830985917</v>
      </c>
      <c r="AB13" s="2">
        <f>Building_MI_original_baseline!AB11</f>
        <v>2239.7715860199983</v>
      </c>
    </row>
    <row r="14" spans="1:28" x14ac:dyDescent="0.2">
      <c r="B14" t="s">
        <v>160</v>
      </c>
      <c r="C14" s="2">
        <f>Building_MI_original_baseline!C12</f>
        <v>0.2876202295774648</v>
      </c>
      <c r="D14" s="2">
        <f>Building_MI_original_baseline!D12</f>
        <v>322.16941545070426</v>
      </c>
      <c r="E14" s="2">
        <f>Building_MI_original_baseline!E12</f>
        <v>1508.265099229576</v>
      </c>
      <c r="F14" s="2">
        <f>Building_MI_original_baseline!F12</f>
        <v>0</v>
      </c>
      <c r="G14" s="2">
        <f>Building_MI_original_baseline!G12</f>
        <v>7.0422535211267607E-3</v>
      </c>
      <c r="H14" s="2">
        <f>Building_MI_original_baseline!H12</f>
        <v>46.677546563380261</v>
      </c>
      <c r="I14" s="2">
        <f>Building_MI_original_baseline!I12</f>
        <v>2.4917772253521133</v>
      </c>
      <c r="J14" s="2">
        <f>Building_MI_original_baseline!J12</f>
        <v>52.5479935169014</v>
      </c>
      <c r="K14" s="2">
        <f>Building_MI_original_baseline!K12</f>
        <v>5.5080911474647882</v>
      </c>
      <c r="L14" s="2">
        <f>Building_MI_original_baseline!L12</f>
        <v>4.0194178643661971</v>
      </c>
      <c r="M14" s="2">
        <f>Building_MI_original_baseline!M12</f>
        <v>3.2750812228169011</v>
      </c>
      <c r="N14" s="2">
        <f>Building_MI_original_baseline!N12</f>
        <v>1.1909386264788731</v>
      </c>
      <c r="O14" s="2">
        <f>Building_MI_original_baseline!O12</f>
        <v>0.89320396985915473</v>
      </c>
      <c r="P14" s="2">
        <f>Building_MI_original_baseline!P12</f>
        <v>327.72170992957751</v>
      </c>
      <c r="Q14" s="2">
        <f>Building_MI_original_baseline!Q12</f>
        <v>3.3205046464788595</v>
      </c>
      <c r="R14" s="2">
        <f>Building_MI_original_baseline!R12</f>
        <v>0.84813828732394358</v>
      </c>
      <c r="S14" s="2">
        <f>Building_MI_original_baseline!S12</f>
        <v>1.5494636326760549</v>
      </c>
      <c r="T14" s="2">
        <f>Building_MI_original_baseline!T12</f>
        <v>1.7200033676056337</v>
      </c>
      <c r="U14" s="2">
        <f>Building_MI_original_baseline!U12</f>
        <v>0</v>
      </c>
      <c r="V14" s="2">
        <f>Building_MI_original_baseline!V12</f>
        <v>0</v>
      </c>
      <c r="W14" s="2">
        <f>Building_MI_original_baseline!W12</f>
        <v>1.3770228845070407</v>
      </c>
      <c r="X14" s="2">
        <f>Building_MI_original_baseline!X12</f>
        <v>0.36854849295774644</v>
      </c>
      <c r="Y14" s="2">
        <f>Building_MI_original_baseline!Y12</f>
        <v>61.458932929577458</v>
      </c>
      <c r="Z14" s="2">
        <f>Building_MI_original_baseline!Z12</f>
        <v>0.47078741830985782</v>
      </c>
      <c r="AA14" s="2">
        <f>Building_MI_original_baseline!AA12</f>
        <v>20.141574830985917</v>
      </c>
      <c r="AB14" s="2">
        <f>Building_MI_original_baseline!AB12</f>
        <v>2366.3099137199983</v>
      </c>
    </row>
    <row r="15" spans="1:28" x14ac:dyDescent="0.2">
      <c r="B15" t="s">
        <v>161</v>
      </c>
      <c r="C15" s="2">
        <f>(1/2)*Building_MI_original_baseline!C12+(1/2)*Building_MI_original_baseline!C13</f>
        <v>0.27010362746478878</v>
      </c>
      <c r="D15" s="2">
        <f>(1/2)*Building_MI_original_baseline!D12+(1/2)*Building_MI_original_baseline!D13</f>
        <v>225.51859081690142</v>
      </c>
      <c r="E15" s="2">
        <f>(1/2)*Building_MI_original_baseline!E12+(1/2)*Building_MI_original_baseline!E13</f>
        <v>1549.0926430154914</v>
      </c>
      <c r="F15" s="2">
        <f>(1/2)*Building_MI_original_baseline!F12+(1/2)*Building_MI_original_baseline!F13</f>
        <v>0</v>
      </c>
      <c r="G15" s="2">
        <f>(1/2)*Building_MI_original_baseline!G12+(1/2)*Building_MI_original_baseline!G13</f>
        <v>7.0422535211267607E-3</v>
      </c>
      <c r="H15" s="2">
        <f>(1/2)*Building_MI_original_baseline!H12+(1/2)*Building_MI_original_baseline!H13</f>
        <v>46.677546563380261</v>
      </c>
      <c r="I15" s="2">
        <f>(1/2)*Building_MI_original_baseline!I12+(1/2)*Building_MI_original_baseline!I13</f>
        <v>3.6473904816901408</v>
      </c>
      <c r="J15" s="2">
        <f>(1/2)*Building_MI_original_baseline!J12+(1/2)*Building_MI_original_baseline!J13</f>
        <v>40.568142797887319</v>
      </c>
      <c r="K15" s="2">
        <f>(1/2)*Building_MI_original_baseline!K12+(1/2)*Building_MI_original_baseline!K13</f>
        <v>5.6028457630492952</v>
      </c>
      <c r="L15" s="2">
        <f>(1/2)*Building_MI_original_baseline!L12+(1/2)*Building_MI_original_baseline!L13</f>
        <v>4.0885631243873242</v>
      </c>
      <c r="M15" s="2">
        <f>(1/2)*Building_MI_original_baseline!M12+(1/2)*Building_MI_original_baseline!M13</f>
        <v>3.3314218050563378</v>
      </c>
      <c r="N15" s="2">
        <f>(1/2)*Building_MI_original_baseline!N12+(1/2)*Building_MI_original_baseline!N13</f>
        <v>1.2114261109295774</v>
      </c>
      <c r="O15" s="2">
        <f>(1/2)*Building_MI_original_baseline!O12+(1/2)*Building_MI_original_baseline!O13</f>
        <v>0.90856958319718295</v>
      </c>
      <c r="P15" s="2">
        <f>(1/2)*Building_MI_original_baseline!P12+(1/2)*Building_MI_original_baseline!P13</f>
        <v>528.12196566901412</v>
      </c>
      <c r="Q15" s="2">
        <f>(1/2)*Building_MI_original_baseline!Q12+(1/2)*Building_MI_original_baseline!Q13</f>
        <v>3.3205046464788595</v>
      </c>
      <c r="R15" s="2">
        <f>(1/2)*Building_MI_original_baseline!R12+(1/2)*Building_MI_original_baseline!R13</f>
        <v>0.84813828732394358</v>
      </c>
      <c r="S15" s="2">
        <f>(1/2)*Building_MI_original_baseline!S12+(1/2)*Building_MI_original_baseline!S13</f>
        <v>1.6769674685915477</v>
      </c>
      <c r="T15" s="2">
        <f>(1/2)*Building_MI_original_baseline!T12+(1/2)*Building_MI_original_baseline!T13</f>
        <v>1.7268795647887323</v>
      </c>
      <c r="U15" s="2">
        <f>(1/2)*Building_MI_original_baseline!U12+(1/2)*Building_MI_original_baseline!U13</f>
        <v>0</v>
      </c>
      <c r="V15" s="2">
        <f>(1/2)*Building_MI_original_baseline!V12+(1/2)*Building_MI_original_baseline!V13</f>
        <v>0</v>
      </c>
      <c r="W15" s="2">
        <f>(1/2)*Building_MI_original_baseline!W12+(1/2)*Building_MI_original_baseline!W13</f>
        <v>1.3770228845070407</v>
      </c>
      <c r="X15" s="2">
        <f>(1/2)*Building_MI_original_baseline!X12+(1/2)*Building_MI_original_baseline!X13</f>
        <v>0.36854849295774644</v>
      </c>
      <c r="Y15" s="2">
        <f>(1/2)*Building_MI_original_baseline!Y12+(1/2)*Building_MI_original_baseline!Y13</f>
        <v>62.392253333098587</v>
      </c>
      <c r="Z15" s="2">
        <f>(1/2)*Building_MI_original_baseline!Z12+(1/2)*Building_MI_original_baseline!Z13</f>
        <v>0.8856266260563368</v>
      </c>
      <c r="AA15" s="2">
        <f>(1/2)*Building_MI_original_baseline!AA12+(1/2)*Building_MI_original_baseline!AA13</f>
        <v>20.141574830985917</v>
      </c>
      <c r="AB15" s="2">
        <f>(1/2)*Building_MI_original_baseline!AB12+(1/2)*Building_MI_original_baseline!AB13</f>
        <v>2501.7837677467587</v>
      </c>
    </row>
    <row r="16" spans="1:28" x14ac:dyDescent="0.2">
      <c r="B16" t="s">
        <v>162</v>
      </c>
      <c r="C16" s="2">
        <f>Building_MI_original_baseline!C13</f>
        <v>0.25258702535211269</v>
      </c>
      <c r="D16" s="2">
        <f>Building_MI_original_baseline!D13</f>
        <v>128.86776618309858</v>
      </c>
      <c r="E16" s="2">
        <f>Building_MI_original_baseline!E13</f>
        <v>1589.920186801407</v>
      </c>
      <c r="F16" s="2">
        <f>Building_MI_original_baseline!F13</f>
        <v>0</v>
      </c>
      <c r="G16" s="2">
        <f>Building_MI_original_baseline!G13</f>
        <v>7.0422535211267607E-3</v>
      </c>
      <c r="H16" s="2">
        <f>Building_MI_original_baseline!H13</f>
        <v>46.677546563380261</v>
      </c>
      <c r="I16" s="2">
        <f>Building_MI_original_baseline!I13</f>
        <v>4.8030037380281687</v>
      </c>
      <c r="J16" s="2">
        <f>Building_MI_original_baseline!J13</f>
        <v>28.588292078873238</v>
      </c>
      <c r="K16" s="2">
        <f>Building_MI_original_baseline!K13</f>
        <v>5.6976003786338021</v>
      </c>
      <c r="L16" s="2">
        <f>Building_MI_original_baseline!L13</f>
        <v>4.1577083844084504</v>
      </c>
      <c r="M16" s="2">
        <f>Building_MI_original_baseline!M13</f>
        <v>3.3877623872957741</v>
      </c>
      <c r="N16" s="2">
        <f>Building_MI_original_baseline!N13</f>
        <v>1.2319135953802816</v>
      </c>
      <c r="O16" s="2">
        <f>Building_MI_original_baseline!O13</f>
        <v>0.92393519653521106</v>
      </c>
      <c r="P16" s="2">
        <f>Building_MI_original_baseline!P13</f>
        <v>728.52222140845072</v>
      </c>
      <c r="Q16" s="2">
        <f>Building_MI_original_baseline!Q13</f>
        <v>3.3205046464788595</v>
      </c>
      <c r="R16" s="2">
        <f>Building_MI_original_baseline!R13</f>
        <v>0.84813828732394358</v>
      </c>
      <c r="S16" s="2">
        <f>Building_MI_original_baseline!S13</f>
        <v>1.8044713045070404</v>
      </c>
      <c r="T16" s="2">
        <f>Building_MI_original_baseline!T13</f>
        <v>1.7337557619718309</v>
      </c>
      <c r="U16" s="2">
        <f>Building_MI_original_baseline!U13</f>
        <v>0</v>
      </c>
      <c r="V16" s="2">
        <f>Building_MI_original_baseline!V13</f>
        <v>0</v>
      </c>
      <c r="W16" s="2">
        <f>Building_MI_original_baseline!W13</f>
        <v>1.3770228845070407</v>
      </c>
      <c r="X16" s="2">
        <f>Building_MI_original_baseline!X13</f>
        <v>0.36854849295774644</v>
      </c>
      <c r="Y16" s="2">
        <f>Building_MI_original_baseline!Y13</f>
        <v>63.325573736619717</v>
      </c>
      <c r="Z16" s="2">
        <f>Building_MI_original_baseline!Z13</f>
        <v>1.3004658338028157</v>
      </c>
      <c r="AA16" s="2">
        <f>Building_MI_original_baseline!AA13</f>
        <v>20.141574830985917</v>
      </c>
      <c r="AB16" s="2">
        <f>Building_MI_original_baseline!AB13</f>
        <v>2637.2576217735191</v>
      </c>
    </row>
    <row r="17" spans="1:28" x14ac:dyDescent="0.2">
      <c r="B17" t="s">
        <v>163</v>
      </c>
      <c r="C17" s="2">
        <f>(8/13)*Building_MI_original_baseline!C13+(5/13)*Building_MI_original_baseline!C14</f>
        <v>0.25258702535211269</v>
      </c>
      <c r="D17" s="2">
        <f>(8/13)*Building_MI_original_baseline!D13+(5/13)*Building_MI_original_baseline!D14</f>
        <v>128.86776618309858</v>
      </c>
      <c r="E17" s="2">
        <f>(8/13)*Building_MI_original_baseline!E13+(5/13)*Building_MI_original_baseline!E14</f>
        <v>1589.920186801407</v>
      </c>
      <c r="F17" s="2">
        <f>(8/13)*Building_MI_original_baseline!F13+(5/13)*Building_MI_original_baseline!F14</f>
        <v>0</v>
      </c>
      <c r="G17" s="2">
        <f>(8/13)*Building_MI_original_baseline!G13+(5/13)*Building_MI_original_baseline!G14</f>
        <v>7.0422535211267616E-3</v>
      </c>
      <c r="H17" s="2">
        <f>(8/13)*Building_MI_original_baseline!H13+(5/13)*Building_MI_original_baseline!H14</f>
        <v>46.677546563380261</v>
      </c>
      <c r="I17" s="2">
        <f>(8/13)*Building_MI_original_baseline!I13+(5/13)*Building_MI_original_baseline!I14</f>
        <v>4.8030037380281687</v>
      </c>
      <c r="J17" s="2">
        <f>(8/13)*Building_MI_original_baseline!J13+(5/13)*Building_MI_original_baseline!J14</f>
        <v>33.906028507367282</v>
      </c>
      <c r="K17" s="2">
        <f>(8/13)*Building_MI_original_baseline!K13+(5/13)*Building_MI_original_baseline!K14</f>
        <v>5.9268696713234004</v>
      </c>
      <c r="L17" s="2">
        <f>(8/13)*Building_MI_original_baseline!L13+(5/13)*Building_MI_original_baseline!L14</f>
        <v>4.3250130033981575</v>
      </c>
      <c r="M17" s="2">
        <f>(8/13)*Building_MI_original_baseline!M13+(5/13)*Building_MI_original_baseline!M14</f>
        <v>3.5240846694355352</v>
      </c>
      <c r="N17" s="2">
        <f>(8/13)*Building_MI_original_baseline!N13+(5/13)*Building_MI_original_baseline!N14</f>
        <v>1.2814853343401948</v>
      </c>
      <c r="O17" s="2">
        <f>(8/13)*Building_MI_original_baseline!O13+(5/13)*Building_MI_original_baseline!O14</f>
        <v>0.96111400075514597</v>
      </c>
      <c r="P17" s="2">
        <f>(8/13)*Building_MI_original_baseline!P13+(5/13)*Building_MI_original_baseline!P14</f>
        <v>728.52222140845072</v>
      </c>
      <c r="Q17" s="2">
        <f>(8/13)*Building_MI_original_baseline!Q13+(5/13)*Building_MI_original_baseline!Q14</f>
        <v>3.3205046464788599</v>
      </c>
      <c r="R17" s="2">
        <f>(8/13)*Building_MI_original_baseline!R13+(5/13)*Building_MI_original_baseline!R14</f>
        <v>0.84813828732394358</v>
      </c>
      <c r="S17" s="2">
        <f>(8/13)*Building_MI_original_baseline!S13+(5/13)*Building_MI_original_baseline!S14</f>
        <v>1.8044713045070404</v>
      </c>
      <c r="T17" s="2">
        <f>(8/13)*Building_MI_original_baseline!T13+(5/13)*Building_MI_original_baseline!T14</f>
        <v>1.7743139775731311</v>
      </c>
      <c r="U17" s="2">
        <f>(8/13)*Building_MI_original_baseline!U13+(5/13)*Building_MI_original_baseline!U14</f>
        <v>0</v>
      </c>
      <c r="V17" s="2">
        <f>(8/13)*Building_MI_original_baseline!V13+(5/13)*Building_MI_original_baseline!V14</f>
        <v>0</v>
      </c>
      <c r="W17" s="2">
        <f>(8/13)*Building_MI_original_baseline!W13+(5/13)*Building_MI_original_baseline!W14</f>
        <v>1.3770228845070407</v>
      </c>
      <c r="X17" s="2">
        <f>(8/13)*Building_MI_original_baseline!X13+(5/13)*Building_MI_original_baseline!X14</f>
        <v>0.3685484929577465</v>
      </c>
      <c r="Y17" s="2">
        <f>(8/13)*Building_MI_original_baseline!Y13+(5/13)*Building_MI_original_baseline!Y14</f>
        <v>63.319174239328277</v>
      </c>
      <c r="Z17" s="2">
        <f>(8/13)*Building_MI_original_baseline!Z13+(5/13)*Building_MI_original_baseline!Z14</f>
        <v>1.3004658338028157</v>
      </c>
      <c r="AA17" s="2">
        <f>(8/13)*Building_MI_original_baseline!AA13+(5/13)*Building_MI_original_baseline!AA14</f>
        <v>20.141574830985917</v>
      </c>
      <c r="AB17" s="2">
        <f>(8/13)*Building_MI_original_baseline!AB13+(5/13)*Building_MI_original_baseline!AB14</f>
        <v>2643.2291636573223</v>
      </c>
    </row>
    <row r="18" spans="1:28" x14ac:dyDescent="0.2">
      <c r="B18" t="s">
        <v>156</v>
      </c>
      <c r="C18" s="2">
        <f>Building_MI_original_baseline!C14</f>
        <v>0.25258702535211269</v>
      </c>
      <c r="D18" s="2">
        <f>Building_MI_original_baseline!D14</f>
        <v>128.86776618309858</v>
      </c>
      <c r="E18" s="2">
        <f>Building_MI_original_baseline!E14</f>
        <v>1589.920186801407</v>
      </c>
      <c r="F18" s="2">
        <f>Building_MI_original_baseline!F14</f>
        <v>0</v>
      </c>
      <c r="G18" s="2">
        <f>Building_MI_original_baseline!G14</f>
        <v>7.0422535211267607E-3</v>
      </c>
      <c r="H18" s="2">
        <f>Building_MI_original_baseline!H14</f>
        <v>46.677546563380261</v>
      </c>
      <c r="I18" s="2">
        <f>Building_MI_original_baseline!I14</f>
        <v>4.8030037380281687</v>
      </c>
      <c r="J18" s="2">
        <f>Building_MI_original_baseline!J14</f>
        <v>42.414406792957749</v>
      </c>
      <c r="K18" s="2">
        <f>Building_MI_original_baseline!K14</f>
        <v>6.2937005396267569</v>
      </c>
      <c r="L18" s="2">
        <f>Building_MI_original_baseline!L14</f>
        <v>4.5927003937816879</v>
      </c>
      <c r="M18" s="2">
        <f>Building_MI_original_baseline!M14</f>
        <v>3.742200320859153</v>
      </c>
      <c r="N18" s="2">
        <f>Building_MI_original_baseline!N14</f>
        <v>1.3608001166760557</v>
      </c>
      <c r="O18" s="2">
        <f>Building_MI_original_baseline!O14</f>
        <v>1.0206000875070416</v>
      </c>
      <c r="P18" s="2">
        <f>Building_MI_original_baseline!P14</f>
        <v>728.52222140845072</v>
      </c>
      <c r="Q18" s="2">
        <f>Building_MI_original_baseline!Q14</f>
        <v>3.3205046464788595</v>
      </c>
      <c r="R18" s="2">
        <f>Building_MI_original_baseline!R14</f>
        <v>0.84813828732394358</v>
      </c>
      <c r="S18" s="2">
        <f>Building_MI_original_baseline!S14</f>
        <v>1.8044713045070404</v>
      </c>
      <c r="T18" s="2">
        <f>Building_MI_original_baseline!T14</f>
        <v>1.8392071225352109</v>
      </c>
      <c r="U18" s="2">
        <f>Building_MI_original_baseline!U14</f>
        <v>0</v>
      </c>
      <c r="V18" s="2">
        <f>Building_MI_original_baseline!V14</f>
        <v>0</v>
      </c>
      <c r="W18" s="2">
        <f>Building_MI_original_baseline!W14</f>
        <v>1.3770228845070407</v>
      </c>
      <c r="X18" s="2">
        <f>Building_MI_original_baseline!X14</f>
        <v>0.36854849295774644</v>
      </c>
      <c r="Y18" s="2">
        <f>Building_MI_original_baseline!Y14</f>
        <v>63.308935043661968</v>
      </c>
      <c r="Z18" s="2">
        <f>Building_MI_original_baseline!Z14</f>
        <v>1.3004658338028157</v>
      </c>
      <c r="AA18" s="2">
        <f>Building_MI_original_baseline!AA14</f>
        <v>20.141574830985917</v>
      </c>
      <c r="AB18" s="2">
        <f>Building_MI_original_baseline!AB14</f>
        <v>2652.7836306714071</v>
      </c>
    </row>
    <row r="19" spans="1:28" x14ac:dyDescent="0.2">
      <c r="B19" t="s">
        <v>21</v>
      </c>
      <c r="C19" s="2">
        <f>Building_MI_original_baseline!C15</f>
        <v>1.8059701492537312</v>
      </c>
      <c r="D19" s="2">
        <f>Building_MI_original_baseline!D15</f>
        <v>218.41791044776119</v>
      </c>
      <c r="E19" s="2">
        <f>Building_MI_original_baseline!E15</f>
        <v>1190.3880597014925</v>
      </c>
      <c r="F19" s="2">
        <f>Building_MI_original_baseline!F15</f>
        <v>0.10447761194029852</v>
      </c>
      <c r="G19" s="2">
        <f>Building_MI_original_baseline!G15</f>
        <v>0.62686567164179097</v>
      </c>
      <c r="H19" s="2">
        <f>Building_MI_original_baseline!H15</f>
        <v>15.820895522388058</v>
      </c>
      <c r="I19" s="2">
        <f>Building_MI_original_baseline!I15</f>
        <v>11.134328358208954</v>
      </c>
      <c r="J19" s="2">
        <f>Building_MI_original_baseline!J15</f>
        <v>34.328358208955223</v>
      </c>
      <c r="K19" s="2">
        <f>Building_MI_original_baseline!K15</f>
        <v>12.61865671641791</v>
      </c>
      <c r="L19" s="2">
        <f>Building_MI_original_baseline!L15</f>
        <v>9.2082089552238813</v>
      </c>
      <c r="M19" s="2">
        <f>Building_MI_original_baseline!M15</f>
        <v>7.5029850746268654</v>
      </c>
      <c r="N19" s="2">
        <f>Building_MI_original_baseline!N15</f>
        <v>2.7283582089552239</v>
      </c>
      <c r="O19" s="2">
        <f>Building_MI_original_baseline!O15</f>
        <v>2.0462686567164177</v>
      </c>
      <c r="P19" s="2">
        <f>Building_MI_original_baseline!P15</f>
        <v>0</v>
      </c>
      <c r="Q19" s="2">
        <f>Building_MI_original_baseline!Q15</f>
        <v>5.3582089552238799</v>
      </c>
      <c r="R19" s="2">
        <f>Building_MI_original_baseline!R15</f>
        <v>0.47761194029850745</v>
      </c>
      <c r="S19" s="2">
        <f>Building_MI_original_baseline!S15</f>
        <v>2.4029850746268657</v>
      </c>
      <c r="T19" s="2">
        <f>Building_MI_original_baseline!T15</f>
        <v>0.9253731343283581</v>
      </c>
      <c r="U19" s="2">
        <f>Building_MI_original_baseline!U15</f>
        <v>82.910447761194021</v>
      </c>
      <c r="V19" s="2">
        <f>Building_MI_original_baseline!V15</f>
        <v>0</v>
      </c>
      <c r="W19" s="2">
        <f>Building_MI_original_baseline!W15</f>
        <v>0.11940298507462686</v>
      </c>
      <c r="X19" s="2">
        <f>Building_MI_original_baseline!X15</f>
        <v>1.3731343283582089</v>
      </c>
      <c r="Y19" s="2">
        <f>Building_MI_original_baseline!Y15</f>
        <v>25.686567164179102</v>
      </c>
      <c r="Z19" s="2">
        <f>Building_MI_original_baseline!Z15</f>
        <v>4.4776119402985072E-2</v>
      </c>
      <c r="AA19" s="2">
        <f>Building_MI_original_baseline!AA15</f>
        <v>99.507462686567166</v>
      </c>
      <c r="AB19" s="2">
        <f>Building_MI_original_baseline!AB15</f>
        <v>1725.5373134328356</v>
      </c>
    </row>
    <row r="20" spans="1:28" x14ac:dyDescent="0.2">
      <c r="A20" t="s">
        <v>11</v>
      </c>
      <c r="B20" t="s">
        <v>16</v>
      </c>
      <c r="C20" s="2">
        <f>Building_MI_original_baseline!C16</f>
        <v>0.37854946376811599</v>
      </c>
      <c r="D20" s="2">
        <f>Building_MI_original_baseline!D16</f>
        <v>162.86606424637682</v>
      </c>
      <c r="E20" s="2">
        <f>Building_MI_original_baseline!E16</f>
        <v>1144.3172885652173</v>
      </c>
      <c r="F20" s="2">
        <f>Building_MI_original_baseline!F16</f>
        <v>0</v>
      </c>
      <c r="G20" s="2">
        <f>Building_MI_original_baseline!G16</f>
        <v>1.8924160869565217E-2</v>
      </c>
      <c r="H20" s="2">
        <f>Building_MI_original_baseline!H16</f>
        <v>7.6938449159420292</v>
      </c>
      <c r="I20" s="2">
        <f>Building_MI_original_baseline!I16</f>
        <v>0.23043419420289715</v>
      </c>
      <c r="J20" s="2">
        <f>Building_MI_original_baseline!J16</f>
        <v>64.768413495652169</v>
      </c>
      <c r="K20" s="2">
        <f>Building_MI_original_baseline!K16</f>
        <v>4.8911125378840588</v>
      </c>
      <c r="L20" s="2">
        <f>Building_MI_original_baseline!L16</f>
        <v>3.5691902303478269</v>
      </c>
      <c r="M20" s="2">
        <f>Building_MI_original_baseline!M16</f>
        <v>2.9082290765797105</v>
      </c>
      <c r="N20" s="2">
        <f>Building_MI_original_baseline!N16</f>
        <v>1.0575378460289857</v>
      </c>
      <c r="O20" s="2">
        <f>Building_MI_original_baseline!O16</f>
        <v>0.79315338452173922</v>
      </c>
      <c r="P20" s="2">
        <f>Building_MI_original_baseline!P16</f>
        <v>263.36174559420294</v>
      </c>
      <c r="Q20" s="2">
        <f>Building_MI_original_baseline!Q16</f>
        <v>2.7625526971014498</v>
      </c>
      <c r="R20" s="2">
        <f>Building_MI_original_baseline!R16</f>
        <v>0.35149360434782612</v>
      </c>
      <c r="S20" s="2">
        <f>Building_MI_original_baseline!S16</f>
        <v>0.81826993999999875</v>
      </c>
      <c r="T20" s="2">
        <f>Building_MI_original_baseline!T16</f>
        <v>1.3552014608695648</v>
      </c>
      <c r="U20" s="2">
        <f>Building_MI_original_baseline!U16</f>
        <v>0</v>
      </c>
      <c r="V20" s="2">
        <f>Building_MI_original_baseline!V16</f>
        <v>0</v>
      </c>
      <c r="W20" s="2">
        <f>Building_MI_original_baseline!W16</f>
        <v>1.4697139710144911</v>
      </c>
      <c r="X20" s="2">
        <f>Building_MI_original_baseline!X16</f>
        <v>0</v>
      </c>
      <c r="Y20" s="2">
        <f>Building_MI_original_baseline!Y16</f>
        <v>51.236411047826117</v>
      </c>
      <c r="Z20" s="2">
        <f>Building_MI_original_baseline!Z16</f>
        <v>0.43873775797101455</v>
      </c>
      <c r="AA20" s="2">
        <f>Building_MI_original_baseline!AA16</f>
        <v>25.673779000000003</v>
      </c>
      <c r="AB20" s="2">
        <f>Building_MI_original_baseline!AB16</f>
        <v>1740.9606471907243</v>
      </c>
    </row>
    <row r="21" spans="1:28" x14ac:dyDescent="0.2">
      <c r="B21" t="s">
        <v>160</v>
      </c>
      <c r="C21" s="2">
        <f>Building_MI_original_baseline!C17</f>
        <v>0.47542224637681163</v>
      </c>
      <c r="D21" s="2">
        <f>Building_MI_original_baseline!D17</f>
        <v>162.86606424637682</v>
      </c>
      <c r="E21" s="2">
        <f>Building_MI_original_baseline!E17</f>
        <v>1225.6518204347826</v>
      </c>
      <c r="F21" s="2">
        <f>Building_MI_original_baseline!F17</f>
        <v>0</v>
      </c>
      <c r="G21" s="2">
        <f>Building_MI_original_baseline!G17</f>
        <v>1.8924160869565217E-2</v>
      </c>
      <c r="H21" s="2">
        <f>Building_MI_original_baseline!H17</f>
        <v>16.722916946376813</v>
      </c>
      <c r="I21" s="2">
        <f>Building_MI_original_baseline!I17</f>
        <v>2.3138175405797088</v>
      </c>
      <c r="J21" s="2">
        <f>Building_MI_original_baseline!J17</f>
        <v>40.861085121739109</v>
      </c>
      <c r="K21" s="2">
        <f>Building_MI_original_baseline!K17</f>
        <v>4.9866049922463773</v>
      </c>
      <c r="L21" s="2">
        <f>Building_MI_original_baseline!L17</f>
        <v>3.6388739132608703</v>
      </c>
      <c r="M21" s="2">
        <f>Building_MI_original_baseline!M17</f>
        <v>2.9650083737681165</v>
      </c>
      <c r="N21" s="2">
        <f>Building_MI_original_baseline!N17</f>
        <v>1.0781848631884061</v>
      </c>
      <c r="O21" s="2">
        <f>Building_MI_original_baseline!O17</f>
        <v>0.80863864739130442</v>
      </c>
      <c r="P21" s="2">
        <f>Building_MI_original_baseline!P17</f>
        <v>263.36174559420294</v>
      </c>
      <c r="Q21" s="2">
        <f>Building_MI_original_baseline!Q17</f>
        <v>2.7625526971014498</v>
      </c>
      <c r="R21" s="2">
        <f>Building_MI_original_baseline!R17</f>
        <v>0.35149360434782612</v>
      </c>
      <c r="S21" s="2">
        <f>Building_MI_original_baseline!S17</f>
        <v>1.1453851689855061</v>
      </c>
      <c r="T21" s="2">
        <f>Building_MI_original_baseline!T17</f>
        <v>1.464410814492753</v>
      </c>
      <c r="U21" s="2">
        <f>Building_MI_original_baseline!U17</f>
        <v>0</v>
      </c>
      <c r="V21" s="2">
        <f>Building_MI_original_baseline!V17</f>
        <v>0</v>
      </c>
      <c r="W21" s="2">
        <f>Building_MI_original_baseline!W17</f>
        <v>1.5202924623188392</v>
      </c>
      <c r="X21" s="2">
        <f>Building_MI_original_baseline!X17</f>
        <v>0.47785589275362322</v>
      </c>
      <c r="Y21" s="2">
        <f>Building_MI_original_baseline!Y17</f>
        <v>53.185350868115947</v>
      </c>
      <c r="Z21" s="2">
        <f>Building_MI_original_baseline!Z17</f>
        <v>0.43873775797101455</v>
      </c>
      <c r="AA21" s="2">
        <f>Building_MI_original_baseline!AA17</f>
        <v>25.673779000000003</v>
      </c>
      <c r="AB21" s="2">
        <f>Building_MI_original_baseline!AB17</f>
        <v>1812.7689653472462</v>
      </c>
    </row>
    <row r="22" spans="1:28" x14ac:dyDescent="0.2">
      <c r="B22" t="s">
        <v>161</v>
      </c>
      <c r="C22" s="2">
        <f>(1/2)*Building_MI_original_baseline!C17+(1/2)*Building_MI_original_baseline!C18</f>
        <v>0.42675403405797108</v>
      </c>
      <c r="D22" s="2">
        <f>(1/2)*Building_MI_original_baseline!D17+(1/2)*Building_MI_original_baseline!D18</f>
        <v>114.0062449710145</v>
      </c>
      <c r="E22" s="2">
        <f>(1/2)*Building_MI_original_baseline!E17+(1/2)*Building_MI_original_baseline!E18</f>
        <v>1265.0665229282608</v>
      </c>
      <c r="F22" s="2">
        <f>(1/2)*Building_MI_original_baseline!F17+(1/2)*Building_MI_original_baseline!F18</f>
        <v>0</v>
      </c>
      <c r="G22" s="2">
        <f>(1/2)*Building_MI_original_baseline!G17+(1/2)*Building_MI_original_baseline!G18</f>
        <v>1.8924160869565217E-2</v>
      </c>
      <c r="H22" s="2">
        <f>(1/2)*Building_MI_original_baseline!H17+(1/2)*Building_MI_original_baseline!H18</f>
        <v>16.722916946376813</v>
      </c>
      <c r="I22" s="2">
        <f>(1/2)*Building_MI_original_baseline!I17+(1/2)*Building_MI_original_baseline!I18</f>
        <v>3.3555092137681148</v>
      </c>
      <c r="J22" s="2">
        <f>(1/2)*Building_MI_original_baseline!J17+(1/2)*Building_MI_original_baseline!J18</f>
        <v>30.582543150724625</v>
      </c>
      <c r="K22" s="2">
        <f>(1/2)*Building_MI_original_baseline!K17+(1/2)*Building_MI_original_baseline!K18</f>
        <v>5.0543060050000008</v>
      </c>
      <c r="L22" s="2">
        <f>(1/2)*Building_MI_original_baseline!L17+(1/2)*Building_MI_original_baseline!L18</f>
        <v>3.6882773550000003</v>
      </c>
      <c r="M22" s="2">
        <f>(1/2)*Building_MI_original_baseline!M17+(1/2)*Building_MI_original_baseline!M18</f>
        <v>3.0052630300000005</v>
      </c>
      <c r="N22" s="2">
        <f>(1/2)*Building_MI_original_baseline!N17+(1/2)*Building_MI_original_baseline!N18</f>
        <v>1.0928229200000001</v>
      </c>
      <c r="O22" s="2">
        <f>(1/2)*Building_MI_original_baseline!O17+(1/2)*Building_MI_original_baseline!O18</f>
        <v>0.81961719</v>
      </c>
      <c r="P22" s="2">
        <f>(1/2)*Building_MI_original_baseline!P17+(1/2)*Building_MI_original_baseline!P18</f>
        <v>345.34430656521738</v>
      </c>
      <c r="Q22" s="2">
        <f>(1/2)*Building_MI_original_baseline!Q17+(1/2)*Building_MI_original_baseline!Q18</f>
        <v>2.7625526971014498</v>
      </c>
      <c r="R22" s="2">
        <f>(1/2)*Building_MI_original_baseline!R17+(1/2)*Building_MI_original_baseline!R18</f>
        <v>0.35149360434782612</v>
      </c>
      <c r="S22" s="2">
        <f>(1/2)*Building_MI_original_baseline!S17+(1/2)*Building_MI_original_baseline!S18</f>
        <v>1.5083980617391295</v>
      </c>
      <c r="T22" s="2">
        <f>(1/2)*Building_MI_original_baseline!T17+(1/2)*Building_MI_original_baseline!T18</f>
        <v>1.4622887391304342</v>
      </c>
      <c r="U22" s="2">
        <f>(1/2)*Building_MI_original_baseline!U17+(1/2)*Building_MI_original_baseline!U18</f>
        <v>0</v>
      </c>
      <c r="V22" s="2">
        <f>(1/2)*Building_MI_original_baseline!V17+(1/2)*Building_MI_original_baseline!V18</f>
        <v>0</v>
      </c>
      <c r="W22" s="2">
        <f>(1/2)*Building_MI_original_baseline!W17+(1/2)*Building_MI_original_baseline!W18</f>
        <v>1.5202924623188392</v>
      </c>
      <c r="X22" s="2">
        <f>(1/2)*Building_MI_original_baseline!X17+(1/2)*Building_MI_original_baseline!X18</f>
        <v>0.47785589275362322</v>
      </c>
      <c r="Y22" s="2">
        <f>(1/2)*Building_MI_original_baseline!Y17+(1/2)*Building_MI_original_baseline!Y18</f>
        <v>54.005214736231892</v>
      </c>
      <c r="Z22" s="2">
        <f>(1/2)*Building_MI_original_baseline!Z17+(1/2)*Building_MI_original_baseline!Z18</f>
        <v>0.83113418768115954</v>
      </c>
      <c r="AA22" s="2">
        <f>(1/2)*Building_MI_original_baseline!AA17+(1/2)*Building_MI_original_baseline!AA18</f>
        <v>25.673779000000003</v>
      </c>
      <c r="AB22" s="2">
        <f>(1/2)*Building_MI_original_baseline!AB17+(1/2)*Building_MI_original_baseline!AB18</f>
        <v>1877.7770178515946</v>
      </c>
    </row>
    <row r="23" spans="1:28" x14ac:dyDescent="0.2">
      <c r="B23" t="s">
        <v>162</v>
      </c>
      <c r="C23" s="2">
        <f>Building_MI_original_baseline!C18</f>
        <v>0.37808582173913047</v>
      </c>
      <c r="D23" s="2">
        <f>Building_MI_original_baseline!D18</f>
        <v>65.146425695652184</v>
      </c>
      <c r="E23" s="2">
        <f>Building_MI_original_baseline!E18</f>
        <v>1304.4812254217391</v>
      </c>
      <c r="F23" s="2">
        <f>Building_MI_original_baseline!F18</f>
        <v>0</v>
      </c>
      <c r="G23" s="2">
        <f>Building_MI_original_baseline!G18</f>
        <v>1.8924160869565217E-2</v>
      </c>
      <c r="H23" s="2">
        <f>Building_MI_original_baseline!H18</f>
        <v>16.722916946376813</v>
      </c>
      <c r="I23" s="2">
        <f>Building_MI_original_baseline!I18</f>
        <v>4.3972008869565204</v>
      </c>
      <c r="J23" s="2">
        <f>Building_MI_original_baseline!J18</f>
        <v>20.304001179710145</v>
      </c>
      <c r="K23" s="2">
        <f>Building_MI_original_baseline!K18</f>
        <v>5.1220070177536234</v>
      </c>
      <c r="L23" s="2">
        <f>Building_MI_original_baseline!L18</f>
        <v>3.7376807967391308</v>
      </c>
      <c r="M23" s="2">
        <f>Building_MI_original_baseline!M18</f>
        <v>3.0455176862318845</v>
      </c>
      <c r="N23" s="2">
        <f>Building_MI_original_baseline!N18</f>
        <v>1.1074609768115944</v>
      </c>
      <c r="O23" s="2">
        <f>Building_MI_original_baseline!O18</f>
        <v>0.83059573260869568</v>
      </c>
      <c r="P23" s="2">
        <f>Building_MI_original_baseline!P18</f>
        <v>427.32686753623187</v>
      </c>
      <c r="Q23" s="2">
        <f>Building_MI_original_baseline!Q18</f>
        <v>2.7625526971014498</v>
      </c>
      <c r="R23" s="2">
        <f>Building_MI_original_baseline!R18</f>
        <v>0.35149360434782612</v>
      </c>
      <c r="S23" s="2">
        <f>Building_MI_original_baseline!S18</f>
        <v>1.8714109544927526</v>
      </c>
      <c r="T23" s="2">
        <f>Building_MI_original_baseline!T18</f>
        <v>1.4601666637681157</v>
      </c>
      <c r="U23" s="2">
        <f>Building_MI_original_baseline!U18</f>
        <v>0</v>
      </c>
      <c r="V23" s="2">
        <f>Building_MI_original_baseline!V18</f>
        <v>0</v>
      </c>
      <c r="W23" s="2">
        <f>Building_MI_original_baseline!W18</f>
        <v>1.5202924623188392</v>
      </c>
      <c r="X23" s="2">
        <f>Building_MI_original_baseline!X18</f>
        <v>0.47785589275362322</v>
      </c>
      <c r="Y23" s="2">
        <f>Building_MI_original_baseline!Y18</f>
        <v>54.825078604347844</v>
      </c>
      <c r="Z23" s="2">
        <f>Building_MI_original_baseline!Z18</f>
        <v>1.2235306173913045</v>
      </c>
      <c r="AA23" s="2">
        <f>Building_MI_original_baseline!AA18</f>
        <v>25.673779000000003</v>
      </c>
      <c r="AB23" s="2">
        <f>Building_MI_original_baseline!AB18</f>
        <v>1942.7850703559429</v>
      </c>
    </row>
    <row r="24" spans="1:28" x14ac:dyDescent="0.2">
      <c r="B24" t="s">
        <v>163</v>
      </c>
      <c r="C24" s="2">
        <f>(8/13)*Building_MI_original_baseline!C18+(5/13)*Building_MI_original_baseline!C19</f>
        <v>0.37808582173913052</v>
      </c>
      <c r="D24" s="2">
        <f>(8/13)*Building_MI_original_baseline!D18+(5/13)*Building_MI_original_baseline!D19</f>
        <v>65.146425695652184</v>
      </c>
      <c r="E24" s="2">
        <f>(8/13)*Building_MI_original_baseline!E18+(5/13)*Building_MI_original_baseline!E19</f>
        <v>1304.4812254217391</v>
      </c>
      <c r="F24" s="2">
        <f>(8/13)*Building_MI_original_baseline!F18+(5/13)*Building_MI_original_baseline!F19</f>
        <v>0</v>
      </c>
      <c r="G24" s="2">
        <f>(8/13)*Building_MI_original_baseline!G18+(5/13)*Building_MI_original_baseline!G19</f>
        <v>1.8924160869565221E-2</v>
      </c>
      <c r="H24" s="2">
        <f>(8/13)*Building_MI_original_baseline!H18+(5/13)*Building_MI_original_baseline!H19</f>
        <v>16.722916946376813</v>
      </c>
      <c r="I24" s="2">
        <f>(8/13)*Building_MI_original_baseline!I18+(5/13)*Building_MI_original_baseline!I19</f>
        <v>4.3972008869565204</v>
      </c>
      <c r="J24" s="2">
        <f>(8/13)*Building_MI_original_baseline!J18+(5/13)*Building_MI_original_baseline!J19</f>
        <v>25.123583257748052</v>
      </c>
      <c r="K24" s="2">
        <f>(8/13)*Building_MI_original_baseline!K18+(5/13)*Building_MI_original_baseline!K19</f>
        <v>5.2823990148550735</v>
      </c>
      <c r="L24" s="2">
        <f>(8/13)*Building_MI_original_baseline!L18+(5/13)*Building_MI_original_baseline!L19</f>
        <v>3.8547236054347831</v>
      </c>
      <c r="M24" s="2">
        <f>(8/13)*Building_MI_original_baseline!M18+(5/13)*Building_MI_original_baseline!M19</f>
        <v>3.1408859007246384</v>
      </c>
      <c r="N24" s="2">
        <f>(8/13)*Building_MI_original_baseline!N18+(5/13)*Building_MI_original_baseline!N19</f>
        <v>1.1421403275362323</v>
      </c>
      <c r="O24" s="2">
        <f>(8/13)*Building_MI_original_baseline!O18+(5/13)*Building_MI_original_baseline!O19</f>
        <v>0.856605245652174</v>
      </c>
      <c r="P24" s="2">
        <f>(8/13)*Building_MI_original_baseline!P18+(5/13)*Building_MI_original_baseline!P19</f>
        <v>427.32686753623187</v>
      </c>
      <c r="Q24" s="2">
        <f>(8/13)*Building_MI_original_baseline!Q18+(5/13)*Building_MI_original_baseline!Q19</f>
        <v>2.7625526971014498</v>
      </c>
      <c r="R24" s="2">
        <f>(8/13)*Building_MI_original_baseline!R18+(5/13)*Building_MI_original_baseline!R19</f>
        <v>0.35149360434782617</v>
      </c>
      <c r="S24" s="2">
        <f>(8/13)*Building_MI_original_baseline!S18+(5/13)*Building_MI_original_baseline!S19</f>
        <v>1.8714109544927529</v>
      </c>
      <c r="T24" s="2">
        <f>(8/13)*Building_MI_original_baseline!T18+(5/13)*Building_MI_original_baseline!T19</f>
        <v>1.4972568075808241</v>
      </c>
      <c r="U24" s="2">
        <f>(8/13)*Building_MI_original_baseline!U18+(5/13)*Building_MI_original_baseline!U19</f>
        <v>0</v>
      </c>
      <c r="V24" s="2">
        <f>(8/13)*Building_MI_original_baseline!V18+(5/13)*Building_MI_original_baseline!V19</f>
        <v>0</v>
      </c>
      <c r="W24" s="2">
        <f>(8/13)*Building_MI_original_baseline!W18+(5/13)*Building_MI_original_baseline!W19</f>
        <v>1.5202924623188392</v>
      </c>
      <c r="X24" s="2">
        <f>(8/13)*Building_MI_original_baseline!X18+(5/13)*Building_MI_original_baseline!X19</f>
        <v>0.47785589275362322</v>
      </c>
      <c r="Y24" s="2">
        <f>(8/13)*Building_MI_original_baseline!Y18+(5/13)*Building_MI_original_baseline!Y19</f>
        <v>54.819362536900798</v>
      </c>
      <c r="Z24" s="2">
        <f>(8/13)*Building_MI_original_baseline!Z18+(5/13)*Building_MI_original_baseline!Z19</f>
        <v>1.2235306173913045</v>
      </c>
      <c r="AA24" s="2">
        <f>(8/13)*Building_MI_original_baseline!AA18+(5/13)*Building_MI_original_baseline!AA19</f>
        <v>25.673779000000003</v>
      </c>
      <c r="AB24" s="2">
        <f>(8/13)*Building_MI_original_baseline!AB18+(5/13)*Building_MI_original_baseline!AB19</f>
        <v>1948.0695183944044</v>
      </c>
    </row>
    <row r="25" spans="1:28" x14ac:dyDescent="0.2">
      <c r="B25" t="s">
        <v>156</v>
      </c>
      <c r="C25" s="2">
        <f>Building_MI_original_baseline!C19</f>
        <v>0.37808582173913047</v>
      </c>
      <c r="D25" s="2">
        <f>Building_MI_original_baseline!D19</f>
        <v>65.146425695652184</v>
      </c>
      <c r="E25" s="2">
        <f>Building_MI_original_baseline!E19</f>
        <v>1304.4812254217391</v>
      </c>
      <c r="F25" s="2">
        <f>Building_MI_original_baseline!F19</f>
        <v>0</v>
      </c>
      <c r="G25" s="2">
        <f>Building_MI_original_baseline!G19</f>
        <v>1.8924160869565217E-2</v>
      </c>
      <c r="H25" s="2">
        <f>Building_MI_original_baseline!H19</f>
        <v>16.722916946376813</v>
      </c>
      <c r="I25" s="2">
        <f>Building_MI_original_baseline!I19</f>
        <v>4.3972008869565204</v>
      </c>
      <c r="J25" s="2">
        <f>Building_MI_original_baseline!J19</f>
        <v>32.834914582608697</v>
      </c>
      <c r="K25" s="2">
        <f>Building_MI_original_baseline!K19</f>
        <v>5.5390262102173917</v>
      </c>
      <c r="L25" s="2">
        <f>Building_MI_original_baseline!L19</f>
        <v>4.0419920993478273</v>
      </c>
      <c r="M25" s="2">
        <f>Building_MI_original_baseline!M19</f>
        <v>3.2934750439130442</v>
      </c>
      <c r="N25" s="2">
        <f>Building_MI_original_baseline!N19</f>
        <v>1.1976272886956525</v>
      </c>
      <c r="O25" s="2">
        <f>Building_MI_original_baseline!O19</f>
        <v>0.89822046652173926</v>
      </c>
      <c r="P25" s="2">
        <f>Building_MI_original_baseline!P19</f>
        <v>427.32686753623187</v>
      </c>
      <c r="Q25" s="2">
        <f>Building_MI_original_baseline!Q19</f>
        <v>2.7625526971014498</v>
      </c>
      <c r="R25" s="2">
        <f>Building_MI_original_baseline!R19</f>
        <v>0.35149360434782612</v>
      </c>
      <c r="S25" s="2">
        <f>Building_MI_original_baseline!S19</f>
        <v>1.8714109544927526</v>
      </c>
      <c r="T25" s="2">
        <f>Building_MI_original_baseline!T19</f>
        <v>1.5566010376811577</v>
      </c>
      <c r="U25" s="2">
        <f>Building_MI_original_baseline!U19</f>
        <v>0</v>
      </c>
      <c r="V25" s="2">
        <f>Building_MI_original_baseline!V19</f>
        <v>0</v>
      </c>
      <c r="W25" s="2">
        <f>Building_MI_original_baseline!W19</f>
        <v>1.5202924623188392</v>
      </c>
      <c r="X25" s="2">
        <f>Building_MI_original_baseline!X19</f>
        <v>0.47785589275362322</v>
      </c>
      <c r="Y25" s="2">
        <f>Building_MI_original_baseline!Y19</f>
        <v>54.810216828985524</v>
      </c>
      <c r="Z25" s="2">
        <f>Building_MI_original_baseline!Z19</f>
        <v>1.2235306173913045</v>
      </c>
      <c r="AA25" s="2">
        <f>Building_MI_original_baseline!AA19</f>
        <v>25.673779000000003</v>
      </c>
      <c r="AB25" s="2">
        <f>Building_MI_original_baseline!AB19</f>
        <v>1956.5246352559425</v>
      </c>
    </row>
    <row r="26" spans="1:28" x14ac:dyDescent="0.2">
      <c r="B26" t="s">
        <v>21</v>
      </c>
      <c r="C26" s="2">
        <f>Building_MI_original_baseline!C20</f>
        <v>1.1980676328502415</v>
      </c>
      <c r="D26" s="2">
        <f>Building_MI_original_baseline!D20</f>
        <v>179.96618357487924</v>
      </c>
      <c r="E26" s="2">
        <f>Building_MI_original_baseline!E20</f>
        <v>1662.6231884057972</v>
      </c>
      <c r="F26" s="2">
        <f>Building_MI_original_baseline!F20</f>
        <v>0.64251207729468607</v>
      </c>
      <c r="G26" s="2">
        <f>Building_MI_original_baseline!G20</f>
        <v>0.89855072463768126</v>
      </c>
      <c r="H26" s="2">
        <f>Building_MI_original_baseline!H20</f>
        <v>13.54106280193237</v>
      </c>
      <c r="I26" s="2">
        <f>Building_MI_original_baseline!I20</f>
        <v>7.5458937198067639</v>
      </c>
      <c r="J26" s="2">
        <f>Building_MI_original_baseline!J20</f>
        <v>24.90338164251208</v>
      </c>
      <c r="K26" s="2">
        <f>Building_MI_original_baseline!K20</f>
        <v>9.7737198067632871</v>
      </c>
      <c r="L26" s="2">
        <f>Building_MI_original_baseline!L20</f>
        <v>7.1321739130434798</v>
      </c>
      <c r="M26" s="2">
        <f>Building_MI_original_baseline!M20</f>
        <v>5.8114009661835757</v>
      </c>
      <c r="N26" s="2">
        <f>Building_MI_original_baseline!N20</f>
        <v>2.1132367149758458</v>
      </c>
      <c r="O26" s="2">
        <f>Building_MI_original_baseline!O20</f>
        <v>1.5849275362318842</v>
      </c>
      <c r="P26" s="2">
        <f>Building_MI_original_baseline!P20</f>
        <v>0</v>
      </c>
      <c r="Q26" s="2">
        <f>Building_MI_original_baseline!Q20</f>
        <v>6.57487922705314</v>
      </c>
      <c r="R26" s="2">
        <f>Building_MI_original_baseline!R20</f>
        <v>0.58454106280193241</v>
      </c>
      <c r="S26" s="2">
        <f>Building_MI_original_baseline!S20</f>
        <v>2.8743961352657008</v>
      </c>
      <c r="T26" s="2">
        <f>Building_MI_original_baseline!T20</f>
        <v>0.7874396135265701</v>
      </c>
      <c r="U26" s="2">
        <f>Building_MI_original_baseline!U20</f>
        <v>63.603864734299513</v>
      </c>
      <c r="V26" s="2">
        <f>Building_MI_original_baseline!V20</f>
        <v>0</v>
      </c>
      <c r="W26" s="2">
        <f>Building_MI_original_baseline!W20</f>
        <v>0.12077294685990339</v>
      </c>
      <c r="X26" s="2">
        <f>Building_MI_original_baseline!X20</f>
        <v>0.58454106280193241</v>
      </c>
      <c r="Y26" s="2">
        <f>Building_MI_original_baseline!Y20</f>
        <v>29.855072463768114</v>
      </c>
      <c r="Z26" s="2">
        <f>Building_MI_original_baseline!Z20</f>
        <v>9.6618357487922718E-2</v>
      </c>
      <c r="AA26" s="2">
        <f>Building_MI_original_baseline!AA20</f>
        <v>128.72946859903382</v>
      </c>
      <c r="AB26" s="2">
        <f>Building_MI_original_baseline!AB20</f>
        <v>2151.5458937198068</v>
      </c>
    </row>
    <row r="27" spans="1:28" x14ac:dyDescent="0.2">
      <c r="A27" t="s">
        <v>12</v>
      </c>
      <c r="B27" t="s">
        <v>16</v>
      </c>
      <c r="C27" s="2">
        <f>Building_MI_original_baseline!C21</f>
        <v>0.20221829725790513</v>
      </c>
      <c r="D27" s="2">
        <f>Building_MI_original_baseline!D21</f>
        <v>169.93780449011857</v>
      </c>
      <c r="E27" s="2">
        <f>Building_MI_original_baseline!E21</f>
        <v>1421.6139480039028</v>
      </c>
      <c r="F27" s="2">
        <f>Building_MI_original_baseline!F21</f>
        <v>0</v>
      </c>
      <c r="G27" s="2">
        <f>Building_MI_original_baseline!G21</f>
        <v>3.2032279496047429E-2</v>
      </c>
      <c r="H27" s="2">
        <f>Building_MI_original_baseline!H21</f>
        <v>13.986688577099798</v>
      </c>
      <c r="I27" s="2">
        <f>Building_MI_original_baseline!I21</f>
        <v>0.23152289397233203</v>
      </c>
      <c r="J27" s="2">
        <f>Building_MI_original_baseline!J21</f>
        <v>33.943422969713424</v>
      </c>
      <c r="K27" s="2">
        <f>Building_MI_original_baseline!K21</f>
        <v>6.8289593353866085</v>
      </c>
      <c r="L27" s="2">
        <f>Building_MI_original_baseline!L21</f>
        <v>4.983294650146985</v>
      </c>
      <c r="M27" s="2">
        <f>Building_MI_original_baseline!M21</f>
        <v>4.0604623075271729</v>
      </c>
      <c r="N27" s="2">
        <f>Building_MI_original_baseline!N21</f>
        <v>1.4765317481916993</v>
      </c>
      <c r="O27" s="2">
        <f>Building_MI_original_baseline!O21</f>
        <v>1.1073988111437743</v>
      </c>
      <c r="P27" s="2">
        <f>Building_MI_original_baseline!P21</f>
        <v>224.76978087598758</v>
      </c>
      <c r="Q27" s="2">
        <f>Building_MI_original_baseline!Q21</f>
        <v>12.270727132905126</v>
      </c>
      <c r="R27" s="2">
        <f>Building_MI_original_baseline!R21</f>
        <v>0.30749103120059285</v>
      </c>
      <c r="S27" s="2">
        <f>Building_MI_original_baseline!S21</f>
        <v>0.99483573656126456</v>
      </c>
      <c r="T27" s="2">
        <f>Building_MI_original_baseline!T21</f>
        <v>2.0525547885968374</v>
      </c>
      <c r="U27" s="2">
        <f>Building_MI_original_baseline!U21</f>
        <v>0</v>
      </c>
      <c r="V27" s="2">
        <f>Building_MI_original_baseline!V21</f>
        <v>0</v>
      </c>
      <c r="W27" s="2">
        <f>Building_MI_original_baseline!W21</f>
        <v>0.72710811603260872</v>
      </c>
      <c r="X27" s="2">
        <f>Building_MI_original_baseline!X21</f>
        <v>0</v>
      </c>
      <c r="Y27" s="2">
        <f>Building_MI_original_baseline!Y21</f>
        <v>69.102116075667027</v>
      </c>
      <c r="Z27" s="2">
        <f>Building_MI_original_baseline!Z21</f>
        <v>0.83496118913043471</v>
      </c>
      <c r="AA27" s="2">
        <f>Building_MI_original_baseline!AA21</f>
        <v>16.468138358448616</v>
      </c>
      <c r="AB27" s="2">
        <f>Building_MI_original_baseline!AB21</f>
        <v>1985.9319976684876</v>
      </c>
    </row>
    <row r="28" spans="1:28" x14ac:dyDescent="0.2">
      <c r="B28" t="s">
        <v>160</v>
      </c>
      <c r="C28" s="2">
        <f>Building_MI_original_baseline!C22</f>
        <v>0.21147096627964426</v>
      </c>
      <c r="D28" s="2">
        <f>Building_MI_original_baseline!D22</f>
        <v>169.93780449011857</v>
      </c>
      <c r="E28" s="2">
        <f>Building_MI_original_baseline!E22</f>
        <v>1512.2461587949108</v>
      </c>
      <c r="F28" s="2">
        <f>Building_MI_original_baseline!F22</f>
        <v>0</v>
      </c>
      <c r="G28" s="2">
        <f>Building_MI_original_baseline!G22</f>
        <v>3.2032279496047429E-2</v>
      </c>
      <c r="H28" s="2">
        <f>Building_MI_original_baseline!H22</f>
        <v>13.986688577099798</v>
      </c>
      <c r="I28" s="2">
        <f>Building_MI_original_baseline!I22</f>
        <v>2.5580129903903108</v>
      </c>
      <c r="J28" s="2">
        <f>Building_MI_original_baseline!J22</f>
        <v>23.011512423023714</v>
      </c>
      <c r="K28" s="2">
        <f>Building_MI_original_baseline!K22</f>
        <v>7.0887254337863128</v>
      </c>
      <c r="L28" s="2">
        <f>Building_MI_original_baseline!L22</f>
        <v>5.1728536949251476</v>
      </c>
      <c r="M28" s="2">
        <f>Building_MI_original_baseline!M22</f>
        <v>4.2149178254945641</v>
      </c>
      <c r="N28" s="2">
        <f>Building_MI_original_baseline!N22</f>
        <v>1.5326973910889325</v>
      </c>
      <c r="O28" s="2">
        <f>Building_MI_original_baseline!O22</f>
        <v>1.1495230433166994</v>
      </c>
      <c r="P28" s="2">
        <f>Building_MI_original_baseline!P22</f>
        <v>224.76978087598758</v>
      </c>
      <c r="Q28" s="2">
        <f>Building_MI_original_baseline!Q22</f>
        <v>12.270727132905126</v>
      </c>
      <c r="R28" s="2">
        <f>Building_MI_original_baseline!R22</f>
        <v>0.30749103120059285</v>
      </c>
      <c r="S28" s="2">
        <f>Building_MI_original_baseline!S22</f>
        <v>1.2289766862154146</v>
      </c>
      <c r="T28" s="2">
        <f>Building_MI_original_baseline!T22</f>
        <v>5.6162211183152166</v>
      </c>
      <c r="U28" s="2">
        <f>Building_MI_original_baseline!U22</f>
        <v>0</v>
      </c>
      <c r="V28" s="2">
        <f>Building_MI_original_baseline!V22</f>
        <v>0</v>
      </c>
      <c r="W28" s="2">
        <f>Building_MI_original_baseline!W22</f>
        <v>0.74015650410079059</v>
      </c>
      <c r="X28" s="2">
        <f>Building_MI_original_baseline!X22</f>
        <v>0.35798067065217387</v>
      </c>
      <c r="Y28" s="2">
        <f>Building_MI_original_baseline!Y22</f>
        <v>68.586460476753956</v>
      </c>
      <c r="Z28" s="2">
        <f>Building_MI_original_baseline!Z22</f>
        <v>0.70400742663043481</v>
      </c>
      <c r="AA28" s="2">
        <f>Building_MI_original_baseline!AA22</f>
        <v>16.468138358448616</v>
      </c>
      <c r="AB28" s="2">
        <f>Building_MI_original_baseline!AB22</f>
        <v>2072.1923381911406</v>
      </c>
    </row>
    <row r="29" spans="1:28" x14ac:dyDescent="0.2">
      <c r="B29" t="s">
        <v>161</v>
      </c>
      <c r="C29" s="2">
        <f>(1/2)*Building_MI_original_baseline!C22+(1/2)*Building_MI_original_baseline!C23</f>
        <v>0.49684034108201303</v>
      </c>
      <c r="D29" s="2">
        <f>(1/2)*Building_MI_original_baseline!D22+(1/2)*Building_MI_original_baseline!D23</f>
        <v>112.24658576371047</v>
      </c>
      <c r="E29" s="2">
        <f>(1/2)*Building_MI_original_baseline!E22+(1/2)*Building_MI_original_baseline!E23</f>
        <v>1519.3709354200344</v>
      </c>
      <c r="F29" s="2">
        <f>(1/2)*Building_MI_original_baseline!F22+(1/2)*Building_MI_original_baseline!F23</f>
        <v>0.41293410048171886</v>
      </c>
      <c r="G29" s="2">
        <f>(1/2)*Building_MI_original_baseline!G22+(1/2)*Building_MI_original_baseline!G23</f>
        <v>3.2032279496047429E-2</v>
      </c>
      <c r="H29" s="2">
        <f>(1/2)*Building_MI_original_baseline!H22+(1/2)*Building_MI_original_baseline!H23</f>
        <v>13.493654474258891</v>
      </c>
      <c r="I29" s="2">
        <f>(1/2)*Building_MI_original_baseline!I22+(1/2)*Building_MI_original_baseline!I23</f>
        <v>3.7212580391551353</v>
      </c>
      <c r="J29" s="2">
        <f>(1/2)*Building_MI_original_baseline!J22+(1/2)*Building_MI_original_baseline!J23</f>
        <v>17.409347896874998</v>
      </c>
      <c r="K29" s="2">
        <f>(1/2)*Building_MI_original_baseline!K22+(1/2)*Building_MI_original_baseline!K23</f>
        <v>6.0587284328754922</v>
      </c>
      <c r="L29" s="2">
        <f>(1/2)*Building_MI_original_baseline!L22+(1/2)*Building_MI_original_baseline!L23</f>
        <v>4.4212342618280625</v>
      </c>
      <c r="M29" s="2">
        <f>(1/2)*Building_MI_original_baseline!M22+(1/2)*Building_MI_original_baseline!M23</f>
        <v>3.6024871763043467</v>
      </c>
      <c r="N29" s="2">
        <f>(1/2)*Building_MI_original_baseline!N22+(1/2)*Building_MI_original_baseline!N23</f>
        <v>1.3099953368379444</v>
      </c>
      <c r="O29" s="2">
        <f>(1/2)*Building_MI_original_baseline!O22+(1/2)*Building_MI_original_baseline!O23</f>
        <v>0.98249650262845822</v>
      </c>
      <c r="P29" s="2">
        <f>(1/2)*Building_MI_original_baseline!P22+(1/2)*Building_MI_original_baseline!P23</f>
        <v>274.78162223122501</v>
      </c>
      <c r="Q29" s="2">
        <f>(1/2)*Building_MI_original_baseline!Q22+(1/2)*Building_MI_original_baseline!Q23</f>
        <v>8.9842297680335861</v>
      </c>
      <c r="R29" s="2">
        <f>(1/2)*Building_MI_original_baseline!R22+(1/2)*Building_MI_original_baseline!R23</f>
        <v>0.30796127921195648</v>
      </c>
      <c r="S29" s="2">
        <f>(1/2)*Building_MI_original_baseline!S22+(1/2)*Building_MI_original_baseline!S23</f>
        <v>1.5572286196516789</v>
      </c>
      <c r="T29" s="2">
        <f>(1/2)*Building_MI_original_baseline!T22+(1/2)*Building_MI_original_baseline!T23</f>
        <v>5.6162331763068174</v>
      </c>
      <c r="U29" s="2">
        <f>(1/2)*Building_MI_original_baseline!U22+(1/2)*Building_MI_original_baseline!U23</f>
        <v>0</v>
      </c>
      <c r="V29" s="2">
        <f>(1/2)*Building_MI_original_baseline!V22+(1/2)*Building_MI_original_baseline!V23</f>
        <v>0</v>
      </c>
      <c r="W29" s="2">
        <f>(1/2)*Building_MI_original_baseline!W22+(1/2)*Building_MI_original_baseline!W23</f>
        <v>0.74354058407855739</v>
      </c>
      <c r="X29" s="2">
        <f>(1/2)*Building_MI_original_baseline!X22+(1/2)*Building_MI_original_baseline!X23</f>
        <v>0.35798067065217387</v>
      </c>
      <c r="Y29" s="2">
        <f>(1/2)*Building_MI_original_baseline!Y22+(1/2)*Building_MI_original_baseline!Y23</f>
        <v>69.62460717565466</v>
      </c>
      <c r="Z29" s="2">
        <f>(1/2)*Building_MI_original_baseline!Z22+(1/2)*Building_MI_original_baseline!Z23</f>
        <v>0.7959883165266799</v>
      </c>
      <c r="AA29" s="2">
        <f>(1/2)*Building_MI_original_baseline!AA22+(1/2)*Building_MI_original_baseline!AA23</f>
        <v>16.468138358448616</v>
      </c>
      <c r="AB29" s="2">
        <f>(1/2)*Building_MI_original_baseline!AB22+(1/2)*Building_MI_original_baseline!AB23</f>
        <v>2062.7960602053572</v>
      </c>
    </row>
    <row r="30" spans="1:28" x14ac:dyDescent="0.2">
      <c r="B30" t="s">
        <v>162</v>
      </c>
      <c r="C30" s="2">
        <f>Building_MI_original_baseline!C23</f>
        <v>0.78220971588438182</v>
      </c>
      <c r="D30" s="2">
        <f>Building_MI_original_baseline!D23</f>
        <v>54.555367037302368</v>
      </c>
      <c r="E30" s="2">
        <f>Building_MI_original_baseline!E23</f>
        <v>1526.4957120451579</v>
      </c>
      <c r="F30" s="2">
        <f>Building_MI_original_baseline!F23</f>
        <v>0.82586820096343772</v>
      </c>
      <c r="G30" s="2">
        <f>Building_MI_original_baseline!G23</f>
        <v>3.2032279496047429E-2</v>
      </c>
      <c r="H30" s="2">
        <f>Building_MI_original_baseline!H23</f>
        <v>13.000620371417984</v>
      </c>
      <c r="I30" s="2">
        <f>Building_MI_original_baseline!I23</f>
        <v>4.8845030879199598</v>
      </c>
      <c r="J30" s="2">
        <f>Building_MI_original_baseline!J23</f>
        <v>11.80718337072628</v>
      </c>
      <c r="K30" s="2">
        <f>Building_MI_original_baseline!K23</f>
        <v>5.0287314319646716</v>
      </c>
      <c r="L30" s="2">
        <f>Building_MI_original_baseline!L23</f>
        <v>3.6696148287309769</v>
      </c>
      <c r="M30" s="2">
        <f>Building_MI_original_baseline!M23</f>
        <v>2.9900565271141293</v>
      </c>
      <c r="N30" s="2">
        <f>Building_MI_original_baseline!N23</f>
        <v>1.0872932825869561</v>
      </c>
      <c r="O30" s="2">
        <f>Building_MI_original_baseline!O23</f>
        <v>0.81546996194021704</v>
      </c>
      <c r="P30" s="2">
        <f>Building_MI_original_baseline!P23</f>
        <v>324.79346358646245</v>
      </c>
      <c r="Q30" s="2">
        <f>Building_MI_original_baseline!Q23</f>
        <v>5.6977324031620444</v>
      </c>
      <c r="R30" s="2">
        <f>Building_MI_original_baseline!R23</f>
        <v>0.30843152722332012</v>
      </c>
      <c r="S30" s="2">
        <f>Building_MI_original_baseline!S23</f>
        <v>1.8854805530879433</v>
      </c>
      <c r="T30" s="2">
        <f>Building_MI_original_baseline!T23</f>
        <v>5.616245234298419</v>
      </c>
      <c r="U30" s="2">
        <f>Building_MI_original_baseline!U23</f>
        <v>0</v>
      </c>
      <c r="V30" s="2">
        <f>Building_MI_original_baseline!V23</f>
        <v>0</v>
      </c>
      <c r="W30" s="2">
        <f>Building_MI_original_baseline!W23</f>
        <v>0.74692466405632407</v>
      </c>
      <c r="X30" s="2">
        <f>Building_MI_original_baseline!X23</f>
        <v>0.35798067065217387</v>
      </c>
      <c r="Y30" s="2">
        <f>Building_MI_original_baseline!Y23</f>
        <v>70.662753874555364</v>
      </c>
      <c r="Z30" s="2">
        <f>Building_MI_original_baseline!Z23</f>
        <v>0.88796920642292487</v>
      </c>
      <c r="AA30" s="2">
        <f>Building_MI_original_baseline!AA23</f>
        <v>16.468138358448616</v>
      </c>
      <c r="AB30" s="2">
        <f>Building_MI_original_baseline!AB23</f>
        <v>2053.3997822195743</v>
      </c>
    </row>
    <row r="31" spans="1:28" x14ac:dyDescent="0.2">
      <c r="B31" t="s">
        <v>163</v>
      </c>
      <c r="C31" s="2">
        <f>(8/13)*Building_MI_original_baseline!C23+(5/13)*Building_MI_original_baseline!C24</f>
        <v>0.78220971588438193</v>
      </c>
      <c r="D31" s="2">
        <f>(8/13)*Building_MI_original_baseline!D23+(5/13)*Building_MI_original_baseline!D24</f>
        <v>54.555367037302368</v>
      </c>
      <c r="E31" s="2">
        <f>(8/13)*Building_MI_original_baseline!E23+(5/13)*Building_MI_original_baseline!E24</f>
        <v>1526.4957120451581</v>
      </c>
      <c r="F31" s="2">
        <f>(8/13)*Building_MI_original_baseline!F23+(5/13)*Building_MI_original_baseline!F24</f>
        <v>0.82586820096343772</v>
      </c>
      <c r="G31" s="2">
        <f>(8/13)*Building_MI_original_baseline!G23+(5/13)*Building_MI_original_baseline!G24</f>
        <v>3.2032279496047429E-2</v>
      </c>
      <c r="H31" s="2">
        <f>(8/13)*Building_MI_original_baseline!H23+(5/13)*Building_MI_original_baseline!H24</f>
        <v>13.000620371417984</v>
      </c>
      <c r="I31" s="2">
        <f>(8/13)*Building_MI_original_baseline!I23+(5/13)*Building_MI_original_baseline!I24</f>
        <v>4.8845030879199598</v>
      </c>
      <c r="J31" s="2">
        <f>(8/13)*Building_MI_original_baseline!J23+(5/13)*Building_MI_original_baseline!J24</f>
        <v>12.314097416180827</v>
      </c>
      <c r="K31" s="2">
        <f>(8/13)*Building_MI_original_baseline!K23+(5/13)*Building_MI_original_baseline!K24</f>
        <v>4.5828263287686495</v>
      </c>
      <c r="L31" s="2">
        <f>(8/13)*Building_MI_original_baseline!L23+(5/13)*Building_MI_original_baseline!L24</f>
        <v>3.3442246182906361</v>
      </c>
      <c r="M31" s="2">
        <f>(8/13)*Building_MI_original_baseline!M23+(5/13)*Building_MI_original_baseline!M24</f>
        <v>2.7249237630516294</v>
      </c>
      <c r="N31" s="2">
        <f>(8/13)*Building_MI_original_baseline!N23+(5/13)*Building_MI_original_baseline!N24</f>
        <v>0.9908813683824107</v>
      </c>
      <c r="O31" s="2">
        <f>(8/13)*Building_MI_original_baseline!O23+(5/13)*Building_MI_original_baseline!O24</f>
        <v>0.74316102628680802</v>
      </c>
      <c r="P31" s="2">
        <f>(8/13)*Building_MI_original_baseline!P23+(5/13)*Building_MI_original_baseline!P24</f>
        <v>324.79346358646245</v>
      </c>
      <c r="Q31" s="2">
        <f>(8/13)*Building_MI_original_baseline!Q23+(5/13)*Building_MI_original_baseline!Q24</f>
        <v>5.6977324031620444</v>
      </c>
      <c r="R31" s="2">
        <f>(8/13)*Building_MI_original_baseline!R23+(5/13)*Building_MI_original_baseline!R24</f>
        <v>0.30861239195234114</v>
      </c>
      <c r="S31" s="2">
        <f>(8/13)*Building_MI_original_baseline!S23+(5/13)*Building_MI_original_baseline!S24</f>
        <v>1.8863368592505307</v>
      </c>
      <c r="T31" s="2">
        <f>(8/13)*Building_MI_original_baseline!T23+(5/13)*Building_MI_original_baseline!T24</f>
        <v>5.5923577167303886</v>
      </c>
      <c r="U31" s="2">
        <f>(8/13)*Building_MI_original_baseline!U23+(5/13)*Building_MI_original_baseline!U24</f>
        <v>0</v>
      </c>
      <c r="V31" s="2">
        <f>(8/13)*Building_MI_original_baseline!V23+(5/13)*Building_MI_original_baseline!V24</f>
        <v>0</v>
      </c>
      <c r="W31" s="2">
        <f>(8/13)*Building_MI_original_baseline!W23+(5/13)*Building_MI_original_baseline!W24</f>
        <v>0.74695134019268772</v>
      </c>
      <c r="X31" s="2">
        <f>(8/13)*Building_MI_original_baseline!X23+(5/13)*Building_MI_original_baseline!X24</f>
        <v>0.35798067065217387</v>
      </c>
      <c r="Y31" s="2">
        <f>(8/13)*Building_MI_original_baseline!Y23+(5/13)*Building_MI_original_baseline!Y24</f>
        <v>70.656793496115867</v>
      </c>
      <c r="Z31" s="2">
        <f>(8/13)*Building_MI_original_baseline!Z23+(5/13)*Building_MI_original_baseline!Z24</f>
        <v>0.88796920642292498</v>
      </c>
      <c r="AA31" s="2">
        <f>(8/13)*Building_MI_original_baseline!AA23+(5/13)*Building_MI_original_baseline!AA24</f>
        <v>16.46813835844862</v>
      </c>
      <c r="AB31" s="2">
        <f>(8/13)*Building_MI_original_baseline!AB23+(5/13)*Building_MI_original_baseline!AB24</f>
        <v>2052.6727632884927</v>
      </c>
    </row>
    <row r="32" spans="1:28" x14ac:dyDescent="0.2">
      <c r="B32" t="s">
        <v>156</v>
      </c>
      <c r="C32" s="2">
        <f>Building_MI_original_baseline!C24</f>
        <v>0.78220971588438182</v>
      </c>
      <c r="D32" s="2">
        <f>Building_MI_original_baseline!D24</f>
        <v>54.555367037302368</v>
      </c>
      <c r="E32" s="2">
        <f>Building_MI_original_baseline!E24</f>
        <v>1526.4957120451579</v>
      </c>
      <c r="F32" s="2">
        <f>Building_MI_original_baseline!F24</f>
        <v>0.82586820096343772</v>
      </c>
      <c r="G32" s="2">
        <f>Building_MI_original_baseline!G24</f>
        <v>3.2032279496047429E-2</v>
      </c>
      <c r="H32" s="2">
        <f>Building_MI_original_baseline!H24</f>
        <v>13.000620371417984</v>
      </c>
      <c r="I32" s="2">
        <f>Building_MI_original_baseline!I24</f>
        <v>4.8845030879199598</v>
      </c>
      <c r="J32" s="2">
        <f>Building_MI_original_baseline!J24</f>
        <v>13.125159888908099</v>
      </c>
      <c r="K32" s="2">
        <f>Building_MI_original_baseline!K24</f>
        <v>3.8693781636550129</v>
      </c>
      <c r="L32" s="2">
        <f>Building_MI_original_baseline!L24</f>
        <v>2.8236002815860908</v>
      </c>
      <c r="M32" s="2">
        <f>Building_MI_original_baseline!M24</f>
        <v>2.3007113405516293</v>
      </c>
      <c r="N32" s="2">
        <f>Building_MI_original_baseline!N24</f>
        <v>0.83662230565513795</v>
      </c>
      <c r="O32" s="2">
        <f>Building_MI_original_baseline!O24</f>
        <v>0.62746672924135349</v>
      </c>
      <c r="P32" s="2">
        <f>Building_MI_original_baseline!P24</f>
        <v>324.79346358646245</v>
      </c>
      <c r="Q32" s="2">
        <f>Building_MI_original_baseline!Q24</f>
        <v>5.6977324031620444</v>
      </c>
      <c r="R32" s="2">
        <f>Building_MI_original_baseline!R24</f>
        <v>0.30890177551877468</v>
      </c>
      <c r="S32" s="2">
        <f>Building_MI_original_baseline!S24</f>
        <v>1.8877069491106706</v>
      </c>
      <c r="T32" s="2">
        <f>Building_MI_original_baseline!T24</f>
        <v>5.554137688621541</v>
      </c>
      <c r="U32" s="2">
        <f>Building_MI_original_baseline!U24</f>
        <v>0</v>
      </c>
      <c r="V32" s="2">
        <f>Building_MI_original_baseline!V24</f>
        <v>0</v>
      </c>
      <c r="W32" s="2">
        <f>Building_MI_original_baseline!W24</f>
        <v>0.74699402201086951</v>
      </c>
      <c r="X32" s="2">
        <f>Building_MI_original_baseline!X24</f>
        <v>0.35798067065217387</v>
      </c>
      <c r="Y32" s="2">
        <f>Building_MI_original_baseline!Y24</f>
        <v>70.647256890612667</v>
      </c>
      <c r="Z32" s="2">
        <f>Building_MI_original_baseline!Z24</f>
        <v>0.88796920642292487</v>
      </c>
      <c r="AA32" s="2">
        <f>Building_MI_original_baseline!AA24</f>
        <v>16.468138358448616</v>
      </c>
      <c r="AB32" s="2">
        <f>Building_MI_original_baseline!AB24</f>
        <v>2051.5095329987616</v>
      </c>
    </row>
    <row r="33" spans="1:33" x14ac:dyDescent="0.2">
      <c r="B33" t="s">
        <v>21</v>
      </c>
      <c r="C33" s="2">
        <f>Building_MI_original_baseline!C25</f>
        <v>1.5489130434782608</v>
      </c>
      <c r="D33" s="2">
        <f>Building_MI_original_baseline!D25</f>
        <v>237.06521739130437</v>
      </c>
      <c r="E33" s="2">
        <f>Building_MI_original_baseline!E25</f>
        <v>1107.9076086956522</v>
      </c>
      <c r="F33" s="2">
        <f>Building_MI_original_baseline!F25</f>
        <v>0.31521739130434784</v>
      </c>
      <c r="G33" s="2">
        <f>Building_MI_original_baseline!G25</f>
        <v>1.2880434782608696</v>
      </c>
      <c r="H33" s="2">
        <f>Building_MI_original_baseline!H25</f>
        <v>30.874999999999996</v>
      </c>
      <c r="I33" s="2">
        <f>Building_MI_original_baseline!I25</f>
        <v>5.8913043478260869</v>
      </c>
      <c r="J33" s="2">
        <f>Building_MI_original_baseline!J25</f>
        <v>2.206521739130435</v>
      </c>
      <c r="K33" s="2">
        <f>Building_MI_original_baseline!K25</f>
        <v>2.851413043478261</v>
      </c>
      <c r="L33" s="2">
        <f>Building_MI_original_baseline!L25</f>
        <v>2.0807608695652173</v>
      </c>
      <c r="M33" s="2">
        <f>Building_MI_original_baseline!M25</f>
        <v>1.6954347826086955</v>
      </c>
      <c r="N33" s="2">
        <f>Building_MI_original_baseline!N25</f>
        <v>0.61652173913043473</v>
      </c>
      <c r="O33" s="2">
        <f>Building_MI_original_baseline!O25</f>
        <v>0.46239130434782605</v>
      </c>
      <c r="P33" s="2">
        <f>Building_MI_original_baseline!P25</f>
        <v>0</v>
      </c>
      <c r="Q33" s="2">
        <f>Building_MI_original_baseline!Q25</f>
        <v>12.581521739130434</v>
      </c>
      <c r="R33" s="2">
        <f>Building_MI_original_baseline!R25</f>
        <v>0.37499999999999994</v>
      </c>
      <c r="S33" s="2">
        <f>Building_MI_original_baseline!S25</f>
        <v>2.5054347826086953</v>
      </c>
      <c r="T33" s="2">
        <f>Building_MI_original_baseline!T25</f>
        <v>0.99456521739130421</v>
      </c>
      <c r="U33" s="2">
        <f>Building_MI_original_baseline!U25</f>
        <v>61.532608695652172</v>
      </c>
      <c r="V33" s="2">
        <f>Building_MI_original_baseline!V25</f>
        <v>0</v>
      </c>
      <c r="W33" s="2">
        <f>Building_MI_original_baseline!W25</f>
        <v>0.12499999999999999</v>
      </c>
      <c r="X33" s="2">
        <f>Building_MI_original_baseline!X25</f>
        <v>0.27173913043478259</v>
      </c>
      <c r="Y33" s="2">
        <f>Building_MI_original_baseline!Y25</f>
        <v>21.673913043478258</v>
      </c>
      <c r="Z33" s="2">
        <f>Building_MI_original_baseline!Z25</f>
        <v>0.53260869565217395</v>
      </c>
      <c r="AA33" s="2">
        <f>Building_MI_original_baseline!AA25</f>
        <v>30.114130434782606</v>
      </c>
      <c r="AB33" s="2">
        <f>Building_MI_original_baseline!AB25</f>
        <v>1525.5108695652175</v>
      </c>
    </row>
    <row r="34" spans="1:33" x14ac:dyDescent="0.2">
      <c r="A34" t="s">
        <v>44</v>
      </c>
      <c r="B34" t="s">
        <v>16</v>
      </c>
      <c r="C34" s="2">
        <f>Building_MI_original_baseline!C26</f>
        <v>0.11701019340659341</v>
      </c>
      <c r="D34" s="2">
        <f>Building_MI_original_baseline!D26</f>
        <v>171.36517329670332</v>
      </c>
      <c r="E34" s="2">
        <f>Building_MI_original_baseline!E26</f>
        <v>1097.8571164296693</v>
      </c>
      <c r="F34" s="2">
        <f>Building_MI_original_baseline!F26</f>
        <v>6.7692307692307691E-2</v>
      </c>
      <c r="G34" s="2">
        <f>Building_MI_original_baseline!G26</f>
        <v>3.663003626373626E-2</v>
      </c>
      <c r="H34" s="2">
        <f>Building_MI_original_baseline!H26</f>
        <v>9.5043092065934065</v>
      </c>
      <c r="I34" s="2">
        <f>Building_MI_original_baseline!I26</f>
        <v>11.018224612087911</v>
      </c>
      <c r="J34" s="2">
        <f>Building_MI_original_baseline!J26</f>
        <v>42.832492139560415</v>
      </c>
      <c r="K34" s="2">
        <f>Building_MI_original_baseline!K26</f>
        <v>6.2467805061428585</v>
      </c>
      <c r="L34" s="2">
        <f>Building_MI_original_baseline!L26</f>
        <v>4.558461450428573</v>
      </c>
      <c r="M34" s="2">
        <f>Building_MI_original_baseline!M26</f>
        <v>3.7143019225714293</v>
      </c>
      <c r="N34" s="2">
        <f>Building_MI_original_baseline!N26</f>
        <v>1.3506552445714288</v>
      </c>
      <c r="O34" s="2">
        <f>Building_MI_original_baseline!O26</f>
        <v>1.0129914334285717</v>
      </c>
      <c r="P34" s="2">
        <f>Building_MI_original_baseline!P26</f>
        <v>252.87193786813185</v>
      </c>
      <c r="Q34" s="2">
        <f>Building_MI_original_baseline!Q26</f>
        <v>18.81893665164834</v>
      </c>
      <c r="R34" s="2">
        <f>Building_MI_original_baseline!R26</f>
        <v>0.20715254395604393</v>
      </c>
      <c r="S34" s="2">
        <f>Building_MI_original_baseline!S26</f>
        <v>1.4989690769230766</v>
      </c>
      <c r="T34" s="2">
        <f>Building_MI_original_baseline!T26</f>
        <v>1.9742970098901096</v>
      </c>
      <c r="U34" s="2">
        <f>Building_MI_original_baseline!U26</f>
        <v>0</v>
      </c>
      <c r="V34" s="2">
        <f>Building_MI_original_baseline!V26</f>
        <v>0</v>
      </c>
      <c r="W34" s="2">
        <f>Building_MI_original_baseline!W26</f>
        <v>0.46113914505494502</v>
      </c>
      <c r="X34" s="2">
        <f>Building_MI_original_baseline!X26</f>
        <v>0</v>
      </c>
      <c r="Y34" s="2">
        <f>Building_MI_original_baseline!Y26</f>
        <v>46.466515152747249</v>
      </c>
      <c r="Z34" s="2">
        <f>Building_MI_original_baseline!Z26</f>
        <v>5.0542406593406593E-2</v>
      </c>
      <c r="AA34" s="2">
        <f>Building_MI_original_baseline!AA26</f>
        <v>13.502395043956044</v>
      </c>
      <c r="AB34" s="2">
        <f>Building_MI_original_baseline!AB26</f>
        <v>1685.5337236780206</v>
      </c>
    </row>
    <row r="35" spans="1:33" x14ac:dyDescent="0.2">
      <c r="B35" t="s">
        <v>160</v>
      </c>
      <c r="C35" s="2">
        <f>Building_MI_original_baseline!C27</f>
        <v>0.13084169560439551</v>
      </c>
      <c r="D35" s="2">
        <f>Building_MI_original_baseline!D27</f>
        <v>171.36517329670332</v>
      </c>
      <c r="E35" s="2">
        <f>Building_MI_original_baseline!E27</f>
        <v>1168.9713799285703</v>
      </c>
      <c r="F35" s="2">
        <f>Building_MI_original_baseline!F27</f>
        <v>6.7692307692307691E-2</v>
      </c>
      <c r="G35" s="2">
        <f>Building_MI_original_baseline!G27</f>
        <v>3.663003626373626E-2</v>
      </c>
      <c r="H35" s="2">
        <f>Building_MI_original_baseline!H27</f>
        <v>9.5043092065934065</v>
      </c>
      <c r="I35" s="2">
        <f>Building_MI_original_baseline!I27</f>
        <v>14.158282454945043</v>
      </c>
      <c r="J35" s="2">
        <f>Building_MI_original_baseline!J27</f>
        <v>24.410079309890111</v>
      </c>
      <c r="K35" s="2">
        <f>Building_MI_original_baseline!K27</f>
        <v>6.3662024319120878</v>
      </c>
      <c r="L35" s="2">
        <f>Building_MI_original_baseline!L27</f>
        <v>4.6456071800439567</v>
      </c>
      <c r="M35" s="2">
        <f>Building_MI_original_baseline!M27</f>
        <v>3.7853095541098902</v>
      </c>
      <c r="N35" s="2">
        <f>Building_MI_original_baseline!N27</f>
        <v>1.3764762014945056</v>
      </c>
      <c r="O35" s="2">
        <f>Building_MI_original_baseline!O27</f>
        <v>1.0323571511208791</v>
      </c>
      <c r="P35" s="2">
        <f>Building_MI_original_baseline!P27</f>
        <v>252.87193786813185</v>
      </c>
      <c r="Q35" s="2">
        <f>Building_MI_original_baseline!Q27</f>
        <v>18.81893665164834</v>
      </c>
      <c r="R35" s="2">
        <f>Building_MI_original_baseline!R27</f>
        <v>0.20715254395604393</v>
      </c>
      <c r="S35" s="2">
        <f>Building_MI_original_baseline!S27</f>
        <v>1.7718148934065934</v>
      </c>
      <c r="T35" s="2">
        <f>Building_MI_original_baseline!T27</f>
        <v>2.7024723384615381</v>
      </c>
      <c r="U35" s="2">
        <f>Building_MI_original_baseline!U27</f>
        <v>0</v>
      </c>
      <c r="V35" s="2">
        <f>Building_MI_original_baseline!V27</f>
        <v>0</v>
      </c>
      <c r="W35" s="2">
        <f>Building_MI_original_baseline!W27</f>
        <v>0.49499219999999994</v>
      </c>
      <c r="X35" s="2">
        <f>Building_MI_original_baseline!X27</f>
        <v>0.43177825824175825</v>
      </c>
      <c r="Y35" s="2">
        <f>Building_MI_original_baseline!Y27</f>
        <v>46.565791712087908</v>
      </c>
      <c r="Z35" s="2">
        <f>Building_MI_original_baseline!Z27</f>
        <v>0</v>
      </c>
      <c r="AA35" s="2">
        <f>Building_MI_original_baseline!AA27</f>
        <v>13.502395043956044</v>
      </c>
      <c r="AB35" s="2">
        <f>Building_MI_original_baseline!AB27</f>
        <v>1743.2176122648343</v>
      </c>
    </row>
    <row r="36" spans="1:33" x14ac:dyDescent="0.2">
      <c r="B36" t="s">
        <v>161</v>
      </c>
      <c r="C36" s="2">
        <f>(1/2)*Building_MI_original_baseline!C27+(1/2)*Building_MI_original_baseline!C28</f>
        <v>0.8012333983516482</v>
      </c>
      <c r="D36" s="2">
        <f>(1/2)*Building_MI_original_baseline!D27+(1/2)*Building_MI_original_baseline!D28</f>
        <v>119.95562130769233</v>
      </c>
      <c r="E36" s="2">
        <f>(1/2)*Building_MI_original_baseline!E27+(1/2)*Building_MI_original_baseline!E28</f>
        <v>1188.8017339153828</v>
      </c>
      <c r="F36" s="2">
        <f>(1/2)*Building_MI_original_baseline!F27+(1/2)*Building_MI_original_baseline!F28</f>
        <v>3.3846153846153845E-2</v>
      </c>
      <c r="G36" s="2">
        <f>(1/2)*Building_MI_original_baseline!G27+(1/2)*Building_MI_original_baseline!G28</f>
        <v>3.663003626373626E-2</v>
      </c>
      <c r="H36" s="2">
        <f>(1/2)*Building_MI_original_baseline!H27+(1/2)*Building_MI_original_baseline!H28</f>
        <v>10.047690053296703</v>
      </c>
      <c r="I36" s="2">
        <f>(1/2)*Building_MI_original_baseline!I27+(1/2)*Building_MI_original_baseline!I28</f>
        <v>15.728311376373615</v>
      </c>
      <c r="J36" s="2">
        <f>(1/2)*Building_MI_original_baseline!J27+(1/2)*Building_MI_original_baseline!J28</f>
        <v>16.941204962087912</v>
      </c>
      <c r="K36" s="2">
        <f>(1/2)*Building_MI_original_baseline!K27+(1/2)*Building_MI_original_baseline!K28</f>
        <v>5.4694253366373626</v>
      </c>
      <c r="L36" s="2">
        <f>(1/2)*Building_MI_original_baseline!L27+(1/2)*Building_MI_original_baseline!L28</f>
        <v>3.9912022726813192</v>
      </c>
      <c r="M36" s="2">
        <f>(1/2)*Building_MI_original_baseline!M27+(1/2)*Building_MI_original_baseline!M28</f>
        <v>3.2520907407032968</v>
      </c>
      <c r="N36" s="2">
        <f>(1/2)*Building_MI_original_baseline!N27+(1/2)*Building_MI_original_baseline!N28</f>
        <v>1.1825784511648352</v>
      </c>
      <c r="O36" s="2">
        <f>(1/2)*Building_MI_original_baseline!O27+(1/2)*Building_MI_original_baseline!O28</f>
        <v>0.88693383837362638</v>
      </c>
      <c r="P36" s="2">
        <f>(1/2)*Building_MI_original_baseline!P27+(1/2)*Building_MI_original_baseline!P28</f>
        <v>295.90526519780218</v>
      </c>
      <c r="Q36" s="2">
        <f>(1/2)*Building_MI_original_baseline!Q27+(1/2)*Building_MI_original_baseline!Q28</f>
        <v>11.831954404395592</v>
      </c>
      <c r="R36" s="2">
        <f>(1/2)*Building_MI_original_baseline!R27+(1/2)*Building_MI_original_baseline!R28</f>
        <v>0.20733559285714284</v>
      </c>
      <c r="S36" s="2">
        <f>(1/2)*Building_MI_original_baseline!S27+(1/2)*Building_MI_original_baseline!S28</f>
        <v>1.7916335664835166</v>
      </c>
      <c r="T36" s="2">
        <f>(1/2)*Building_MI_original_baseline!T27+(1/2)*Building_MI_original_baseline!T28</f>
        <v>2.6830760236263735</v>
      </c>
      <c r="U36" s="2">
        <f>(1/2)*Building_MI_original_baseline!U27+(1/2)*Building_MI_original_baseline!U28</f>
        <v>0</v>
      </c>
      <c r="V36" s="2">
        <f>(1/2)*Building_MI_original_baseline!V27+(1/2)*Building_MI_original_baseline!V28</f>
        <v>0</v>
      </c>
      <c r="W36" s="2">
        <f>(1/2)*Building_MI_original_baseline!W27+(1/2)*Building_MI_original_baseline!W28</f>
        <v>0.49499219999999994</v>
      </c>
      <c r="X36" s="2">
        <f>(1/2)*Building_MI_original_baseline!X27+(1/2)*Building_MI_original_baseline!X28</f>
        <v>0.43177825824175825</v>
      </c>
      <c r="Y36" s="2">
        <f>(1/2)*Building_MI_original_baseline!Y27+(1/2)*Building_MI_original_baseline!Y28</f>
        <v>47.310346268681315</v>
      </c>
      <c r="Z36" s="2">
        <f>(1/2)*Building_MI_original_baseline!Z27+(1/2)*Building_MI_original_baseline!Z28</f>
        <v>4.6382079670329666E-2</v>
      </c>
      <c r="AA36" s="2">
        <f>(1/2)*Building_MI_original_baseline!AA27+(1/2)*Building_MI_original_baseline!AA28</f>
        <v>13.502395043956044</v>
      </c>
      <c r="AB36" s="2">
        <f>(1/2)*Building_MI_original_baseline!AB27+(1/2)*Building_MI_original_baseline!AB28</f>
        <v>1741.33366047857</v>
      </c>
      <c r="AG36" s="23"/>
    </row>
    <row r="37" spans="1:33" x14ac:dyDescent="0.2">
      <c r="B37" t="s">
        <v>162</v>
      </c>
      <c r="C37" s="2">
        <f>Building_MI_original_baseline!C28</f>
        <v>1.4716251010989008</v>
      </c>
      <c r="D37" s="2">
        <f>Building_MI_original_baseline!D28</f>
        <v>68.546069318681319</v>
      </c>
      <c r="E37" s="2">
        <f>Building_MI_original_baseline!E28</f>
        <v>1208.6320879021953</v>
      </c>
      <c r="F37" s="2">
        <f>Building_MI_original_baseline!F28</f>
        <v>0</v>
      </c>
      <c r="G37" s="2">
        <f>Building_MI_original_baseline!G28</f>
        <v>3.663003626373626E-2</v>
      </c>
      <c r="H37" s="2">
        <f>Building_MI_original_baseline!H28</f>
        <v>10.5910709</v>
      </c>
      <c r="I37" s="2">
        <f>Building_MI_original_baseline!I28</f>
        <v>17.298340297802184</v>
      </c>
      <c r="J37" s="2">
        <f>Building_MI_original_baseline!J28</f>
        <v>9.4723306142857133</v>
      </c>
      <c r="K37" s="2">
        <f>Building_MI_original_baseline!K28</f>
        <v>4.5726482413626375</v>
      </c>
      <c r="L37" s="2">
        <f>Building_MI_original_baseline!L28</f>
        <v>3.3367973653186818</v>
      </c>
      <c r="M37" s="2">
        <f>Building_MI_original_baseline!M28</f>
        <v>2.7188719272967035</v>
      </c>
      <c r="N37" s="2">
        <f>Building_MI_original_baseline!N28</f>
        <v>0.98868070083516491</v>
      </c>
      <c r="O37" s="2">
        <f>Building_MI_original_baseline!O28</f>
        <v>0.74151052562637365</v>
      </c>
      <c r="P37" s="2">
        <f>Building_MI_original_baseline!P28</f>
        <v>338.93859252747251</v>
      </c>
      <c r="Q37" s="2">
        <f>Building_MI_original_baseline!Q28</f>
        <v>4.8449721571428466</v>
      </c>
      <c r="R37" s="2">
        <f>Building_MI_original_baseline!R28</f>
        <v>0.20751864175824175</v>
      </c>
      <c r="S37" s="2">
        <f>Building_MI_original_baseline!S28</f>
        <v>1.8114522395604398</v>
      </c>
      <c r="T37" s="2">
        <f>Building_MI_original_baseline!T28</f>
        <v>2.663679708791209</v>
      </c>
      <c r="U37" s="2">
        <f>Building_MI_original_baseline!U28</f>
        <v>0</v>
      </c>
      <c r="V37" s="2">
        <f>Building_MI_original_baseline!V28</f>
        <v>0</v>
      </c>
      <c r="W37" s="2">
        <f>Building_MI_original_baseline!W28</f>
        <v>0.49499219999999994</v>
      </c>
      <c r="X37" s="2">
        <f>Building_MI_original_baseline!X28</f>
        <v>0.43177825824175825</v>
      </c>
      <c r="Y37" s="2">
        <f>Building_MI_original_baseline!Y28</f>
        <v>48.054900825274721</v>
      </c>
      <c r="Z37" s="2">
        <f>Building_MI_original_baseline!Z28</f>
        <v>9.2764159340659333E-2</v>
      </c>
      <c r="AA37" s="2">
        <f>Building_MI_original_baseline!AA28</f>
        <v>13.502395043956044</v>
      </c>
      <c r="AB37" s="2">
        <f>Building_MI_original_baseline!AB28</f>
        <v>1739.4497086923054</v>
      </c>
      <c r="AG37" s="23"/>
    </row>
    <row r="38" spans="1:33" x14ac:dyDescent="0.2">
      <c r="B38" t="s">
        <v>163</v>
      </c>
      <c r="C38" s="2">
        <f>(8/13)*Building_MI_original_baseline!C28+(5/13)*Building_MI_original_baseline!C29</f>
        <v>1.4726023432797968</v>
      </c>
      <c r="D38" s="2">
        <f>(8/13)*Building_MI_original_baseline!D28+(5/13)*Building_MI_original_baseline!D29</f>
        <v>68.546069318681333</v>
      </c>
      <c r="E38" s="2">
        <f>(8/13)*Building_MI_original_baseline!E28+(5/13)*Building_MI_original_baseline!E29</f>
        <v>1208.6320879021955</v>
      </c>
      <c r="F38" s="2">
        <f>(8/13)*Building_MI_original_baseline!F28+(5/13)*Building_MI_original_baseline!F29</f>
        <v>0</v>
      </c>
      <c r="G38" s="2">
        <f>(8/13)*Building_MI_original_baseline!G28+(5/13)*Building_MI_original_baseline!G29</f>
        <v>3.663003626373626E-2</v>
      </c>
      <c r="H38" s="2">
        <f>(8/13)*Building_MI_original_baseline!H28+(5/13)*Building_MI_original_baseline!H29</f>
        <v>10.591070900000002</v>
      </c>
      <c r="I38" s="2">
        <f>(8/13)*Building_MI_original_baseline!I28+(5/13)*Building_MI_original_baseline!I29</f>
        <v>17.298340297802184</v>
      </c>
      <c r="J38" s="2">
        <f>(8/13)*Building_MI_original_baseline!J28+(5/13)*Building_MI_original_baseline!J29</f>
        <v>11.28161990507185</v>
      </c>
      <c r="K38" s="2">
        <f>(8/13)*Building_MI_original_baseline!K28+(5/13)*Building_MI_original_baseline!K29</f>
        <v>4.0257284683005077</v>
      </c>
      <c r="L38" s="2">
        <f>(8/13)*Building_MI_original_baseline!L28+(5/13)*Building_MI_original_baseline!L29</f>
        <v>2.9376937471382085</v>
      </c>
      <c r="M38" s="2">
        <f>(8/13)*Building_MI_original_baseline!M28+(5/13)*Building_MI_original_baseline!M29</f>
        <v>2.3936763865570585</v>
      </c>
      <c r="N38" s="2">
        <f>(8/13)*Building_MI_original_baseline!N28+(5/13)*Building_MI_original_baseline!N29</f>
        <v>0.87042777692983953</v>
      </c>
      <c r="O38" s="2">
        <f>(8/13)*Building_MI_original_baseline!O28+(5/13)*Building_MI_original_baseline!O29</f>
        <v>0.65282083269737967</v>
      </c>
      <c r="P38" s="2">
        <f>(8/13)*Building_MI_original_baseline!P28+(5/13)*Building_MI_original_baseline!P29</f>
        <v>338.93859252747257</v>
      </c>
      <c r="Q38" s="2">
        <f>(8/13)*Building_MI_original_baseline!Q28+(5/13)*Building_MI_original_baseline!Q29</f>
        <v>4.8449721571428466</v>
      </c>
      <c r="R38" s="2">
        <f>(8/13)*Building_MI_original_baseline!R28+(5/13)*Building_MI_original_baseline!R29</f>
        <v>0.20758904518174137</v>
      </c>
      <c r="S38" s="2">
        <f>(8/13)*Building_MI_original_baseline!S28+(5/13)*Building_MI_original_baseline!S29</f>
        <v>1.8119461144547762</v>
      </c>
      <c r="T38" s="2">
        <f>(8/13)*Building_MI_original_baseline!T28+(5/13)*Building_MI_original_baseline!T29</f>
        <v>2.6565620486052413</v>
      </c>
      <c r="U38" s="2">
        <f>(8/13)*Building_MI_original_baseline!U28+(5/13)*Building_MI_original_baseline!U29</f>
        <v>0</v>
      </c>
      <c r="V38" s="2">
        <f>(8/13)*Building_MI_original_baseline!V28+(5/13)*Building_MI_original_baseline!V29</f>
        <v>0</v>
      </c>
      <c r="W38" s="2">
        <f>(8/13)*Building_MI_original_baseline!W28+(5/13)*Building_MI_original_baseline!W29</f>
        <v>0.49499219999999999</v>
      </c>
      <c r="X38" s="2">
        <f>(8/13)*Building_MI_original_baseline!X28+(5/13)*Building_MI_original_baseline!X29</f>
        <v>0.43177825824175825</v>
      </c>
      <c r="Y38" s="2">
        <f>(8/13)*Building_MI_original_baseline!Y28+(5/13)*Building_MI_original_baseline!Y29</f>
        <v>48.052678483558751</v>
      </c>
      <c r="Z38" s="2">
        <f>(8/13)*Building_MI_original_baseline!Z28+(5/13)*Building_MI_original_baseline!Z29</f>
        <v>9.2764159340659333E-2</v>
      </c>
      <c r="AA38" s="2">
        <f>(8/13)*Building_MI_original_baseline!AA28+(5/13)*Building_MI_original_baseline!AA29</f>
        <v>13.502395043956046</v>
      </c>
      <c r="AB38" s="2">
        <f>(8/13)*Building_MI_original_baseline!AB28+(5/13)*Building_MI_original_baseline!AB29</f>
        <v>1739.7730379528718</v>
      </c>
      <c r="AG38" s="23"/>
    </row>
    <row r="39" spans="1:33" x14ac:dyDescent="0.2">
      <c r="B39" t="s">
        <v>156</v>
      </c>
      <c r="C39" s="2">
        <f>Building_MI_original_baseline!C29</f>
        <v>1.4741659307692303</v>
      </c>
      <c r="D39" s="2">
        <f>Building_MI_original_baseline!D29</f>
        <v>68.546069318681319</v>
      </c>
      <c r="E39" s="2">
        <f>Building_MI_original_baseline!E29</f>
        <v>1208.6320879021953</v>
      </c>
      <c r="F39" s="2">
        <f>Building_MI_original_baseline!F29</f>
        <v>0</v>
      </c>
      <c r="G39" s="2">
        <f>Building_MI_original_baseline!G29</f>
        <v>3.663003626373626E-2</v>
      </c>
      <c r="H39" s="2">
        <f>Building_MI_original_baseline!H29</f>
        <v>10.5910709</v>
      </c>
      <c r="I39" s="2">
        <f>Building_MI_original_baseline!I29</f>
        <v>17.298340297802184</v>
      </c>
      <c r="J39" s="2">
        <f>Building_MI_original_baseline!J29</f>
        <v>14.176482770329667</v>
      </c>
      <c r="K39" s="2">
        <f>Building_MI_original_baseline!K29</f>
        <v>3.1506568314010992</v>
      </c>
      <c r="L39" s="2">
        <f>Building_MI_original_baseline!L29</f>
        <v>2.2991279580494512</v>
      </c>
      <c r="M39" s="2">
        <f>Building_MI_original_baseline!M29</f>
        <v>1.8733635213736266</v>
      </c>
      <c r="N39" s="2">
        <f>Building_MI_original_baseline!N29</f>
        <v>0.68122309868131881</v>
      </c>
      <c r="O39" s="2">
        <f>Building_MI_original_baseline!O29</f>
        <v>0.5109173240109891</v>
      </c>
      <c r="P39" s="2">
        <f>Building_MI_original_baseline!P29</f>
        <v>338.93859252747251</v>
      </c>
      <c r="Q39" s="2">
        <f>Building_MI_original_baseline!Q29</f>
        <v>4.8449721571428466</v>
      </c>
      <c r="R39" s="2">
        <f>Building_MI_original_baseline!R29</f>
        <v>0.20770169065934066</v>
      </c>
      <c r="S39" s="2">
        <f>Building_MI_original_baseline!S29</f>
        <v>1.8127363142857145</v>
      </c>
      <c r="T39" s="2">
        <f>Building_MI_original_baseline!T29</f>
        <v>2.6451737923076921</v>
      </c>
      <c r="U39" s="2">
        <f>Building_MI_original_baseline!U29</f>
        <v>0</v>
      </c>
      <c r="V39" s="2">
        <f>Building_MI_original_baseline!V29</f>
        <v>0</v>
      </c>
      <c r="W39" s="2">
        <f>Building_MI_original_baseline!W29</f>
        <v>0.49499219999999994</v>
      </c>
      <c r="X39" s="2">
        <f>Building_MI_original_baseline!X29</f>
        <v>0.43177825824175825</v>
      </c>
      <c r="Y39" s="2">
        <f>Building_MI_original_baseline!Y29</f>
        <v>48.049122736813182</v>
      </c>
      <c r="Z39" s="2">
        <f>Building_MI_original_baseline!Z29</f>
        <v>9.2764159340659333E-2</v>
      </c>
      <c r="AA39" s="2">
        <f>Building_MI_original_baseline!AA29</f>
        <v>13.502395043956044</v>
      </c>
      <c r="AB39" s="2">
        <f>Building_MI_original_baseline!AB29</f>
        <v>1740.2903647697779</v>
      </c>
    </row>
    <row r="40" spans="1:33" x14ac:dyDescent="0.2">
      <c r="B40" t="s">
        <v>21</v>
      </c>
      <c r="C40" s="2">
        <f>Building_MI_original_baseline!C30</f>
        <v>1.4725274725274726</v>
      </c>
      <c r="D40" s="2">
        <f>Building_MI_original_baseline!D30</f>
        <v>68.549450549450555</v>
      </c>
      <c r="E40" s="2">
        <f>Building_MI_original_baseline!E30</f>
        <v>1178.131868131868</v>
      </c>
      <c r="F40" s="2">
        <f>Building_MI_original_baseline!F30</f>
        <v>0</v>
      </c>
      <c r="G40" s="2">
        <f>Building_MI_original_baseline!G30</f>
        <v>3.2967032967032968E-2</v>
      </c>
      <c r="H40" s="2">
        <f>Building_MI_original_baseline!H30</f>
        <v>10.791208791208792</v>
      </c>
      <c r="I40" s="2">
        <f>Building_MI_original_baseline!I30</f>
        <v>17.296703296703296</v>
      </c>
      <c r="J40" s="2">
        <f>Building_MI_original_baseline!J30</f>
        <v>16</v>
      </c>
      <c r="K40" s="2">
        <f>Building_MI_original_baseline!K30</f>
        <v>3.3991208791208787</v>
      </c>
      <c r="L40" s="2">
        <f>Building_MI_original_baseline!L30</f>
        <v>2.4804395604395606</v>
      </c>
      <c r="M40" s="2">
        <f>Building_MI_original_baseline!M30</f>
        <v>2.0210989010989011</v>
      </c>
      <c r="N40" s="2">
        <f>Building_MI_original_baseline!N30</f>
        <v>0.73494505494505491</v>
      </c>
      <c r="O40" s="2">
        <f>Building_MI_original_baseline!O30</f>
        <v>0.55120879120879118</v>
      </c>
      <c r="P40" s="2">
        <f>Building_MI_original_baseline!P30</f>
        <v>338.93406593406593</v>
      </c>
      <c r="Q40" s="2">
        <f>Building_MI_original_baseline!Q30</f>
        <v>5.2527472527472527</v>
      </c>
      <c r="R40" s="2">
        <f>Building_MI_original_baseline!R30</f>
        <v>0.2087912087912088</v>
      </c>
      <c r="S40" s="2">
        <f>Building_MI_original_baseline!S30</f>
        <v>1.813186813186813</v>
      </c>
      <c r="T40" s="2">
        <f>Building_MI_original_baseline!T30</f>
        <v>2.6483516483516483</v>
      </c>
      <c r="U40" s="2">
        <f>Building_MI_original_baseline!U30</f>
        <v>30.505494505494507</v>
      </c>
      <c r="V40" s="2">
        <f>Building_MI_original_baseline!V30</f>
        <v>1.2307692307692308</v>
      </c>
      <c r="W40" s="2">
        <f>Building_MI_original_baseline!W30</f>
        <v>0.49450549450549453</v>
      </c>
      <c r="X40" s="2">
        <f>Building_MI_original_baseline!X30</f>
        <v>0.42857142857142855</v>
      </c>
      <c r="Y40" s="2">
        <f>Building_MI_original_baseline!Y30</f>
        <v>48.065934065934066</v>
      </c>
      <c r="Z40" s="2">
        <f>Building_MI_original_baseline!Z30</f>
        <v>8.7912087912087905E-2</v>
      </c>
      <c r="AA40" s="2">
        <f>Building_MI_original_baseline!AA30</f>
        <v>13.505494505494504</v>
      </c>
      <c r="AB40" s="2">
        <f>Building_MI_original_baseline!AB30</f>
        <v>1744.6373626373622</v>
      </c>
    </row>
    <row r="41" spans="1:33" x14ac:dyDescent="0.2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33" x14ac:dyDescent="0.2">
      <c r="M42" s="2"/>
    </row>
    <row r="45" spans="1:33" x14ac:dyDescent="0.2">
      <c r="A45" s="1" t="s">
        <v>45</v>
      </c>
      <c r="D45" s="1" t="s">
        <v>57</v>
      </c>
    </row>
    <row r="46" spans="1:33" x14ac:dyDescent="0.2">
      <c r="A46" t="s">
        <v>46</v>
      </c>
      <c r="B46" t="s">
        <v>1</v>
      </c>
    </row>
    <row r="47" spans="1:33" x14ac:dyDescent="0.2">
      <c r="A47" t="s">
        <v>51</v>
      </c>
      <c r="B47" t="s">
        <v>47</v>
      </c>
      <c r="C47" t="s">
        <v>54</v>
      </c>
      <c r="D47" t="s">
        <v>56</v>
      </c>
    </row>
    <row r="48" spans="1:33" x14ac:dyDescent="0.2">
      <c r="A48" t="s">
        <v>52</v>
      </c>
      <c r="B48" t="s">
        <v>48</v>
      </c>
      <c r="C48" t="s">
        <v>53</v>
      </c>
      <c r="D48" t="s">
        <v>55</v>
      </c>
    </row>
    <row r="51" spans="3:24" x14ac:dyDescent="0.2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</sheetData>
  <mergeCells count="1">
    <mergeCell ref="AG36:AG38"/>
  </mergeCells>
  <phoneticPr fontId="2" type="noConversion"/>
  <conditionalFormatting sqref="C6:C4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1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:D4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1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:E4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1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1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:O4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1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1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1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1"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1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1"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1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P4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1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Q4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1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1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X4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1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1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1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1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1"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Y4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1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1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AA4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1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:AG32 AG6:AG7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37302-5D44-7749-821B-96E2BFAD92D3}">
  <dimension ref="A1:AN51"/>
  <sheetViews>
    <sheetView zoomScale="58" zoomScaleNormal="44" workbookViewId="0">
      <selection activeCell="V34" sqref="V34"/>
    </sheetView>
  </sheetViews>
  <sheetFormatPr baseColWidth="10" defaultRowHeight="16" x14ac:dyDescent="0.2"/>
  <sheetData>
    <row r="1" spans="1:33" x14ac:dyDescent="0.2">
      <c r="C1" t="s">
        <v>22</v>
      </c>
      <c r="D1" t="s">
        <v>22</v>
      </c>
      <c r="E1" t="s">
        <v>22</v>
      </c>
      <c r="F1" t="s">
        <v>22</v>
      </c>
      <c r="G1" t="s">
        <v>22</v>
      </c>
      <c r="H1" t="s">
        <v>22</v>
      </c>
      <c r="I1" t="s">
        <v>22</v>
      </c>
      <c r="J1" t="s">
        <v>22</v>
      </c>
      <c r="K1" t="s">
        <v>22</v>
      </c>
      <c r="L1" t="s">
        <v>22</v>
      </c>
      <c r="M1" t="s">
        <v>22</v>
      </c>
      <c r="N1" t="s">
        <v>22</v>
      </c>
      <c r="O1" t="s">
        <v>22</v>
      </c>
      <c r="P1" t="s">
        <v>22</v>
      </c>
      <c r="Q1" t="s">
        <v>22</v>
      </c>
      <c r="R1" t="s">
        <v>22</v>
      </c>
      <c r="S1" t="s">
        <v>22</v>
      </c>
      <c r="T1" t="s">
        <v>22</v>
      </c>
      <c r="U1" t="s">
        <v>22</v>
      </c>
      <c r="V1" t="s">
        <v>22</v>
      </c>
      <c r="W1" t="s">
        <v>22</v>
      </c>
      <c r="X1" t="s">
        <v>22</v>
      </c>
      <c r="Y1" t="s">
        <v>22</v>
      </c>
      <c r="Z1" t="s">
        <v>22</v>
      </c>
      <c r="AA1" t="s">
        <v>22</v>
      </c>
      <c r="AG1" t="s">
        <v>22</v>
      </c>
    </row>
    <row r="2" spans="1:33" x14ac:dyDescent="0.2">
      <c r="A2" t="s">
        <v>133</v>
      </c>
      <c r="B2" t="s">
        <v>86</v>
      </c>
      <c r="C2" t="s">
        <v>91</v>
      </c>
      <c r="D2" t="s">
        <v>96</v>
      </c>
      <c r="E2" t="s">
        <v>96</v>
      </c>
      <c r="F2" t="s">
        <v>96</v>
      </c>
      <c r="G2" t="s">
        <v>95</v>
      </c>
      <c r="H2" t="s">
        <v>96</v>
      </c>
      <c r="I2" t="s">
        <v>88</v>
      </c>
      <c r="J2" t="s">
        <v>92</v>
      </c>
      <c r="K2" t="s">
        <v>96</v>
      </c>
      <c r="L2" t="s">
        <v>96</v>
      </c>
      <c r="M2" t="s">
        <v>96</v>
      </c>
      <c r="N2" t="s">
        <v>96</v>
      </c>
      <c r="O2" t="s">
        <v>96</v>
      </c>
      <c r="P2" t="s">
        <v>96</v>
      </c>
      <c r="Q2" t="s">
        <v>96</v>
      </c>
      <c r="R2" t="s">
        <v>90</v>
      </c>
      <c r="S2" t="s">
        <v>89</v>
      </c>
      <c r="T2" t="s">
        <v>96</v>
      </c>
      <c r="U2" t="s">
        <v>96</v>
      </c>
      <c r="V2" t="s">
        <v>92</v>
      </c>
      <c r="W2" t="s">
        <v>93</v>
      </c>
      <c r="X2" t="s">
        <v>94</v>
      </c>
      <c r="Y2" t="s">
        <v>87</v>
      </c>
      <c r="Z2" t="s">
        <v>96</v>
      </c>
      <c r="AA2" t="s">
        <v>96</v>
      </c>
    </row>
    <row r="3" spans="1:33" x14ac:dyDescent="0.2">
      <c r="B3" t="s">
        <v>73</v>
      </c>
      <c r="F3" t="s">
        <v>75</v>
      </c>
      <c r="Q3" t="s">
        <v>77</v>
      </c>
      <c r="S3" t="s">
        <v>63</v>
      </c>
      <c r="W3" t="s">
        <v>72</v>
      </c>
      <c r="Y3" t="s">
        <v>71</v>
      </c>
    </row>
    <row r="4" spans="1:33" x14ac:dyDescent="0.2">
      <c r="A4" t="s">
        <v>132</v>
      </c>
      <c r="B4" t="s">
        <v>59</v>
      </c>
      <c r="C4" t="s">
        <v>67</v>
      </c>
      <c r="D4" t="s">
        <v>66</v>
      </c>
      <c r="E4" t="s">
        <v>74</v>
      </c>
      <c r="F4" t="s">
        <v>135</v>
      </c>
      <c r="G4" t="s">
        <v>76</v>
      </c>
      <c r="H4" t="s">
        <v>66</v>
      </c>
      <c r="I4" t="s">
        <v>65</v>
      </c>
      <c r="J4" t="s">
        <v>60</v>
      </c>
      <c r="K4" t="s">
        <v>65</v>
      </c>
      <c r="L4" t="s">
        <v>64</v>
      </c>
      <c r="M4" t="s">
        <v>123</v>
      </c>
      <c r="N4" t="s">
        <v>64</v>
      </c>
      <c r="O4" t="s">
        <v>64</v>
      </c>
      <c r="P4" t="s">
        <v>66</v>
      </c>
      <c r="Q4" t="s">
        <v>66</v>
      </c>
      <c r="R4" t="s">
        <v>69</v>
      </c>
      <c r="S4" t="s">
        <v>64</v>
      </c>
      <c r="T4" t="s">
        <v>85</v>
      </c>
      <c r="U4" t="s">
        <v>66</v>
      </c>
      <c r="V4" t="s">
        <v>60</v>
      </c>
      <c r="W4" t="s">
        <v>68</v>
      </c>
      <c r="X4" t="s">
        <v>83</v>
      </c>
      <c r="Y4" t="s">
        <v>70</v>
      </c>
      <c r="Z4" t="s">
        <v>62</v>
      </c>
      <c r="AA4" t="s">
        <v>61</v>
      </c>
    </row>
    <row r="5" spans="1:33" x14ac:dyDescent="0.2">
      <c r="A5" t="s">
        <v>0</v>
      </c>
      <c r="B5" t="s">
        <v>14</v>
      </c>
      <c r="C5" t="s">
        <v>23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110</v>
      </c>
      <c r="L5" t="s">
        <v>111</v>
      </c>
      <c r="M5" t="s">
        <v>112</v>
      </c>
      <c r="N5" t="s">
        <v>113</v>
      </c>
      <c r="O5" t="s">
        <v>114</v>
      </c>
      <c r="P5" t="s">
        <v>32</v>
      </c>
      <c r="Q5" t="s">
        <v>33</v>
      </c>
      <c r="R5" t="s">
        <v>34</v>
      </c>
      <c r="S5" t="s">
        <v>35</v>
      </c>
      <c r="T5" t="s">
        <v>36</v>
      </c>
      <c r="U5" t="s">
        <v>49</v>
      </c>
      <c r="V5" t="s">
        <v>50</v>
      </c>
      <c r="W5" t="s">
        <v>37</v>
      </c>
      <c r="X5" t="s">
        <v>38</v>
      </c>
      <c r="Y5" t="s">
        <v>39</v>
      </c>
      <c r="Z5" t="s">
        <v>40</v>
      </c>
      <c r="AA5" t="s">
        <v>41</v>
      </c>
      <c r="AB5" t="s">
        <v>42</v>
      </c>
      <c r="AG5" t="s">
        <v>31</v>
      </c>
    </row>
    <row r="6" spans="1:33" x14ac:dyDescent="0.2">
      <c r="A6" t="s">
        <v>9</v>
      </c>
      <c r="B6" t="s">
        <v>159</v>
      </c>
      <c r="C6" s="2">
        <v>0.1123081338028169</v>
      </c>
      <c r="D6" s="2">
        <v>290.13365908450703</v>
      </c>
      <c r="E6" s="2">
        <v>1376.7648660647862</v>
      </c>
      <c r="F6" s="2">
        <v>0</v>
      </c>
      <c r="G6" s="2">
        <v>1.4084507042253521E-2</v>
      </c>
      <c r="H6" s="2">
        <v>9.3222154816901419</v>
      </c>
      <c r="I6" s="2">
        <v>0</v>
      </c>
      <c r="J6" s="2">
        <v>181.00586869013947</v>
      </c>
      <c r="K6" s="2">
        <f t="shared" ref="K6:K30" si="0">$AG6*AI$35</f>
        <v>5.0229685120985916</v>
      </c>
      <c r="L6" s="2">
        <f t="shared" ref="L6:L30" si="1">$AG6*AJ$35</f>
        <v>3.6654094547746485</v>
      </c>
      <c r="M6" s="2">
        <f t="shared" ref="M6:M30" si="2">$AG6*AK$35</f>
        <v>2.9866299261126765</v>
      </c>
      <c r="N6" s="2">
        <f t="shared" ref="N6:N30" si="3">$AG6*AL$35</f>
        <v>1.086047245859155</v>
      </c>
      <c r="O6" s="2">
        <f t="shared" ref="O6:O30" si="4">$AG6*AM$35</f>
        <v>0.81453543439436626</v>
      </c>
      <c r="P6" s="2">
        <v>307.73567974647892</v>
      </c>
      <c r="Q6" s="2">
        <v>33.736131078873242</v>
      </c>
      <c r="R6" s="2">
        <v>0.91964413521126764</v>
      </c>
      <c r="S6" s="2">
        <v>1.3289144064788729</v>
      </c>
      <c r="T6" s="2">
        <v>1.5227198140845066</v>
      </c>
      <c r="U6" s="2"/>
      <c r="V6" s="2"/>
      <c r="W6" s="2">
        <v>3.9420607408450712</v>
      </c>
      <c r="X6" s="2">
        <v>0</v>
      </c>
      <c r="Y6" s="2">
        <v>69.751482257746474</v>
      </c>
      <c r="Z6" s="2">
        <v>22.052394916901395</v>
      </c>
      <c r="AA6" s="2">
        <v>25.486250845070423</v>
      </c>
      <c r="AB6" s="2">
        <f>SUM(C6:AA6)</f>
        <v>2337.4038704768982</v>
      </c>
      <c r="AG6" s="2">
        <v>13.575590573239438</v>
      </c>
    </row>
    <row r="7" spans="1:33" x14ac:dyDescent="0.2">
      <c r="B7" t="s">
        <v>17</v>
      </c>
      <c r="C7" s="2">
        <v>0.20712039295774648</v>
      </c>
      <c r="D7" s="2">
        <v>290.13365908450703</v>
      </c>
      <c r="E7" s="2">
        <v>1375.8505954591524</v>
      </c>
      <c r="F7" s="2">
        <v>0</v>
      </c>
      <c r="G7" s="2">
        <v>1.4084507042253521E-2</v>
      </c>
      <c r="H7" s="2">
        <v>31.41036341126761</v>
      </c>
      <c r="I7" s="2">
        <v>3.2294997704225352</v>
      </c>
      <c r="J7" s="2">
        <v>98.419572477464826</v>
      </c>
      <c r="K7" s="2">
        <f t="shared" si="0"/>
        <v>5.1925099939154933</v>
      </c>
      <c r="L7" s="2">
        <f t="shared" si="1"/>
        <v>3.7891289144788738</v>
      </c>
      <c r="M7" s="2">
        <f t="shared" si="2"/>
        <v>3.0874383747605636</v>
      </c>
      <c r="N7" s="2">
        <f t="shared" si="3"/>
        <v>1.122704863549296</v>
      </c>
      <c r="O7" s="2">
        <f t="shared" si="4"/>
        <v>0.84202864766197183</v>
      </c>
      <c r="P7" s="2">
        <v>307.73567974647892</v>
      </c>
      <c r="Q7" s="2">
        <v>33.736131078873242</v>
      </c>
      <c r="R7" s="2">
        <v>0.91964413521126764</v>
      </c>
      <c r="S7" s="2">
        <v>1.575594152957746</v>
      </c>
      <c r="T7" s="2">
        <v>1.5071151830985914</v>
      </c>
      <c r="U7" s="2"/>
      <c r="V7" s="2"/>
      <c r="W7" s="2">
        <v>3.945169339436621</v>
      </c>
      <c r="X7" s="2">
        <v>0.2419382957746479</v>
      </c>
      <c r="Y7" s="2">
        <v>56.706148863380278</v>
      </c>
      <c r="Z7" s="2">
        <v>22.052394916901395</v>
      </c>
      <c r="AA7" s="2">
        <v>25.486250845070423</v>
      </c>
      <c r="AB7" s="2">
        <f>SUM(C7:AA7)</f>
        <v>2267.204772454364</v>
      </c>
      <c r="AG7" s="2">
        <v>14.033810794366198</v>
      </c>
    </row>
    <row r="8" spans="1:33" x14ac:dyDescent="0.2">
      <c r="B8" t="s">
        <v>18</v>
      </c>
      <c r="C8" s="2">
        <v>0.19397868591549297</v>
      </c>
      <c r="D8" s="2">
        <v>116.05346363380282</v>
      </c>
      <c r="E8" s="2">
        <v>1310.8140770859129</v>
      </c>
      <c r="F8" s="2">
        <v>0.23186739436619719</v>
      </c>
      <c r="G8" s="2">
        <v>1.4084507042253521E-2</v>
      </c>
      <c r="H8" s="2">
        <v>31.41036341126761</v>
      </c>
      <c r="I8" s="2">
        <v>6.4589995394366193</v>
      </c>
      <c r="J8" s="2">
        <v>25.123550152112678</v>
      </c>
      <c r="K8" s="2">
        <f t="shared" si="0"/>
        <v>5.4177442978450649</v>
      </c>
      <c r="L8" s="2">
        <f t="shared" si="1"/>
        <v>3.9534890822112638</v>
      </c>
      <c r="M8" s="2">
        <f t="shared" si="2"/>
        <v>3.2213614743943628</v>
      </c>
      <c r="N8" s="2">
        <f t="shared" si="3"/>
        <v>1.171404172507041</v>
      </c>
      <c r="O8" s="2">
        <f t="shared" si="4"/>
        <v>0.87855312938028074</v>
      </c>
      <c r="P8" s="2">
        <v>655.38373088732124</v>
      </c>
      <c r="Q8" s="2">
        <v>2.3478010929577464</v>
      </c>
      <c r="R8" s="2">
        <v>0.91964413521126764</v>
      </c>
      <c r="S8" s="2">
        <v>1.7965501529577459</v>
      </c>
      <c r="T8" s="2">
        <v>1.4728023140845068</v>
      </c>
      <c r="U8" s="2"/>
      <c r="V8" s="2"/>
      <c r="W8" s="2">
        <v>3.945169339436621</v>
      </c>
      <c r="X8" s="2">
        <v>0.2419382957746479</v>
      </c>
      <c r="Y8" s="2">
        <v>44.199920694366185</v>
      </c>
      <c r="Z8" s="2">
        <v>23.182847473239423</v>
      </c>
      <c r="AA8" s="2">
        <v>25.486250845070423</v>
      </c>
      <c r="AB8" s="2">
        <f>SUM(C8:AA8)</f>
        <v>2263.9195917966149</v>
      </c>
      <c r="AG8" s="2">
        <v>14.642552156338013</v>
      </c>
    </row>
    <row r="9" spans="1:33" x14ac:dyDescent="0.2">
      <c r="B9" t="s">
        <v>58</v>
      </c>
      <c r="C9" s="2">
        <v>0.19397868591549297</v>
      </c>
      <c r="D9" s="2">
        <v>116.05346363380282</v>
      </c>
      <c r="E9" s="2">
        <v>1310.8140770859129</v>
      </c>
      <c r="F9" s="2">
        <v>0.23186739436619719</v>
      </c>
      <c r="G9" s="2">
        <v>1.4084507042253521E-2</v>
      </c>
      <c r="H9" s="2">
        <v>31.41036341126761</v>
      </c>
      <c r="I9" s="2">
        <v>6.4589995394366193</v>
      </c>
      <c r="J9" s="2">
        <v>35.690020400000002</v>
      </c>
      <c r="K9" s="2">
        <f t="shared" si="0"/>
        <v>6.1029225990422589</v>
      </c>
      <c r="L9" s="2">
        <f t="shared" si="1"/>
        <v>4.4534840587605675</v>
      </c>
      <c r="M9" s="2">
        <f t="shared" si="2"/>
        <v>3.6287647886197218</v>
      </c>
      <c r="N9" s="2">
        <f t="shared" si="3"/>
        <v>1.3195508322253533</v>
      </c>
      <c r="O9" s="2">
        <f t="shared" si="4"/>
        <v>0.98966312416901503</v>
      </c>
      <c r="P9" s="2">
        <v>655.38373088732124</v>
      </c>
      <c r="Q9" s="2">
        <v>2.3478010929577464</v>
      </c>
      <c r="R9" s="2">
        <v>0.91964413521126764</v>
      </c>
      <c r="S9" s="2">
        <v>1.7965501529577459</v>
      </c>
      <c r="T9" s="2">
        <v>1.5506930957746479</v>
      </c>
      <c r="U9" s="2"/>
      <c r="V9" s="2"/>
      <c r="W9" s="2">
        <v>3.945169339436621</v>
      </c>
      <c r="X9" s="2">
        <v>0.2419382957746479</v>
      </c>
      <c r="Y9" s="2">
        <v>44.186520899999984</v>
      </c>
      <c r="Z9" s="2">
        <v>23.182847473239423</v>
      </c>
      <c r="AA9" s="2">
        <v>25.486250845070423</v>
      </c>
      <c r="AB9" s="2">
        <v>2276.4023862783047</v>
      </c>
      <c r="AG9" s="2">
        <v>16.494385402816917</v>
      </c>
    </row>
    <row r="10" spans="1:33" x14ac:dyDescent="0.2">
      <c r="B10" t="s">
        <v>21</v>
      </c>
      <c r="C10" s="2">
        <v>1.8059701492537312</v>
      </c>
      <c r="D10" s="2">
        <v>218.41791044776119</v>
      </c>
      <c r="E10" s="2">
        <v>1190.3880597014925</v>
      </c>
      <c r="F10" s="2">
        <v>0.10447761194029852</v>
      </c>
      <c r="G10" s="2">
        <v>0.62686567164179097</v>
      </c>
      <c r="H10" s="2">
        <v>15.820895522388058</v>
      </c>
      <c r="I10" s="2">
        <v>11.134328358208954</v>
      </c>
      <c r="J10" s="2">
        <v>34.328358208955223</v>
      </c>
      <c r="K10" s="2">
        <f t="shared" si="0"/>
        <v>12.61865671641791</v>
      </c>
      <c r="L10" s="2">
        <f t="shared" si="1"/>
        <v>9.2082089552238813</v>
      </c>
      <c r="M10" s="2">
        <f t="shared" si="2"/>
        <v>7.5029850746268654</v>
      </c>
      <c r="N10" s="2">
        <f t="shared" si="3"/>
        <v>2.7283582089552239</v>
      </c>
      <c r="O10" s="2">
        <f t="shared" si="4"/>
        <v>2.0462686567164177</v>
      </c>
      <c r="P10" s="2">
        <v>0</v>
      </c>
      <c r="Q10" s="2">
        <v>5.3582089552238799</v>
      </c>
      <c r="R10" s="2">
        <v>0.47761194029850745</v>
      </c>
      <c r="S10" s="2">
        <v>2.4029850746268657</v>
      </c>
      <c r="T10" s="2">
        <v>0.9253731343283581</v>
      </c>
      <c r="U10" s="2">
        <v>82.910447761194021</v>
      </c>
      <c r="V10" s="2">
        <v>0</v>
      </c>
      <c r="W10" s="2">
        <v>0.11940298507462686</v>
      </c>
      <c r="X10" s="2">
        <v>1.3731343283582089</v>
      </c>
      <c r="Y10" s="2">
        <v>25.686567164179102</v>
      </c>
      <c r="Z10" s="2">
        <v>4.4776119402985072E-2</v>
      </c>
      <c r="AA10" s="2">
        <v>99.507462686567166</v>
      </c>
      <c r="AB10" s="2">
        <f>SUM(C10:AA10)</f>
        <v>1725.5373134328356</v>
      </c>
      <c r="AG10" s="2">
        <v>34.104477611940297</v>
      </c>
    </row>
    <row r="11" spans="1:33" x14ac:dyDescent="0.2">
      <c r="A11" t="s">
        <v>43</v>
      </c>
      <c r="B11" t="s">
        <v>159</v>
      </c>
      <c r="C11" s="2">
        <v>0.18886813098591554</v>
      </c>
      <c r="D11" s="2">
        <v>322.16941545070426</v>
      </c>
      <c r="E11" s="2">
        <v>1388.6241446239421</v>
      </c>
      <c r="F11" s="2">
        <v>0</v>
      </c>
      <c r="G11" s="2">
        <v>7.0422535211267607E-3</v>
      </c>
      <c r="H11" s="2">
        <v>10.021588338028154</v>
      </c>
      <c r="I11" s="2">
        <v>0.18055071267605635</v>
      </c>
      <c r="J11" s="2">
        <v>88.17859265915493</v>
      </c>
      <c r="K11" s="2">
        <f t="shared" si="0"/>
        <v>5.3200696925492945</v>
      </c>
      <c r="L11" s="2">
        <f t="shared" si="1"/>
        <v>3.8822130188873234</v>
      </c>
      <c r="M11" s="2">
        <f t="shared" si="2"/>
        <v>3.1632846820563376</v>
      </c>
      <c r="N11" s="2">
        <f t="shared" si="3"/>
        <v>1.1502853389295773</v>
      </c>
      <c r="O11" s="2">
        <f t="shared" si="4"/>
        <v>0.86271400419718292</v>
      </c>
      <c r="P11" s="2">
        <v>327.72170992957751</v>
      </c>
      <c r="Q11" s="2">
        <v>3.3205046464788595</v>
      </c>
      <c r="R11" s="2">
        <v>0.84813828732394358</v>
      </c>
      <c r="S11" s="2">
        <v>1.2349096312676042</v>
      </c>
      <c r="T11" s="2">
        <v>1.6288591619718307</v>
      </c>
      <c r="U11" s="2"/>
      <c r="V11" s="2"/>
      <c r="W11" s="2">
        <v>1.3351705873239421</v>
      </c>
      <c r="X11" s="2">
        <v>0</v>
      </c>
      <c r="Y11" s="2">
        <v>59.321162621126753</v>
      </c>
      <c r="Z11" s="2">
        <v>0.47078741830985782</v>
      </c>
      <c r="AA11" s="2">
        <v>20.141574830985917</v>
      </c>
      <c r="AB11" s="2">
        <f>SUM(C11:AA11)</f>
        <v>2239.7715860199983</v>
      </c>
      <c r="AG11" s="2">
        <v>14.378566736619716</v>
      </c>
    </row>
    <row r="12" spans="1:33" x14ac:dyDescent="0.2">
      <c r="B12" t="s">
        <v>17</v>
      </c>
      <c r="C12" s="2">
        <v>0.2876202295774648</v>
      </c>
      <c r="D12" s="2">
        <v>322.16941545070426</v>
      </c>
      <c r="E12" s="2">
        <v>1508.265099229576</v>
      </c>
      <c r="F12" s="2">
        <v>0</v>
      </c>
      <c r="G12" s="2">
        <v>7.0422535211267607E-3</v>
      </c>
      <c r="H12" s="2">
        <v>46.677546563380261</v>
      </c>
      <c r="I12" s="2">
        <v>2.4917772253521133</v>
      </c>
      <c r="J12" s="2">
        <v>52.5479935169014</v>
      </c>
      <c r="K12" s="2">
        <f t="shared" si="0"/>
        <v>5.5080911474647882</v>
      </c>
      <c r="L12" s="2">
        <f t="shared" si="1"/>
        <v>4.0194178643661971</v>
      </c>
      <c r="M12" s="2">
        <f t="shared" si="2"/>
        <v>3.2750812228169011</v>
      </c>
      <c r="N12" s="2">
        <f t="shared" si="3"/>
        <v>1.1909386264788731</v>
      </c>
      <c r="O12" s="2">
        <f t="shared" si="4"/>
        <v>0.89320396985915473</v>
      </c>
      <c r="P12" s="2">
        <v>327.72170992957751</v>
      </c>
      <c r="Q12" s="2">
        <v>3.3205046464788595</v>
      </c>
      <c r="R12" s="2">
        <v>0.84813828732394358</v>
      </c>
      <c r="S12" s="2">
        <v>1.5494636326760549</v>
      </c>
      <c r="T12" s="2">
        <v>1.7200033676056337</v>
      </c>
      <c r="U12" s="2"/>
      <c r="V12" s="2"/>
      <c r="W12" s="2">
        <v>1.3770228845070407</v>
      </c>
      <c r="X12" s="2">
        <v>0.36854849295774644</v>
      </c>
      <c r="Y12" s="2">
        <v>61.458932929577458</v>
      </c>
      <c r="Z12" s="2">
        <v>0.47078741830985782</v>
      </c>
      <c r="AA12" s="2">
        <v>20.141574830985917</v>
      </c>
      <c r="AB12" s="2">
        <f>SUM(C12:AA12)</f>
        <v>2366.3099137199983</v>
      </c>
      <c r="AG12" s="2">
        <v>14.886732830985913</v>
      </c>
    </row>
    <row r="13" spans="1:33" x14ac:dyDescent="0.2">
      <c r="B13" t="s">
        <v>18</v>
      </c>
      <c r="C13" s="2">
        <v>0.25258702535211269</v>
      </c>
      <c r="D13" s="2">
        <v>128.86776618309858</v>
      </c>
      <c r="E13" s="2">
        <v>1589.920186801407</v>
      </c>
      <c r="F13" s="2">
        <v>0</v>
      </c>
      <c r="G13" s="2">
        <v>7.0422535211267607E-3</v>
      </c>
      <c r="H13" s="2">
        <v>46.677546563380261</v>
      </c>
      <c r="I13" s="2">
        <v>4.8030037380281687</v>
      </c>
      <c r="J13" s="2">
        <v>28.588292078873238</v>
      </c>
      <c r="K13" s="2">
        <f t="shared" si="0"/>
        <v>5.6976003786338021</v>
      </c>
      <c r="L13" s="2">
        <f t="shared" si="1"/>
        <v>4.1577083844084504</v>
      </c>
      <c r="M13" s="2">
        <f t="shared" si="2"/>
        <v>3.3877623872957741</v>
      </c>
      <c r="N13" s="2">
        <f t="shared" si="3"/>
        <v>1.2319135953802816</v>
      </c>
      <c r="O13" s="2">
        <f t="shared" si="4"/>
        <v>0.92393519653521106</v>
      </c>
      <c r="P13" s="2">
        <v>728.52222140845072</v>
      </c>
      <c r="Q13" s="2">
        <v>3.3205046464788595</v>
      </c>
      <c r="R13" s="2">
        <v>0.84813828732394358</v>
      </c>
      <c r="S13" s="2">
        <v>1.8044713045070404</v>
      </c>
      <c r="T13" s="2">
        <v>1.7337557619718309</v>
      </c>
      <c r="U13" s="2"/>
      <c r="V13" s="2"/>
      <c r="W13" s="2">
        <v>1.3770228845070407</v>
      </c>
      <c r="X13" s="2">
        <v>0.36854849295774644</v>
      </c>
      <c r="Y13" s="2">
        <v>63.325573736619717</v>
      </c>
      <c r="Z13" s="2">
        <v>1.3004658338028157</v>
      </c>
      <c r="AA13" s="2">
        <v>20.141574830985917</v>
      </c>
      <c r="AB13" s="2">
        <f>SUM(C13:AA13)</f>
        <v>2637.2576217735191</v>
      </c>
      <c r="AG13" s="2">
        <v>15.398919942253519</v>
      </c>
    </row>
    <row r="14" spans="1:33" x14ac:dyDescent="0.2">
      <c r="B14" t="s">
        <v>58</v>
      </c>
      <c r="C14" s="2">
        <v>0.25258702535211269</v>
      </c>
      <c r="D14" s="2">
        <v>128.86776618309858</v>
      </c>
      <c r="E14" s="2">
        <v>1589.920186801407</v>
      </c>
      <c r="F14" s="2">
        <v>0</v>
      </c>
      <c r="G14" s="2">
        <v>7.0422535211267607E-3</v>
      </c>
      <c r="H14" s="2">
        <v>46.677546563380261</v>
      </c>
      <c r="I14" s="2">
        <v>4.8030037380281687</v>
      </c>
      <c r="J14" s="2">
        <v>42.414406792957749</v>
      </c>
      <c r="K14" s="2">
        <f t="shared" si="0"/>
        <v>6.2937005396267569</v>
      </c>
      <c r="L14" s="2">
        <f t="shared" si="1"/>
        <v>4.5927003937816879</v>
      </c>
      <c r="M14" s="2">
        <f t="shared" si="2"/>
        <v>3.742200320859153</v>
      </c>
      <c r="N14" s="2">
        <f t="shared" si="3"/>
        <v>1.3608001166760557</v>
      </c>
      <c r="O14" s="2">
        <f t="shared" si="4"/>
        <v>1.0206000875070416</v>
      </c>
      <c r="P14" s="2">
        <v>728.52222140845072</v>
      </c>
      <c r="Q14" s="2">
        <v>3.3205046464788595</v>
      </c>
      <c r="R14" s="2">
        <v>0.84813828732394358</v>
      </c>
      <c r="S14" s="2">
        <v>1.8044713045070404</v>
      </c>
      <c r="T14" s="2">
        <v>1.8392071225352109</v>
      </c>
      <c r="U14" s="2"/>
      <c r="V14" s="2"/>
      <c r="W14" s="2">
        <v>1.3770228845070407</v>
      </c>
      <c r="X14" s="2">
        <v>0.36854849295774644</v>
      </c>
      <c r="Y14" s="2">
        <v>63.308935043661968</v>
      </c>
      <c r="Z14" s="2">
        <v>1.3004658338028157</v>
      </c>
      <c r="AA14" s="2">
        <v>20.141574830985917</v>
      </c>
      <c r="AB14" s="2">
        <v>2652.7836306714071</v>
      </c>
      <c r="AG14" s="2">
        <v>17.010001458450695</v>
      </c>
    </row>
    <row r="15" spans="1:33" x14ac:dyDescent="0.2">
      <c r="B15" t="s">
        <v>21</v>
      </c>
      <c r="C15" s="2">
        <v>1.8059701492537312</v>
      </c>
      <c r="D15" s="2">
        <v>218.41791044776119</v>
      </c>
      <c r="E15" s="2">
        <v>1190.3880597014925</v>
      </c>
      <c r="F15" s="2">
        <v>0.10447761194029852</v>
      </c>
      <c r="G15" s="2">
        <v>0.62686567164179097</v>
      </c>
      <c r="H15" s="2">
        <v>15.820895522388058</v>
      </c>
      <c r="I15" s="2">
        <v>11.134328358208954</v>
      </c>
      <c r="J15" s="2">
        <v>34.328358208955223</v>
      </c>
      <c r="K15" s="2">
        <f t="shared" si="0"/>
        <v>12.61865671641791</v>
      </c>
      <c r="L15" s="2">
        <f t="shared" si="1"/>
        <v>9.2082089552238813</v>
      </c>
      <c r="M15" s="2">
        <f t="shared" si="2"/>
        <v>7.5029850746268654</v>
      </c>
      <c r="N15" s="2">
        <f t="shared" si="3"/>
        <v>2.7283582089552239</v>
      </c>
      <c r="O15" s="2">
        <f t="shared" si="4"/>
        <v>2.0462686567164177</v>
      </c>
      <c r="P15" s="2">
        <v>0</v>
      </c>
      <c r="Q15" s="2">
        <v>5.3582089552238799</v>
      </c>
      <c r="R15" s="2">
        <v>0.47761194029850745</v>
      </c>
      <c r="S15" s="2">
        <v>2.4029850746268657</v>
      </c>
      <c r="T15" s="2">
        <v>0.9253731343283581</v>
      </c>
      <c r="U15" s="2">
        <v>82.910447761194021</v>
      </c>
      <c r="V15" s="2">
        <v>0</v>
      </c>
      <c r="W15" s="2">
        <v>0.11940298507462686</v>
      </c>
      <c r="X15" s="2">
        <v>1.3731343283582089</v>
      </c>
      <c r="Y15" s="2">
        <v>25.686567164179102</v>
      </c>
      <c r="Z15" s="2">
        <v>4.4776119402985072E-2</v>
      </c>
      <c r="AA15" s="2">
        <v>99.507462686567166</v>
      </c>
      <c r="AB15" s="2">
        <f>SUM(C15:AA15)</f>
        <v>1725.5373134328356</v>
      </c>
      <c r="AG15" s="2">
        <v>34.104477611940297</v>
      </c>
    </row>
    <row r="16" spans="1:33" x14ac:dyDescent="0.2">
      <c r="A16" t="s">
        <v>11</v>
      </c>
      <c r="B16" t="s">
        <v>159</v>
      </c>
      <c r="C16" s="2">
        <v>0.37854946376811599</v>
      </c>
      <c r="D16" s="2">
        <v>162.86606424637682</v>
      </c>
      <c r="E16" s="2">
        <v>1144.3172885652173</v>
      </c>
      <c r="F16" s="2">
        <v>0</v>
      </c>
      <c r="G16" s="2">
        <v>1.8924160869565217E-2</v>
      </c>
      <c r="H16" s="2">
        <v>7.6938449159420292</v>
      </c>
      <c r="I16" s="2">
        <v>0.23043419420289715</v>
      </c>
      <c r="J16" s="2">
        <v>64.768413495652169</v>
      </c>
      <c r="K16" s="2">
        <f t="shared" si="0"/>
        <v>4.8911125378840588</v>
      </c>
      <c r="L16" s="2">
        <f t="shared" si="1"/>
        <v>3.5691902303478269</v>
      </c>
      <c r="M16" s="2">
        <f t="shared" si="2"/>
        <v>2.9082290765797105</v>
      </c>
      <c r="N16" s="2">
        <f t="shared" si="3"/>
        <v>1.0575378460289857</v>
      </c>
      <c r="O16" s="2">
        <f t="shared" si="4"/>
        <v>0.79315338452173922</v>
      </c>
      <c r="P16" s="2">
        <v>263.36174559420294</v>
      </c>
      <c r="Q16" s="2">
        <v>2.7625526971014498</v>
      </c>
      <c r="R16" s="2">
        <v>0.35149360434782612</v>
      </c>
      <c r="S16" s="2">
        <v>0.81826993999999875</v>
      </c>
      <c r="T16" s="2">
        <v>1.3552014608695648</v>
      </c>
      <c r="U16" s="2"/>
      <c r="V16" s="2"/>
      <c r="W16" s="2">
        <v>1.4697139710144911</v>
      </c>
      <c r="X16" s="2">
        <v>0</v>
      </c>
      <c r="Y16" s="2">
        <v>51.236411047826117</v>
      </c>
      <c r="Z16" s="2">
        <v>0.43873775797101455</v>
      </c>
      <c r="AA16" s="2">
        <v>25.673779000000003</v>
      </c>
      <c r="AB16" s="2">
        <f>SUM(C16:AA16)</f>
        <v>1740.9606471907243</v>
      </c>
      <c r="AG16" s="2">
        <v>13.21922307536232</v>
      </c>
    </row>
    <row r="17" spans="1:33" x14ac:dyDescent="0.2">
      <c r="B17" t="s">
        <v>17</v>
      </c>
      <c r="C17" s="2">
        <v>0.47542224637681163</v>
      </c>
      <c r="D17" s="2">
        <v>162.86606424637682</v>
      </c>
      <c r="E17" s="2">
        <v>1225.6518204347826</v>
      </c>
      <c r="F17" s="2">
        <v>0</v>
      </c>
      <c r="G17" s="2">
        <v>1.8924160869565217E-2</v>
      </c>
      <c r="H17" s="2">
        <v>16.722916946376813</v>
      </c>
      <c r="I17" s="2">
        <v>2.3138175405797088</v>
      </c>
      <c r="J17" s="2">
        <v>40.861085121739109</v>
      </c>
      <c r="K17" s="2">
        <f t="shared" si="0"/>
        <v>4.9866049922463773</v>
      </c>
      <c r="L17" s="2">
        <f t="shared" si="1"/>
        <v>3.6388739132608703</v>
      </c>
      <c r="M17" s="2">
        <f t="shared" si="2"/>
        <v>2.9650083737681165</v>
      </c>
      <c r="N17" s="2">
        <f t="shared" si="3"/>
        <v>1.0781848631884061</v>
      </c>
      <c r="O17" s="2">
        <f t="shared" si="4"/>
        <v>0.80863864739130442</v>
      </c>
      <c r="P17" s="2">
        <v>263.36174559420294</v>
      </c>
      <c r="Q17" s="2">
        <v>2.7625526971014498</v>
      </c>
      <c r="R17" s="2">
        <v>0.35149360434782612</v>
      </c>
      <c r="S17" s="2">
        <v>1.1453851689855061</v>
      </c>
      <c r="T17" s="2">
        <v>1.464410814492753</v>
      </c>
      <c r="U17" s="2"/>
      <c r="V17" s="2"/>
      <c r="W17" s="2">
        <v>1.5202924623188392</v>
      </c>
      <c r="X17" s="2">
        <v>0.47785589275362322</v>
      </c>
      <c r="Y17" s="2">
        <v>53.185350868115947</v>
      </c>
      <c r="Z17" s="2">
        <v>0.43873775797101455</v>
      </c>
      <c r="AA17" s="2">
        <v>25.673779000000003</v>
      </c>
      <c r="AB17" s="2">
        <f>SUM(C17:AA17)</f>
        <v>1812.7689653472462</v>
      </c>
      <c r="AG17" s="2">
        <v>13.477310789855075</v>
      </c>
    </row>
    <row r="18" spans="1:33" x14ac:dyDescent="0.2">
      <c r="B18" t="s">
        <v>18</v>
      </c>
      <c r="C18" s="2">
        <v>0.37808582173913047</v>
      </c>
      <c r="D18" s="2">
        <v>65.146425695652184</v>
      </c>
      <c r="E18" s="2">
        <v>1304.4812254217391</v>
      </c>
      <c r="F18" s="2">
        <v>0</v>
      </c>
      <c r="G18" s="2">
        <v>1.8924160869565217E-2</v>
      </c>
      <c r="H18" s="2">
        <v>16.722916946376813</v>
      </c>
      <c r="I18" s="2">
        <v>4.3972008869565204</v>
      </c>
      <c r="J18" s="2">
        <v>20.304001179710145</v>
      </c>
      <c r="K18" s="2">
        <f t="shared" si="0"/>
        <v>5.1220070177536234</v>
      </c>
      <c r="L18" s="2">
        <f t="shared" si="1"/>
        <v>3.7376807967391308</v>
      </c>
      <c r="M18" s="2">
        <f t="shared" si="2"/>
        <v>3.0455176862318845</v>
      </c>
      <c r="N18" s="2">
        <f t="shared" si="3"/>
        <v>1.1074609768115944</v>
      </c>
      <c r="O18" s="2">
        <f t="shared" si="4"/>
        <v>0.83059573260869568</v>
      </c>
      <c r="P18" s="2">
        <v>427.32686753623187</v>
      </c>
      <c r="Q18" s="2">
        <v>2.7625526971014498</v>
      </c>
      <c r="R18" s="2">
        <v>0.35149360434782612</v>
      </c>
      <c r="S18" s="2">
        <v>1.8714109544927526</v>
      </c>
      <c r="T18" s="2">
        <v>1.4601666637681157</v>
      </c>
      <c r="U18" s="2"/>
      <c r="V18" s="2"/>
      <c r="W18" s="2">
        <v>1.5202924623188392</v>
      </c>
      <c r="X18" s="2">
        <v>0.47785589275362322</v>
      </c>
      <c r="Y18" s="2">
        <v>54.825078604347844</v>
      </c>
      <c r="Z18" s="2">
        <v>1.2235306173913045</v>
      </c>
      <c r="AA18" s="2">
        <v>25.673779000000003</v>
      </c>
      <c r="AB18" s="2">
        <f>SUM(C18:AA18)</f>
        <v>1942.7850703559429</v>
      </c>
      <c r="AG18" s="2">
        <v>13.843262210144928</v>
      </c>
    </row>
    <row r="19" spans="1:33" x14ac:dyDescent="0.2">
      <c r="B19" t="s">
        <v>58</v>
      </c>
      <c r="C19" s="2">
        <v>0.37808582173913047</v>
      </c>
      <c r="D19" s="2">
        <v>65.146425695652184</v>
      </c>
      <c r="E19" s="2">
        <v>1304.4812254217391</v>
      </c>
      <c r="F19" s="2">
        <v>0</v>
      </c>
      <c r="G19" s="2">
        <v>1.8924160869565217E-2</v>
      </c>
      <c r="H19" s="2">
        <v>16.722916946376813</v>
      </c>
      <c r="I19" s="2">
        <v>4.3972008869565204</v>
      </c>
      <c r="J19" s="2">
        <v>32.834914582608697</v>
      </c>
      <c r="K19" s="2">
        <f t="shared" si="0"/>
        <v>5.5390262102173917</v>
      </c>
      <c r="L19" s="2">
        <f t="shared" si="1"/>
        <v>4.0419920993478273</v>
      </c>
      <c r="M19" s="2">
        <f t="shared" si="2"/>
        <v>3.2934750439130442</v>
      </c>
      <c r="N19" s="2">
        <f t="shared" si="3"/>
        <v>1.1976272886956525</v>
      </c>
      <c r="O19" s="2">
        <f t="shared" si="4"/>
        <v>0.89822046652173926</v>
      </c>
      <c r="P19" s="2">
        <v>427.32686753623187</v>
      </c>
      <c r="Q19" s="2">
        <v>2.7625526971014498</v>
      </c>
      <c r="R19" s="2">
        <v>0.35149360434782612</v>
      </c>
      <c r="S19" s="2">
        <v>1.8714109544927526</v>
      </c>
      <c r="T19" s="2">
        <v>1.5566010376811577</v>
      </c>
      <c r="U19" s="2"/>
      <c r="V19" s="2"/>
      <c r="W19" s="2">
        <v>1.5202924623188392</v>
      </c>
      <c r="X19" s="2">
        <v>0.47785589275362322</v>
      </c>
      <c r="Y19" s="2">
        <v>54.810216828985524</v>
      </c>
      <c r="Z19" s="2">
        <v>1.2235306173913045</v>
      </c>
      <c r="AA19" s="2">
        <v>25.673779000000003</v>
      </c>
      <c r="AB19" s="2">
        <v>1956.5246352559425</v>
      </c>
      <c r="AG19" s="2">
        <v>14.970341108695655</v>
      </c>
    </row>
    <row r="20" spans="1:33" x14ac:dyDescent="0.2">
      <c r="B20" t="s">
        <v>21</v>
      </c>
      <c r="C20" s="2">
        <v>1.1980676328502415</v>
      </c>
      <c r="D20" s="2">
        <v>179.96618357487924</v>
      </c>
      <c r="E20" s="2">
        <v>1662.6231884057972</v>
      </c>
      <c r="F20" s="2">
        <v>0.64251207729468607</v>
      </c>
      <c r="G20" s="2">
        <v>0.89855072463768126</v>
      </c>
      <c r="H20" s="2">
        <v>13.54106280193237</v>
      </c>
      <c r="I20" s="2">
        <v>7.5458937198067639</v>
      </c>
      <c r="J20" s="2">
        <v>24.90338164251208</v>
      </c>
      <c r="K20" s="2">
        <f t="shared" si="0"/>
        <v>9.7737198067632871</v>
      </c>
      <c r="L20" s="2">
        <f t="shared" si="1"/>
        <v>7.1321739130434798</v>
      </c>
      <c r="M20" s="2">
        <f t="shared" si="2"/>
        <v>5.8114009661835757</v>
      </c>
      <c r="N20" s="2">
        <f t="shared" si="3"/>
        <v>2.1132367149758458</v>
      </c>
      <c r="O20" s="2">
        <f t="shared" si="4"/>
        <v>1.5849275362318842</v>
      </c>
      <c r="P20" s="2">
        <v>0</v>
      </c>
      <c r="Q20" s="2">
        <v>6.57487922705314</v>
      </c>
      <c r="R20" s="2">
        <v>0.58454106280193241</v>
      </c>
      <c r="S20" s="2">
        <v>2.8743961352657008</v>
      </c>
      <c r="T20" s="2">
        <v>0.7874396135265701</v>
      </c>
      <c r="U20" s="2">
        <v>63.603864734299513</v>
      </c>
      <c r="V20" s="2">
        <v>0</v>
      </c>
      <c r="W20" s="2">
        <v>0.12077294685990339</v>
      </c>
      <c r="X20" s="2">
        <v>0.58454106280193241</v>
      </c>
      <c r="Y20" s="2">
        <v>29.855072463768114</v>
      </c>
      <c r="Z20" s="2">
        <v>9.6618357487922718E-2</v>
      </c>
      <c r="AA20" s="2">
        <v>128.72946859903382</v>
      </c>
      <c r="AB20" s="2">
        <f>SUM(C20:AA20)</f>
        <v>2151.5458937198068</v>
      </c>
      <c r="AG20" s="2">
        <v>26.415458937198071</v>
      </c>
    </row>
    <row r="21" spans="1:33" x14ac:dyDescent="0.2">
      <c r="A21" t="s">
        <v>12</v>
      </c>
      <c r="B21" t="s">
        <v>159</v>
      </c>
      <c r="C21" s="2">
        <v>0.20221829725790513</v>
      </c>
      <c r="D21" s="2">
        <v>169.93780449011857</v>
      </c>
      <c r="E21" s="2">
        <v>1421.6139480039028</v>
      </c>
      <c r="F21" s="2">
        <v>0</v>
      </c>
      <c r="G21" s="2">
        <v>3.2032279496047429E-2</v>
      </c>
      <c r="H21" s="2">
        <v>13.986688577099798</v>
      </c>
      <c r="I21" s="2">
        <v>0.23152289397233203</v>
      </c>
      <c r="J21" s="2">
        <v>33.943422969713424</v>
      </c>
      <c r="K21" s="2">
        <f t="shared" si="0"/>
        <v>6.8289593353866085</v>
      </c>
      <c r="L21" s="2">
        <f t="shared" si="1"/>
        <v>4.983294650146985</v>
      </c>
      <c r="M21" s="2">
        <f t="shared" si="2"/>
        <v>4.0604623075271729</v>
      </c>
      <c r="N21" s="2">
        <f t="shared" si="3"/>
        <v>1.4765317481916993</v>
      </c>
      <c r="O21" s="2">
        <f t="shared" si="4"/>
        <v>1.1073988111437743</v>
      </c>
      <c r="P21" s="2">
        <v>224.76978087598758</v>
      </c>
      <c r="Q21" s="2">
        <v>12.270727132905126</v>
      </c>
      <c r="R21" s="2">
        <v>0.30749103120059285</v>
      </c>
      <c r="S21" s="2">
        <v>0.99483573656126456</v>
      </c>
      <c r="T21" s="2">
        <v>2.0525547885968374</v>
      </c>
      <c r="U21" s="2"/>
      <c r="V21" s="2"/>
      <c r="W21" s="2">
        <v>0.72710811603260872</v>
      </c>
      <c r="X21" s="2">
        <v>0</v>
      </c>
      <c r="Y21" s="2">
        <v>69.102116075667027</v>
      </c>
      <c r="Z21" s="2">
        <v>0.83496118913043471</v>
      </c>
      <c r="AA21" s="2">
        <v>16.468138358448616</v>
      </c>
      <c r="AB21" s="2">
        <f>SUM(C21:AA21)</f>
        <v>1985.9319976684876</v>
      </c>
      <c r="AG21" s="2">
        <v>18.45664685239624</v>
      </c>
    </row>
    <row r="22" spans="1:33" x14ac:dyDescent="0.2">
      <c r="B22" t="s">
        <v>17</v>
      </c>
      <c r="C22" s="2">
        <v>0.21147096627964426</v>
      </c>
      <c r="D22" s="2">
        <v>169.93780449011857</v>
      </c>
      <c r="E22" s="2">
        <v>1512.2461587949108</v>
      </c>
      <c r="F22" s="2">
        <v>0</v>
      </c>
      <c r="G22" s="2">
        <v>3.2032279496047429E-2</v>
      </c>
      <c r="H22" s="2">
        <v>13.986688577099798</v>
      </c>
      <c r="I22" s="2">
        <v>2.5580129903903108</v>
      </c>
      <c r="J22" s="2">
        <v>23.011512423023714</v>
      </c>
      <c r="K22" s="2">
        <f t="shared" si="0"/>
        <v>7.0887254337863128</v>
      </c>
      <c r="L22" s="2">
        <f t="shared" si="1"/>
        <v>5.1728536949251476</v>
      </c>
      <c r="M22" s="2">
        <f t="shared" si="2"/>
        <v>4.2149178254945641</v>
      </c>
      <c r="N22" s="2">
        <f t="shared" si="3"/>
        <v>1.5326973910889325</v>
      </c>
      <c r="O22" s="2">
        <f t="shared" si="4"/>
        <v>1.1495230433166994</v>
      </c>
      <c r="P22" s="2">
        <v>224.76978087598758</v>
      </c>
      <c r="Q22" s="2">
        <v>12.270727132905126</v>
      </c>
      <c r="R22" s="2">
        <v>0.30749103120059285</v>
      </c>
      <c r="S22" s="2">
        <v>1.2289766862154146</v>
      </c>
      <c r="T22" s="2">
        <v>5.6162211183152166</v>
      </c>
      <c r="U22" s="2"/>
      <c r="V22" s="2"/>
      <c r="W22" s="2">
        <v>0.74015650410079059</v>
      </c>
      <c r="X22" s="2">
        <v>0.35798067065217387</v>
      </c>
      <c r="Y22" s="2">
        <v>68.586460476753956</v>
      </c>
      <c r="Z22" s="2">
        <v>0.70400742663043481</v>
      </c>
      <c r="AA22" s="2">
        <v>16.468138358448616</v>
      </c>
      <c r="AB22" s="2">
        <f>SUM(C22:AA22)</f>
        <v>2072.1923381911406</v>
      </c>
      <c r="AG22" s="2">
        <v>19.158717388611656</v>
      </c>
    </row>
    <row r="23" spans="1:33" x14ac:dyDescent="0.2">
      <c r="B23" t="s">
        <v>18</v>
      </c>
      <c r="C23" s="2">
        <v>0.78220971588438182</v>
      </c>
      <c r="D23" s="2">
        <v>54.555367037302368</v>
      </c>
      <c r="E23" s="2">
        <v>1526.4957120451579</v>
      </c>
      <c r="F23" s="2">
        <v>0.82586820096343772</v>
      </c>
      <c r="G23" s="2">
        <v>3.2032279496047429E-2</v>
      </c>
      <c r="H23" s="2">
        <v>13.000620371417984</v>
      </c>
      <c r="I23" s="2">
        <v>4.8845030879199598</v>
      </c>
      <c r="J23" s="2">
        <v>11.80718337072628</v>
      </c>
      <c r="K23" s="2">
        <f t="shared" si="0"/>
        <v>5.0287314319646716</v>
      </c>
      <c r="L23" s="2">
        <f t="shared" si="1"/>
        <v>3.6696148287309769</v>
      </c>
      <c r="M23" s="2">
        <f t="shared" si="2"/>
        <v>2.9900565271141293</v>
      </c>
      <c r="N23" s="2">
        <f t="shared" si="3"/>
        <v>1.0872932825869561</v>
      </c>
      <c r="O23" s="2">
        <f t="shared" si="4"/>
        <v>0.81546996194021704</v>
      </c>
      <c r="P23" s="2">
        <v>324.79346358646245</v>
      </c>
      <c r="Q23" s="2">
        <v>5.6977324031620444</v>
      </c>
      <c r="R23" s="2">
        <v>0.30843152722332012</v>
      </c>
      <c r="S23" s="2">
        <v>1.8854805530879433</v>
      </c>
      <c r="T23" s="2">
        <v>5.616245234298419</v>
      </c>
      <c r="U23" s="2"/>
      <c r="V23" s="2"/>
      <c r="W23" s="2">
        <v>0.74692466405632407</v>
      </c>
      <c r="X23" s="2">
        <v>0.35798067065217387</v>
      </c>
      <c r="Y23" s="2">
        <v>70.662753874555364</v>
      </c>
      <c r="Z23" s="2">
        <v>0.88796920642292487</v>
      </c>
      <c r="AA23" s="2">
        <v>16.468138358448616</v>
      </c>
      <c r="AB23" s="2">
        <f>SUM(C23:AA23)</f>
        <v>2053.3997822195743</v>
      </c>
      <c r="AG23" s="2">
        <v>13.59116603233695</v>
      </c>
    </row>
    <row r="24" spans="1:33" x14ac:dyDescent="0.2">
      <c r="B24" t="s">
        <v>58</v>
      </c>
      <c r="C24" s="2">
        <v>0.78220971588438182</v>
      </c>
      <c r="D24" s="2">
        <v>54.555367037302368</v>
      </c>
      <c r="E24" s="2">
        <v>1526.4957120451579</v>
      </c>
      <c r="F24" s="2">
        <v>0.82586820096343772</v>
      </c>
      <c r="G24" s="2">
        <v>3.2032279496047429E-2</v>
      </c>
      <c r="H24" s="2">
        <v>13.000620371417984</v>
      </c>
      <c r="I24" s="2">
        <v>4.8845030879199598</v>
      </c>
      <c r="J24" s="2">
        <v>13.125159888908099</v>
      </c>
      <c r="K24" s="2">
        <f t="shared" si="0"/>
        <v>3.8693781636550129</v>
      </c>
      <c r="L24" s="2">
        <f t="shared" si="1"/>
        <v>2.8236002815860908</v>
      </c>
      <c r="M24" s="2">
        <f t="shared" si="2"/>
        <v>2.3007113405516293</v>
      </c>
      <c r="N24" s="2">
        <f t="shared" si="3"/>
        <v>0.83662230565513795</v>
      </c>
      <c r="O24" s="2">
        <f t="shared" si="4"/>
        <v>0.62746672924135349</v>
      </c>
      <c r="P24" s="2">
        <v>324.79346358646245</v>
      </c>
      <c r="Q24" s="2">
        <v>5.6977324031620444</v>
      </c>
      <c r="R24" s="2">
        <v>0.30890177551877468</v>
      </c>
      <c r="S24" s="2">
        <v>1.8877069491106706</v>
      </c>
      <c r="T24" s="2">
        <v>5.554137688621541</v>
      </c>
      <c r="U24" s="2"/>
      <c r="V24" s="2"/>
      <c r="W24" s="2">
        <v>0.74699402201086951</v>
      </c>
      <c r="X24" s="2">
        <v>0.35798067065217387</v>
      </c>
      <c r="Y24" s="2">
        <v>70.647256890612667</v>
      </c>
      <c r="Z24" s="2">
        <v>0.88796920642292487</v>
      </c>
      <c r="AA24" s="2">
        <v>16.468138358448616</v>
      </c>
      <c r="AB24" s="2">
        <v>2051.5095329987616</v>
      </c>
      <c r="AG24" s="2">
        <v>10.457778820689224</v>
      </c>
    </row>
    <row r="25" spans="1:33" x14ac:dyDescent="0.2">
      <c r="B25" t="s">
        <v>21</v>
      </c>
      <c r="C25" s="2">
        <v>1.5489130434782608</v>
      </c>
      <c r="D25" s="2">
        <v>237.06521739130437</v>
      </c>
      <c r="E25" s="2">
        <v>1107.9076086956522</v>
      </c>
      <c r="F25" s="2">
        <v>0.31521739130434784</v>
      </c>
      <c r="G25" s="2">
        <v>1.2880434782608696</v>
      </c>
      <c r="H25" s="2">
        <v>30.874999999999996</v>
      </c>
      <c r="I25" s="2">
        <v>5.8913043478260869</v>
      </c>
      <c r="J25" s="2">
        <v>2.206521739130435</v>
      </c>
      <c r="K25" s="2">
        <f t="shared" si="0"/>
        <v>2.851413043478261</v>
      </c>
      <c r="L25" s="2">
        <f t="shared" si="1"/>
        <v>2.0807608695652173</v>
      </c>
      <c r="M25" s="2">
        <f t="shared" si="2"/>
        <v>1.6954347826086955</v>
      </c>
      <c r="N25" s="2">
        <f t="shared" si="3"/>
        <v>0.61652173913043473</v>
      </c>
      <c r="O25" s="2">
        <f t="shared" si="4"/>
        <v>0.46239130434782605</v>
      </c>
      <c r="P25" s="2">
        <v>0</v>
      </c>
      <c r="Q25" s="2">
        <v>12.581521739130434</v>
      </c>
      <c r="R25" s="2">
        <v>0.37499999999999994</v>
      </c>
      <c r="S25" s="2">
        <v>2.5054347826086953</v>
      </c>
      <c r="T25" s="2">
        <v>0.99456521739130421</v>
      </c>
      <c r="U25" s="2">
        <v>61.532608695652172</v>
      </c>
      <c r="V25" s="2">
        <v>0</v>
      </c>
      <c r="W25" s="2">
        <v>0.12499999999999999</v>
      </c>
      <c r="X25" s="2">
        <v>0.27173913043478259</v>
      </c>
      <c r="Y25" s="2">
        <v>21.673913043478258</v>
      </c>
      <c r="Z25" s="2">
        <v>0.53260869565217395</v>
      </c>
      <c r="AA25" s="2">
        <v>30.114130434782606</v>
      </c>
      <c r="AB25" s="2">
        <f>SUM(C25:AA25)</f>
        <v>1525.5108695652175</v>
      </c>
      <c r="AG25" s="2">
        <v>7.7065217391304346</v>
      </c>
    </row>
    <row r="26" spans="1:33" x14ac:dyDescent="0.2">
      <c r="A26" t="s">
        <v>44</v>
      </c>
      <c r="B26" t="s">
        <v>159</v>
      </c>
      <c r="C26" s="2">
        <v>0.11701019340659341</v>
      </c>
      <c r="D26" s="2">
        <v>171.36517329670332</v>
      </c>
      <c r="E26" s="2">
        <v>1097.8571164296693</v>
      </c>
      <c r="F26" s="2">
        <v>6.7692307692307691E-2</v>
      </c>
      <c r="G26" s="2">
        <v>3.663003626373626E-2</v>
      </c>
      <c r="H26" s="2">
        <v>9.5043092065934065</v>
      </c>
      <c r="I26" s="2">
        <v>11.018224612087911</v>
      </c>
      <c r="J26" s="2">
        <v>42.832492139560415</v>
      </c>
      <c r="K26" s="2">
        <f t="shared" si="0"/>
        <v>6.2467805061428585</v>
      </c>
      <c r="L26" s="2">
        <f t="shared" si="1"/>
        <v>4.558461450428573</v>
      </c>
      <c r="M26" s="2">
        <f t="shared" si="2"/>
        <v>3.7143019225714293</v>
      </c>
      <c r="N26" s="2">
        <f t="shared" si="3"/>
        <v>1.3506552445714288</v>
      </c>
      <c r="O26" s="2">
        <f t="shared" si="4"/>
        <v>1.0129914334285717</v>
      </c>
      <c r="P26" s="2">
        <v>252.87193786813185</v>
      </c>
      <c r="Q26" s="2">
        <v>18.81893665164834</v>
      </c>
      <c r="R26" s="2">
        <v>0.20715254395604393</v>
      </c>
      <c r="S26" s="2">
        <v>1.4989690769230766</v>
      </c>
      <c r="T26" s="2">
        <v>1.9742970098901096</v>
      </c>
      <c r="U26" s="2"/>
      <c r="V26" s="2"/>
      <c r="W26" s="2">
        <v>0.46113914505494502</v>
      </c>
      <c r="X26" s="2">
        <v>0</v>
      </c>
      <c r="Y26" s="2">
        <v>46.466515152747249</v>
      </c>
      <c r="Z26" s="2">
        <v>5.0542406593406593E-2</v>
      </c>
      <c r="AA26" s="2">
        <v>13.502395043956044</v>
      </c>
      <c r="AB26" s="2">
        <f>SUM(C26:AA26)</f>
        <v>1685.5337236780206</v>
      </c>
      <c r="AG26" s="2">
        <v>16.883190557142861</v>
      </c>
    </row>
    <row r="27" spans="1:33" x14ac:dyDescent="0.2">
      <c r="B27" t="s">
        <v>17</v>
      </c>
      <c r="C27" s="2">
        <v>0.13084169560439551</v>
      </c>
      <c r="D27" s="2">
        <v>171.36517329670332</v>
      </c>
      <c r="E27" s="2">
        <v>1168.9713799285703</v>
      </c>
      <c r="F27" s="2">
        <v>6.7692307692307691E-2</v>
      </c>
      <c r="G27" s="2">
        <v>3.663003626373626E-2</v>
      </c>
      <c r="H27" s="2">
        <v>9.5043092065934065</v>
      </c>
      <c r="I27" s="2">
        <v>14.158282454945043</v>
      </c>
      <c r="J27" s="2">
        <v>24.410079309890111</v>
      </c>
      <c r="K27" s="2">
        <f t="shared" si="0"/>
        <v>6.3662024319120878</v>
      </c>
      <c r="L27" s="2">
        <f t="shared" si="1"/>
        <v>4.6456071800439567</v>
      </c>
      <c r="M27" s="2">
        <f t="shared" si="2"/>
        <v>3.7853095541098902</v>
      </c>
      <c r="N27" s="2">
        <f t="shared" si="3"/>
        <v>1.3764762014945056</v>
      </c>
      <c r="O27" s="2">
        <f t="shared" si="4"/>
        <v>1.0323571511208791</v>
      </c>
      <c r="P27" s="2">
        <v>252.87193786813185</v>
      </c>
      <c r="Q27" s="2">
        <v>18.81893665164834</v>
      </c>
      <c r="R27" s="2">
        <v>0.20715254395604393</v>
      </c>
      <c r="S27" s="2">
        <v>1.7718148934065934</v>
      </c>
      <c r="T27" s="2">
        <v>2.7024723384615381</v>
      </c>
      <c r="U27" s="2"/>
      <c r="V27" s="2"/>
      <c r="W27" s="2">
        <v>0.49499219999999994</v>
      </c>
      <c r="X27" s="2">
        <v>0.43177825824175825</v>
      </c>
      <c r="Y27" s="2">
        <v>46.565791712087908</v>
      </c>
      <c r="Z27" s="2">
        <v>0</v>
      </c>
      <c r="AA27" s="2">
        <v>13.502395043956044</v>
      </c>
      <c r="AB27" s="2">
        <f>SUM(C27:AA27)</f>
        <v>1743.2176122648343</v>
      </c>
      <c r="AG27" s="2">
        <v>17.205952518681318</v>
      </c>
    </row>
    <row r="28" spans="1:33" x14ac:dyDescent="0.2">
      <c r="B28" t="s">
        <v>18</v>
      </c>
      <c r="C28" s="2">
        <v>1.4716251010989008</v>
      </c>
      <c r="D28" s="2">
        <v>68.546069318681319</v>
      </c>
      <c r="E28" s="2">
        <v>1208.6320879021953</v>
      </c>
      <c r="F28" s="2">
        <v>0</v>
      </c>
      <c r="G28" s="2">
        <v>3.663003626373626E-2</v>
      </c>
      <c r="H28" s="2">
        <v>10.5910709</v>
      </c>
      <c r="I28" s="2">
        <v>17.298340297802184</v>
      </c>
      <c r="J28" s="2">
        <v>9.4723306142857133</v>
      </c>
      <c r="K28" s="2">
        <f t="shared" si="0"/>
        <v>4.5726482413626375</v>
      </c>
      <c r="L28" s="2">
        <f t="shared" si="1"/>
        <v>3.3367973653186818</v>
      </c>
      <c r="M28" s="2">
        <f t="shared" si="2"/>
        <v>2.7188719272967035</v>
      </c>
      <c r="N28" s="2">
        <f t="shared" si="3"/>
        <v>0.98868070083516491</v>
      </c>
      <c r="O28" s="2">
        <f t="shared" si="4"/>
        <v>0.74151052562637365</v>
      </c>
      <c r="P28" s="2">
        <v>338.93859252747251</v>
      </c>
      <c r="Q28" s="2">
        <v>4.8449721571428466</v>
      </c>
      <c r="R28" s="2">
        <v>0.20751864175824175</v>
      </c>
      <c r="S28" s="2">
        <v>1.8114522395604398</v>
      </c>
      <c r="T28" s="2">
        <v>2.663679708791209</v>
      </c>
      <c r="U28" s="2"/>
      <c r="V28" s="2"/>
      <c r="W28" s="2">
        <v>0.49499219999999994</v>
      </c>
      <c r="X28" s="2">
        <v>0.43177825824175825</v>
      </c>
      <c r="Y28" s="2">
        <v>48.054900825274721</v>
      </c>
      <c r="Z28" s="2">
        <v>9.2764159340659333E-2</v>
      </c>
      <c r="AA28" s="2">
        <v>13.502395043956044</v>
      </c>
      <c r="AB28" s="2">
        <f>SUM(C28:AA28)</f>
        <v>1739.4497086923054</v>
      </c>
      <c r="AG28" s="2">
        <v>12.358508760439561</v>
      </c>
    </row>
    <row r="29" spans="1:33" x14ac:dyDescent="0.2">
      <c r="B29" t="s">
        <v>58</v>
      </c>
      <c r="C29" s="2">
        <v>1.4741659307692303</v>
      </c>
      <c r="D29" s="2">
        <v>68.546069318681319</v>
      </c>
      <c r="E29" s="2">
        <v>1208.6320879021953</v>
      </c>
      <c r="F29" s="2">
        <v>0</v>
      </c>
      <c r="G29" s="2">
        <v>3.663003626373626E-2</v>
      </c>
      <c r="H29" s="2">
        <v>10.5910709</v>
      </c>
      <c r="I29" s="2">
        <v>17.298340297802184</v>
      </c>
      <c r="J29" s="2">
        <v>14.176482770329667</v>
      </c>
      <c r="K29" s="2">
        <f t="shared" si="0"/>
        <v>3.1506568314010992</v>
      </c>
      <c r="L29" s="2">
        <f t="shared" si="1"/>
        <v>2.2991279580494512</v>
      </c>
      <c r="M29" s="2">
        <f t="shared" si="2"/>
        <v>1.8733635213736266</v>
      </c>
      <c r="N29" s="2">
        <f t="shared" si="3"/>
        <v>0.68122309868131881</v>
      </c>
      <c r="O29" s="2">
        <f t="shared" si="4"/>
        <v>0.5109173240109891</v>
      </c>
      <c r="P29" s="2">
        <v>338.93859252747251</v>
      </c>
      <c r="Q29" s="2">
        <v>4.8449721571428466</v>
      </c>
      <c r="R29" s="2">
        <v>0.20770169065934066</v>
      </c>
      <c r="S29" s="2">
        <v>1.8127363142857145</v>
      </c>
      <c r="T29" s="2">
        <v>2.6451737923076921</v>
      </c>
      <c r="U29" s="2"/>
      <c r="V29" s="2"/>
      <c r="W29" s="2">
        <v>0.49499219999999994</v>
      </c>
      <c r="X29" s="2">
        <v>0.43177825824175825</v>
      </c>
      <c r="Y29" s="2">
        <v>48.049122736813182</v>
      </c>
      <c r="Z29" s="2">
        <v>9.2764159340659333E-2</v>
      </c>
      <c r="AA29" s="2">
        <v>13.502395043956044</v>
      </c>
      <c r="AB29" s="2">
        <v>1740.2903647697779</v>
      </c>
      <c r="AG29" s="2">
        <v>8.5152887335164849</v>
      </c>
    </row>
    <row r="30" spans="1:33" x14ac:dyDescent="0.2">
      <c r="B30" t="s">
        <v>21</v>
      </c>
      <c r="C30" s="2">
        <v>1.4725274725274726</v>
      </c>
      <c r="D30" s="2">
        <v>68.549450549450555</v>
      </c>
      <c r="E30" s="2">
        <v>1178.131868131868</v>
      </c>
      <c r="F30" s="2">
        <v>0</v>
      </c>
      <c r="G30" s="2">
        <v>3.2967032967032968E-2</v>
      </c>
      <c r="H30" s="2">
        <v>10.791208791208792</v>
      </c>
      <c r="I30" s="2">
        <v>17.296703296703296</v>
      </c>
      <c r="J30" s="2">
        <v>16</v>
      </c>
      <c r="K30" s="2">
        <f t="shared" si="0"/>
        <v>3.3991208791208787</v>
      </c>
      <c r="L30" s="2">
        <f t="shared" si="1"/>
        <v>2.4804395604395606</v>
      </c>
      <c r="M30" s="2">
        <f t="shared" si="2"/>
        <v>2.0210989010989011</v>
      </c>
      <c r="N30" s="2">
        <f t="shared" si="3"/>
        <v>0.73494505494505491</v>
      </c>
      <c r="O30" s="2">
        <f t="shared" si="4"/>
        <v>0.55120879120879118</v>
      </c>
      <c r="P30" s="2">
        <v>338.93406593406593</v>
      </c>
      <c r="Q30" s="2">
        <v>5.2527472527472527</v>
      </c>
      <c r="R30" s="2">
        <v>0.2087912087912088</v>
      </c>
      <c r="S30" s="2">
        <v>1.813186813186813</v>
      </c>
      <c r="T30" s="2">
        <v>2.6483516483516483</v>
      </c>
      <c r="U30" s="2">
        <v>30.505494505494507</v>
      </c>
      <c r="V30" s="2">
        <v>1.2307692307692308</v>
      </c>
      <c r="W30" s="2">
        <v>0.49450549450549453</v>
      </c>
      <c r="X30" s="2">
        <v>0.42857142857142855</v>
      </c>
      <c r="Y30" s="2">
        <v>48.065934065934066</v>
      </c>
      <c r="Z30" s="2">
        <v>8.7912087912087905E-2</v>
      </c>
      <c r="AA30" s="2">
        <v>13.505494505494504</v>
      </c>
      <c r="AB30" s="2">
        <f>SUM(C30:AA30)</f>
        <v>1744.6373626373622</v>
      </c>
      <c r="AG30" s="2">
        <v>9.1868131868131861</v>
      </c>
    </row>
    <row r="33" spans="1:40" ht="17" thickBot="1" x14ac:dyDescent="0.25"/>
    <row r="34" spans="1:40" ht="69" thickBot="1" x14ac:dyDescent="0.25">
      <c r="AG34" s="3"/>
      <c r="AH34" s="3"/>
      <c r="AI34" s="4" t="s">
        <v>110</v>
      </c>
      <c r="AJ34" s="5" t="s">
        <v>111</v>
      </c>
      <c r="AK34" s="5" t="s">
        <v>112</v>
      </c>
      <c r="AL34" s="5" t="s">
        <v>113</v>
      </c>
      <c r="AM34" s="5" t="s">
        <v>114</v>
      </c>
      <c r="AN34" s="6" t="s">
        <v>115</v>
      </c>
    </row>
    <row r="35" spans="1:40" ht="17" thickBot="1" x14ac:dyDescent="0.25">
      <c r="B35" t="s">
        <v>16</v>
      </c>
      <c r="AG35" s="7" t="s">
        <v>116</v>
      </c>
      <c r="AH35" s="8"/>
      <c r="AI35" s="9">
        <v>0.37</v>
      </c>
      <c r="AJ35" s="10">
        <v>0.27</v>
      </c>
      <c r="AK35" s="10">
        <v>0.22</v>
      </c>
      <c r="AL35" s="10">
        <v>0.08</v>
      </c>
      <c r="AM35" s="10">
        <v>0.06</v>
      </c>
      <c r="AN35" s="11"/>
    </row>
    <row r="36" spans="1:40" x14ac:dyDescent="0.2">
      <c r="B36" t="s">
        <v>160</v>
      </c>
      <c r="C36" t="s">
        <v>17</v>
      </c>
      <c r="AG36" s="24" t="s">
        <v>117</v>
      </c>
      <c r="AH36" s="12" t="s">
        <v>118</v>
      </c>
      <c r="AI36" s="13">
        <v>0.37</v>
      </c>
      <c r="AJ36" s="14">
        <v>0.27</v>
      </c>
      <c r="AK36" s="14">
        <v>0.22</v>
      </c>
      <c r="AL36" s="14">
        <v>0.08</v>
      </c>
      <c r="AM36" s="14">
        <v>0.06</v>
      </c>
      <c r="AN36" s="15"/>
    </row>
    <row r="37" spans="1:40" x14ac:dyDescent="0.2">
      <c r="B37" t="s">
        <v>161</v>
      </c>
      <c r="C37" s="20" t="s">
        <v>17</v>
      </c>
      <c r="D37">
        <v>5</v>
      </c>
      <c r="E37">
        <v>5</v>
      </c>
      <c r="F37" t="s">
        <v>18</v>
      </c>
      <c r="AG37" s="25"/>
      <c r="AH37" s="12" t="s">
        <v>119</v>
      </c>
      <c r="AI37" s="13">
        <v>0.37</v>
      </c>
      <c r="AJ37" s="14"/>
      <c r="AK37" s="14">
        <v>0.3</v>
      </c>
      <c r="AL37" s="14"/>
      <c r="AM37" s="14"/>
      <c r="AN37" s="15">
        <v>0.33</v>
      </c>
    </row>
    <row r="38" spans="1:40" ht="17" thickBot="1" x14ac:dyDescent="0.25">
      <c r="B38" t="s">
        <v>162</v>
      </c>
      <c r="C38" t="s">
        <v>18</v>
      </c>
      <c r="AG38" s="26"/>
      <c r="AH38" s="16" t="s">
        <v>120</v>
      </c>
      <c r="AI38" s="17">
        <v>0.37</v>
      </c>
      <c r="AJ38" s="18"/>
      <c r="AK38" s="18">
        <v>0.22</v>
      </c>
      <c r="AL38" s="18"/>
      <c r="AM38" s="18"/>
      <c r="AN38" s="19">
        <f>0.14+0.27</f>
        <v>0.41000000000000003</v>
      </c>
    </row>
    <row r="39" spans="1:40" x14ac:dyDescent="0.2">
      <c r="B39" t="s">
        <v>163</v>
      </c>
      <c r="C39" s="20" t="s">
        <v>18</v>
      </c>
      <c r="D39">
        <f>2000-1992</f>
        <v>8</v>
      </c>
      <c r="E39">
        <f>2005-2000</f>
        <v>5</v>
      </c>
      <c r="F39" t="s">
        <v>58</v>
      </c>
      <c r="G39">
        <f>2005-1992</f>
        <v>13</v>
      </c>
    </row>
    <row r="40" spans="1:40" x14ac:dyDescent="0.2">
      <c r="B40" t="s">
        <v>156</v>
      </c>
      <c r="C40" t="s">
        <v>58</v>
      </c>
    </row>
    <row r="41" spans="1:40" x14ac:dyDescent="0.2">
      <c r="B41" t="s">
        <v>21</v>
      </c>
    </row>
    <row r="42" spans="1:40" x14ac:dyDescent="0.2">
      <c r="M42" s="2"/>
    </row>
    <row r="45" spans="1:40" x14ac:dyDescent="0.2">
      <c r="A45" s="1" t="s">
        <v>45</v>
      </c>
      <c r="D45" s="1" t="s">
        <v>57</v>
      </c>
    </row>
    <row r="46" spans="1:40" x14ac:dyDescent="0.2">
      <c r="A46" t="s">
        <v>46</v>
      </c>
      <c r="B46" t="s">
        <v>1</v>
      </c>
    </row>
    <row r="47" spans="1:40" x14ac:dyDescent="0.2">
      <c r="A47" t="s">
        <v>51</v>
      </c>
      <c r="B47" t="s">
        <v>47</v>
      </c>
      <c r="C47" t="s">
        <v>54</v>
      </c>
      <c r="D47" t="s">
        <v>56</v>
      </c>
    </row>
    <row r="48" spans="1:40" x14ac:dyDescent="0.2">
      <c r="A48" t="s">
        <v>52</v>
      </c>
      <c r="B48" t="s">
        <v>48</v>
      </c>
      <c r="C48" t="s">
        <v>53</v>
      </c>
      <c r="D48" t="s">
        <v>55</v>
      </c>
    </row>
    <row r="51" spans="3:24" x14ac:dyDescent="0.2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</sheetData>
  <mergeCells count="1">
    <mergeCell ref="AG36:AG38"/>
  </mergeCells>
  <conditionalFormatting sqref="C6:C30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:D3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:E30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:F30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:G30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H30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:I30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J30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K3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L3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M3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:N3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6:O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P30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Q30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R3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:S30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:T3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:U30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V30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W30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X30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Y30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30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30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:AB30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G30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94F5E-54A4-2E46-9D62-90CEBA67E7EA}">
  <dimension ref="A2:I57"/>
  <sheetViews>
    <sheetView workbookViewId="0">
      <selection activeCell="D11" sqref="D11"/>
    </sheetView>
  </sheetViews>
  <sheetFormatPr baseColWidth="10" defaultRowHeight="16" x14ac:dyDescent="0.2"/>
  <sheetData>
    <row r="2" spans="1:9" x14ac:dyDescent="0.2">
      <c r="A2" t="s">
        <v>59</v>
      </c>
      <c r="B2" t="s">
        <v>47</v>
      </c>
      <c r="I2" t="s">
        <v>97</v>
      </c>
    </row>
    <row r="3" spans="1:9" x14ac:dyDescent="0.2">
      <c r="A3" t="s">
        <v>67</v>
      </c>
      <c r="B3" t="s">
        <v>23</v>
      </c>
      <c r="H3" t="s">
        <v>101</v>
      </c>
      <c r="I3" t="s">
        <v>102</v>
      </c>
    </row>
    <row r="4" spans="1:9" x14ac:dyDescent="0.2">
      <c r="A4" t="s">
        <v>66</v>
      </c>
      <c r="B4" t="s">
        <v>24</v>
      </c>
      <c r="H4" t="s">
        <v>101</v>
      </c>
      <c r="I4" t="s">
        <v>105</v>
      </c>
    </row>
    <row r="5" spans="1:9" x14ac:dyDescent="0.2">
      <c r="A5" t="s">
        <v>66</v>
      </c>
      <c r="B5" t="s">
        <v>28</v>
      </c>
      <c r="H5" t="s">
        <v>101</v>
      </c>
      <c r="I5" t="s">
        <v>100</v>
      </c>
    </row>
    <row r="6" spans="1:9" x14ac:dyDescent="0.2">
      <c r="A6" t="s">
        <v>66</v>
      </c>
      <c r="B6" t="s">
        <v>32</v>
      </c>
      <c r="H6" t="s">
        <v>101</v>
      </c>
      <c r="I6" t="s">
        <v>129</v>
      </c>
    </row>
    <row r="7" spans="1:9" x14ac:dyDescent="0.2">
      <c r="A7" t="s">
        <v>66</v>
      </c>
      <c r="B7" t="s">
        <v>33</v>
      </c>
      <c r="H7" s="20" t="s">
        <v>101</v>
      </c>
      <c r="I7" t="s">
        <v>128</v>
      </c>
    </row>
    <row r="8" spans="1:9" x14ac:dyDescent="0.2">
      <c r="A8" t="s">
        <v>66</v>
      </c>
      <c r="B8" t="s">
        <v>49</v>
      </c>
      <c r="H8" t="s">
        <v>101</v>
      </c>
      <c r="I8" t="s">
        <v>127</v>
      </c>
    </row>
    <row r="9" spans="1:9" x14ac:dyDescent="0.2">
      <c r="A9" t="s">
        <v>85</v>
      </c>
      <c r="B9" t="s">
        <v>36</v>
      </c>
      <c r="H9" t="s">
        <v>101</v>
      </c>
      <c r="I9" t="s">
        <v>131</v>
      </c>
    </row>
    <row r="10" spans="1:9" x14ac:dyDescent="0.2">
      <c r="A10" t="s">
        <v>75</v>
      </c>
      <c r="B10" t="s">
        <v>26</v>
      </c>
      <c r="H10" t="s">
        <v>101</v>
      </c>
      <c r="I10" t="s">
        <v>79</v>
      </c>
    </row>
    <row r="11" spans="1:9" x14ac:dyDescent="0.2">
      <c r="A11" t="s">
        <v>74</v>
      </c>
      <c r="B11" t="s">
        <v>25</v>
      </c>
      <c r="H11" t="s">
        <v>101</v>
      </c>
      <c r="I11" t="s">
        <v>104</v>
      </c>
    </row>
    <row r="12" spans="1:9" x14ac:dyDescent="0.2">
      <c r="A12" t="s">
        <v>69</v>
      </c>
      <c r="B12" t="s">
        <v>34</v>
      </c>
      <c r="H12" t="s">
        <v>101</v>
      </c>
      <c r="I12" t="s">
        <v>108</v>
      </c>
    </row>
    <row r="13" spans="1:9" x14ac:dyDescent="0.2">
      <c r="A13" t="s">
        <v>76</v>
      </c>
      <c r="B13" t="s">
        <v>27</v>
      </c>
      <c r="H13" t="s">
        <v>101</v>
      </c>
      <c r="I13" t="s">
        <v>109</v>
      </c>
    </row>
    <row r="14" spans="1:9" x14ac:dyDescent="0.2">
      <c r="A14" t="s">
        <v>70</v>
      </c>
      <c r="B14" t="s">
        <v>39</v>
      </c>
      <c r="H14" t="s">
        <v>101</v>
      </c>
      <c r="I14" t="s">
        <v>98</v>
      </c>
    </row>
    <row r="15" spans="1:9" x14ac:dyDescent="0.2">
      <c r="A15" t="s">
        <v>65</v>
      </c>
      <c r="B15" t="s">
        <v>29</v>
      </c>
      <c r="H15" t="s">
        <v>101</v>
      </c>
      <c r="I15" t="s">
        <v>99</v>
      </c>
    </row>
    <row r="16" spans="1:9" x14ac:dyDescent="0.2">
      <c r="A16" t="s">
        <v>68</v>
      </c>
      <c r="B16" t="s">
        <v>37</v>
      </c>
      <c r="H16" t="s">
        <v>101</v>
      </c>
      <c r="I16" t="s">
        <v>106</v>
      </c>
    </row>
    <row r="17" spans="1:9" x14ac:dyDescent="0.2">
      <c r="A17" t="s">
        <v>83</v>
      </c>
      <c r="B17" t="s">
        <v>38</v>
      </c>
      <c r="H17" t="s">
        <v>101</v>
      </c>
      <c r="I17" t="s">
        <v>103</v>
      </c>
    </row>
    <row r="18" spans="1:9" x14ac:dyDescent="0.2">
      <c r="A18" t="s">
        <v>64</v>
      </c>
      <c r="B18" t="s">
        <v>35</v>
      </c>
      <c r="H18" t="s">
        <v>101</v>
      </c>
      <c r="I18" t="s">
        <v>107</v>
      </c>
    </row>
    <row r="19" spans="1:9" x14ac:dyDescent="0.2">
      <c r="A19" t="s">
        <v>61</v>
      </c>
      <c r="B19" t="s">
        <v>41</v>
      </c>
    </row>
    <row r="20" spans="1:9" x14ac:dyDescent="0.2">
      <c r="A20" t="s">
        <v>62</v>
      </c>
      <c r="B20" t="s">
        <v>40</v>
      </c>
    </row>
    <row r="21" spans="1:9" x14ac:dyDescent="0.2">
      <c r="A21" t="s">
        <v>60</v>
      </c>
      <c r="B21" t="s">
        <v>30</v>
      </c>
    </row>
    <row r="22" spans="1:9" x14ac:dyDescent="0.2">
      <c r="A22" t="s">
        <v>60</v>
      </c>
      <c r="B22" t="s">
        <v>50</v>
      </c>
    </row>
    <row r="23" spans="1:9" x14ac:dyDescent="0.2">
      <c r="A23" t="s">
        <v>123</v>
      </c>
      <c r="B23" t="s">
        <v>130</v>
      </c>
    </row>
    <row r="27" spans="1:9" x14ac:dyDescent="0.2">
      <c r="A27" t="s">
        <v>134</v>
      </c>
    </row>
    <row r="29" spans="1:9" x14ac:dyDescent="0.2">
      <c r="A29" t="s">
        <v>78</v>
      </c>
      <c r="C29" t="s">
        <v>79</v>
      </c>
    </row>
    <row r="30" spans="1:9" x14ac:dyDescent="0.2">
      <c r="A30">
        <f>-0.7+0.2+0.07+0.1+6.7+0.8-0.2</f>
        <v>6.97</v>
      </c>
      <c r="C30" s="2">
        <f>0.356+0.005+0.09</f>
        <v>0.45099999999999996</v>
      </c>
    </row>
    <row r="31" spans="1:9" x14ac:dyDescent="0.2">
      <c r="A31">
        <v>0.26</v>
      </c>
      <c r="C31">
        <f>552*0.001</f>
        <v>0.55200000000000005</v>
      </c>
    </row>
    <row r="32" spans="1:9" x14ac:dyDescent="0.2">
      <c r="A32">
        <v>0.21</v>
      </c>
    </row>
    <row r="34" spans="1:5" x14ac:dyDescent="0.2">
      <c r="A34" t="s">
        <v>80</v>
      </c>
      <c r="D34" t="s">
        <v>84</v>
      </c>
    </row>
    <row r="35" spans="1:5" x14ac:dyDescent="0.2">
      <c r="A35">
        <v>360</v>
      </c>
      <c r="B35">
        <f>A35/2000</f>
        <v>0.18</v>
      </c>
      <c r="D35">
        <v>2</v>
      </c>
    </row>
    <row r="36" spans="1:5" x14ac:dyDescent="0.2">
      <c r="A36">
        <v>230</v>
      </c>
      <c r="B36">
        <f>A36/1800</f>
        <v>0.12777777777777777</v>
      </c>
      <c r="D36">
        <v>1.5</v>
      </c>
    </row>
    <row r="37" spans="1:5" x14ac:dyDescent="0.2">
      <c r="A37">
        <v>400</v>
      </c>
      <c r="B37">
        <f>A37/1800</f>
        <v>0.22222222222222221</v>
      </c>
      <c r="D37">
        <v>1.4</v>
      </c>
    </row>
    <row r="38" spans="1:5" x14ac:dyDescent="0.2">
      <c r="A38">
        <v>435</v>
      </c>
      <c r="B38">
        <f>A38/1800</f>
        <v>0.24166666666666667</v>
      </c>
      <c r="D38">
        <v>0.9</v>
      </c>
    </row>
    <row r="39" spans="1:5" x14ac:dyDescent="0.2">
      <c r="A39" s="2"/>
      <c r="B39" s="2"/>
      <c r="C39" s="2"/>
      <c r="D39" s="2">
        <v>2.5</v>
      </c>
      <c r="E39" s="2"/>
    </row>
    <row r="40" spans="1:5" x14ac:dyDescent="0.2">
      <c r="A40" t="s">
        <v>81</v>
      </c>
      <c r="D40" t="s">
        <v>82</v>
      </c>
    </row>
    <row r="41" spans="1:5" x14ac:dyDescent="0.2">
      <c r="A41">
        <v>540</v>
      </c>
      <c r="B41">
        <f>A41/2000</f>
        <v>0.27</v>
      </c>
      <c r="D41">
        <v>170</v>
      </c>
      <c r="E41">
        <f>D41/2200</f>
        <v>7.7272727272727271E-2</v>
      </c>
    </row>
    <row r="43" spans="1:5" x14ac:dyDescent="0.2">
      <c r="A43" t="s">
        <v>121</v>
      </c>
      <c r="D43" t="s">
        <v>122</v>
      </c>
    </row>
    <row r="44" spans="1:5" x14ac:dyDescent="0.2">
      <c r="A44">
        <v>62</v>
      </c>
      <c r="B44">
        <f>A44/50</f>
        <v>1.24</v>
      </c>
      <c r="D44">
        <v>134</v>
      </c>
      <c r="E44">
        <f>D44/85</f>
        <v>1.5764705882352941</v>
      </c>
    </row>
    <row r="46" spans="1:5" x14ac:dyDescent="0.2">
      <c r="A46">
        <v>70</v>
      </c>
      <c r="B46">
        <f>A46/46</f>
        <v>1.5217391304347827</v>
      </c>
      <c r="D46">
        <f>40</f>
        <v>40</v>
      </c>
      <c r="E46">
        <f>D46/24</f>
        <v>1.6666666666666667</v>
      </c>
    </row>
    <row r="48" spans="1:5" x14ac:dyDescent="0.2">
      <c r="A48" t="s">
        <v>124</v>
      </c>
      <c r="D48" t="s">
        <v>125</v>
      </c>
    </row>
    <row r="49" spans="1:4" x14ac:dyDescent="0.2">
      <c r="A49">
        <f>605</f>
        <v>605</v>
      </c>
      <c r="B49">
        <f>A49/150</f>
        <v>4.0333333333333332</v>
      </c>
      <c r="D49">
        <f>100/32</f>
        <v>3.125</v>
      </c>
    </row>
    <row r="50" spans="1:4" x14ac:dyDescent="0.2">
      <c r="A50">
        <v>60</v>
      </c>
      <c r="B50">
        <f>60/15</f>
        <v>4</v>
      </c>
      <c r="D50">
        <f>56/33</f>
        <v>1.696969696969697</v>
      </c>
    </row>
    <row r="52" spans="1:4" x14ac:dyDescent="0.2">
      <c r="A52" t="s">
        <v>126</v>
      </c>
    </row>
    <row r="53" spans="1:4" x14ac:dyDescent="0.2">
      <c r="A53">
        <v>5.6</v>
      </c>
    </row>
    <row r="55" spans="1:4" x14ac:dyDescent="0.2">
      <c r="A55" t="s">
        <v>136</v>
      </c>
    </row>
    <row r="56" spans="1:4" x14ac:dyDescent="0.2">
      <c r="A56">
        <f>15/45</f>
        <v>0.33333333333333331</v>
      </c>
    </row>
    <row r="57" spans="1:4" x14ac:dyDescent="0.2">
      <c r="A57">
        <f>13/40</f>
        <v>0.32500000000000001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DA4D1-E6F7-3141-B8EE-5A83C3860565}">
  <dimension ref="A1:M13"/>
  <sheetViews>
    <sheetView zoomScale="93" workbookViewId="0">
      <selection activeCell="L14" sqref="L14"/>
    </sheetView>
  </sheetViews>
  <sheetFormatPr baseColWidth="10" defaultRowHeight="16" x14ac:dyDescent="0.2"/>
  <cols>
    <col min="1" max="1" width="33.33203125" customWidth="1"/>
    <col min="2" max="2" width="20.83203125" customWidth="1"/>
  </cols>
  <sheetData>
    <row r="1" spans="1:13" x14ac:dyDescent="0.2">
      <c r="A1" s="1" t="s">
        <v>0</v>
      </c>
      <c r="D1" t="s">
        <v>144</v>
      </c>
      <c r="G1" s="1" t="s">
        <v>14</v>
      </c>
      <c r="M1" t="s">
        <v>144</v>
      </c>
    </row>
    <row r="2" spans="1:13" x14ac:dyDescent="0.2">
      <c r="A2" s="1" t="s">
        <v>1</v>
      </c>
      <c r="B2" s="1" t="s">
        <v>8</v>
      </c>
      <c r="D2" s="1" t="s">
        <v>137</v>
      </c>
      <c r="G2" s="1" t="s">
        <v>48</v>
      </c>
      <c r="H2" s="1" t="s">
        <v>15</v>
      </c>
      <c r="L2" t="s">
        <v>137</v>
      </c>
    </row>
    <row r="3" spans="1:13" x14ac:dyDescent="0.2">
      <c r="A3" t="s">
        <v>5</v>
      </c>
      <c r="B3" t="s">
        <v>9</v>
      </c>
      <c r="D3" t="s">
        <v>145</v>
      </c>
      <c r="G3" t="s">
        <v>16</v>
      </c>
      <c r="H3" t="s">
        <v>16</v>
      </c>
      <c r="I3" t="s">
        <v>16</v>
      </c>
      <c r="K3" t="s">
        <v>16</v>
      </c>
      <c r="L3" t="s">
        <v>16</v>
      </c>
      <c r="M3" t="s">
        <v>153</v>
      </c>
    </row>
    <row r="4" spans="1:13" x14ac:dyDescent="0.2">
      <c r="A4" t="s">
        <v>2</v>
      </c>
      <c r="B4" t="s">
        <v>10</v>
      </c>
      <c r="D4" t="s">
        <v>146</v>
      </c>
      <c r="G4" t="s">
        <v>17</v>
      </c>
      <c r="H4" t="s">
        <v>17</v>
      </c>
      <c r="I4" t="s">
        <v>143</v>
      </c>
      <c r="K4" t="s">
        <v>17</v>
      </c>
      <c r="L4" t="s">
        <v>138</v>
      </c>
      <c r="M4" t="s">
        <v>153</v>
      </c>
    </row>
    <row r="5" spans="1:13" x14ac:dyDescent="0.2">
      <c r="A5" t="s">
        <v>4</v>
      </c>
      <c r="B5" t="s">
        <v>146</v>
      </c>
      <c r="D5" t="s">
        <v>146</v>
      </c>
      <c r="G5" t="s">
        <v>18</v>
      </c>
      <c r="H5" t="s">
        <v>18</v>
      </c>
      <c r="I5" t="s">
        <v>140</v>
      </c>
      <c r="K5" t="s">
        <v>17</v>
      </c>
      <c r="L5" t="s">
        <v>139</v>
      </c>
    </row>
    <row r="6" spans="1:13" x14ac:dyDescent="0.2">
      <c r="A6" t="s">
        <v>4</v>
      </c>
      <c r="B6" t="s">
        <v>147</v>
      </c>
      <c r="D6" t="s">
        <v>147</v>
      </c>
      <c r="G6" t="s">
        <v>19</v>
      </c>
      <c r="H6" t="s">
        <v>58</v>
      </c>
      <c r="K6" t="s">
        <v>18</v>
      </c>
      <c r="L6" t="s">
        <v>140</v>
      </c>
    </row>
    <row r="7" spans="1:13" x14ac:dyDescent="0.2">
      <c r="A7" t="s">
        <v>7</v>
      </c>
      <c r="B7" t="s">
        <v>12</v>
      </c>
      <c r="D7" t="s">
        <v>12</v>
      </c>
      <c r="E7" t="s">
        <v>12</v>
      </c>
      <c r="G7" t="s">
        <v>20</v>
      </c>
      <c r="H7" t="s">
        <v>58</v>
      </c>
      <c r="K7" t="s">
        <v>18</v>
      </c>
      <c r="L7" t="s">
        <v>141</v>
      </c>
    </row>
    <row r="8" spans="1:13" x14ac:dyDescent="0.2">
      <c r="A8" t="s">
        <v>3</v>
      </c>
      <c r="B8" t="s">
        <v>12</v>
      </c>
      <c r="D8" t="s">
        <v>148</v>
      </c>
      <c r="E8" t="s">
        <v>12</v>
      </c>
      <c r="G8" t="s">
        <v>21</v>
      </c>
      <c r="H8" t="s">
        <v>21</v>
      </c>
      <c r="K8" t="s">
        <v>58</v>
      </c>
      <c r="L8" t="s">
        <v>142</v>
      </c>
      <c r="M8" t="s">
        <v>151</v>
      </c>
    </row>
    <row r="9" spans="1:13" x14ac:dyDescent="0.2">
      <c r="A9" t="s">
        <v>6</v>
      </c>
      <c r="B9" t="s">
        <v>13</v>
      </c>
      <c r="L9" t="s">
        <v>150</v>
      </c>
      <c r="M9" t="s">
        <v>151</v>
      </c>
    </row>
    <row r="10" spans="1:13" x14ac:dyDescent="0.2">
      <c r="L10" t="s">
        <v>152</v>
      </c>
    </row>
    <row r="12" spans="1:13" x14ac:dyDescent="0.2">
      <c r="B12" t="s">
        <v>149</v>
      </c>
      <c r="L12" t="s">
        <v>154</v>
      </c>
    </row>
    <row r="13" spans="1:13" x14ac:dyDescent="0.2">
      <c r="L13" t="s">
        <v>155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Building_MI</vt:lpstr>
      <vt:lpstr>meta</vt:lpstr>
      <vt:lpstr>Building_MI_periodharmonised</vt:lpstr>
      <vt:lpstr>Building_MI_original_baseline</vt:lpstr>
      <vt:lpstr>MI_Info Case Studies</vt:lpstr>
      <vt:lpstr>Classifications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Mira Kopp</dc:creator>
  <cp:lastModifiedBy>Kopp</cp:lastModifiedBy>
  <dcterms:created xsi:type="dcterms:W3CDTF">2024-08-06T10:09:11Z</dcterms:created>
  <dcterms:modified xsi:type="dcterms:W3CDTF">2025-02-04T16:40:48Z</dcterms:modified>
</cp:coreProperties>
</file>