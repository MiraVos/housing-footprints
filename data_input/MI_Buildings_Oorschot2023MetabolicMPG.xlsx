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/Documents/IE/REAL UTOPIAN HOUSING/Post-GrowthHousingScenarios/Code/housing-footprints/data_input/"/>
    </mc:Choice>
  </mc:AlternateContent>
  <xr:revisionPtr revIDLastSave="0" documentId="13_ncr:1_{C46774F7-8DDB-B04E-886E-6F75251CEAC4}" xr6:coauthVersionLast="47" xr6:coauthVersionMax="47" xr10:uidLastSave="{00000000-0000-0000-0000-000000000000}"/>
  <bookViews>
    <workbookView xWindow="0" yWindow="500" windowWidth="25600" windowHeight="15500" xr2:uid="{CAA754D3-AC81-B346-A139-F28AD287D6E3}"/>
  </bookViews>
  <sheets>
    <sheet name="Building_MI" sheetId="6" r:id="rId1"/>
    <sheet name="meta" sheetId="7" r:id="rId2"/>
    <sheet name="Building_MI_periodharmonised" sheetId="5" r:id="rId3"/>
    <sheet name="Building_MI_original_baseline" sheetId="2" r:id="rId4"/>
    <sheet name="MI_Info Case Studies" sheetId="3" r:id="rId5"/>
    <sheet name="Classification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6" l="1"/>
  <c r="N20" i="6"/>
  <c r="M20" i="6"/>
  <c r="L20" i="6"/>
  <c r="K20" i="6"/>
  <c r="O19" i="6"/>
  <c r="N19" i="6"/>
  <c r="M19" i="6"/>
  <c r="L19" i="6"/>
  <c r="K19" i="6"/>
  <c r="C18" i="6" a="1"/>
  <c r="C18" i="6" s="1"/>
  <c r="C17" i="6" a="1"/>
  <c r="C17" i="6" s="1"/>
  <c r="O16" i="6"/>
  <c r="N16" i="6"/>
  <c r="M16" i="6"/>
  <c r="L16" i="6"/>
  <c r="K16" i="6"/>
  <c r="O15" i="6"/>
  <c r="N15" i="6"/>
  <c r="M15" i="6"/>
  <c r="L15" i="6"/>
  <c r="K15" i="6"/>
  <c r="O14" i="6"/>
  <c r="N14" i="6"/>
  <c r="M14" i="6"/>
  <c r="L14" i="6"/>
  <c r="K14" i="6"/>
  <c r="C13" i="6" a="1"/>
  <c r="C13" i="6" s="1"/>
  <c r="C12" i="6" a="1"/>
  <c r="C12" i="6"/>
  <c r="O11" i="6"/>
  <c r="N11" i="6"/>
  <c r="M11" i="6"/>
  <c r="L11" i="6"/>
  <c r="K11" i="6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6" i="5"/>
  <c r="O25" i="6"/>
  <c r="N25" i="6"/>
  <c r="M25" i="6"/>
  <c r="L25" i="6"/>
  <c r="K25" i="6"/>
  <c r="O24" i="6"/>
  <c r="N24" i="6"/>
  <c r="M24" i="6"/>
  <c r="L24" i="6"/>
  <c r="K24" i="6"/>
  <c r="C23" i="6" a="1"/>
  <c r="C23" i="6" s="1"/>
  <c r="C22" i="6" a="1"/>
  <c r="C22" i="6" s="1"/>
  <c r="O21" i="6"/>
  <c r="N21" i="6"/>
  <c r="M21" i="6"/>
  <c r="L21" i="6"/>
  <c r="K21" i="6"/>
  <c r="O10" i="6"/>
  <c r="N10" i="6"/>
  <c r="M10" i="6"/>
  <c r="L10" i="6"/>
  <c r="K10" i="6"/>
  <c r="O9" i="6"/>
  <c r="N9" i="6"/>
  <c r="M9" i="6"/>
  <c r="L9" i="6"/>
  <c r="K9" i="6"/>
  <c r="C8" i="6" a="1"/>
  <c r="C8" i="6" s="1"/>
  <c r="C7" i="6" a="1"/>
  <c r="C7" i="6" s="1"/>
  <c r="O6" i="6"/>
  <c r="N6" i="6"/>
  <c r="M6" i="6"/>
  <c r="L6" i="6"/>
  <c r="K6" i="6"/>
  <c r="C28" i="5" a="1"/>
  <c r="C28" i="5" s="1"/>
  <c r="C27" i="5" a="1"/>
  <c r="C27" i="5" s="1"/>
  <c r="C23" i="5" a="1"/>
  <c r="C23" i="5" s="1"/>
  <c r="C22" i="5" a="1"/>
  <c r="C22" i="5" s="1"/>
  <c r="C18" i="5" a="1"/>
  <c r="C18" i="5" s="1"/>
  <c r="C17" i="5" a="1"/>
  <c r="C17" i="5" s="1"/>
  <c r="C12" i="5" a="1"/>
  <c r="C12" i="5" s="1"/>
  <c r="C13" i="5" a="1"/>
  <c r="C13" i="5" s="1"/>
  <c r="C8" i="5" a="1"/>
  <c r="C8" i="5" s="1"/>
  <c r="K9" i="5"/>
  <c r="L9" i="5"/>
  <c r="M9" i="5"/>
  <c r="N9" i="5"/>
  <c r="O9" i="5"/>
  <c r="C7" i="5" a="1"/>
  <c r="C7" i="5" s="1"/>
  <c r="A57" i="3"/>
  <c r="A56" i="3"/>
  <c r="D50" i="3"/>
  <c r="B50" i="3"/>
  <c r="D49" i="3"/>
  <c r="B49" i="3"/>
  <c r="A49" i="3"/>
  <c r="E46" i="3"/>
  <c r="D46" i="3"/>
  <c r="B46" i="3"/>
  <c r="E44" i="3"/>
  <c r="B44" i="3"/>
  <c r="E41" i="3"/>
  <c r="B41" i="3"/>
  <c r="B38" i="3"/>
  <c r="B37" i="3"/>
  <c r="B36" i="3"/>
  <c r="B35" i="3"/>
  <c r="C31" i="3"/>
  <c r="C30" i="3"/>
  <c r="A30" i="3"/>
  <c r="AN38" i="5"/>
  <c r="O30" i="5"/>
  <c r="N30" i="5"/>
  <c r="M30" i="5"/>
  <c r="L30" i="5"/>
  <c r="K30" i="5"/>
  <c r="O29" i="5"/>
  <c r="N29" i="5"/>
  <c r="M29" i="5"/>
  <c r="L29" i="5"/>
  <c r="K29" i="5"/>
  <c r="O26" i="5"/>
  <c r="N26" i="5"/>
  <c r="M26" i="5"/>
  <c r="L26" i="5"/>
  <c r="K26" i="5"/>
  <c r="O25" i="5"/>
  <c r="N25" i="5"/>
  <c r="M25" i="5"/>
  <c r="L25" i="5"/>
  <c r="K25" i="5"/>
  <c r="O24" i="5"/>
  <c r="N24" i="5"/>
  <c r="M24" i="5"/>
  <c r="L24" i="5"/>
  <c r="K24" i="5"/>
  <c r="O21" i="5"/>
  <c r="N21" i="5"/>
  <c r="M21" i="5"/>
  <c r="L21" i="5"/>
  <c r="K21" i="5"/>
  <c r="O20" i="5"/>
  <c r="N20" i="5"/>
  <c r="M20" i="5"/>
  <c r="L20" i="5"/>
  <c r="K20" i="5"/>
  <c r="O19" i="5"/>
  <c r="N19" i="5"/>
  <c r="M19" i="5"/>
  <c r="L19" i="5"/>
  <c r="K19" i="5"/>
  <c r="O16" i="5"/>
  <c r="N16" i="5"/>
  <c r="M16" i="5"/>
  <c r="L16" i="5"/>
  <c r="K16" i="5"/>
  <c r="O15" i="5"/>
  <c r="N15" i="5"/>
  <c r="M15" i="5"/>
  <c r="L15" i="5"/>
  <c r="K15" i="5"/>
  <c r="O14" i="5"/>
  <c r="N14" i="5"/>
  <c r="M14" i="5"/>
  <c r="L14" i="5"/>
  <c r="K14" i="5"/>
  <c r="O11" i="5"/>
  <c r="N11" i="5"/>
  <c r="M11" i="5"/>
  <c r="L11" i="5"/>
  <c r="K11" i="5"/>
  <c r="O10" i="5"/>
  <c r="N10" i="5"/>
  <c r="M10" i="5"/>
  <c r="L10" i="5"/>
  <c r="K10" i="5"/>
  <c r="O6" i="5"/>
  <c r="N6" i="5"/>
  <c r="M6" i="5"/>
  <c r="L6" i="5"/>
  <c r="K6" i="5"/>
  <c r="K7" i="2" l="1"/>
  <c r="L7" i="2"/>
  <c r="M7" i="2"/>
  <c r="N7" i="2"/>
  <c r="O7" i="2"/>
  <c r="K8" i="2"/>
  <c r="L8" i="2"/>
  <c r="M8" i="2"/>
  <c r="N8" i="2"/>
  <c r="O8" i="2"/>
  <c r="K9" i="2"/>
  <c r="L9" i="2"/>
  <c r="M9" i="2"/>
  <c r="N9" i="2"/>
  <c r="O9" i="2"/>
  <c r="K10" i="2"/>
  <c r="L10" i="2"/>
  <c r="M10" i="2"/>
  <c r="N10" i="2"/>
  <c r="O10" i="2"/>
  <c r="K11" i="2"/>
  <c r="L11" i="2"/>
  <c r="M11" i="2"/>
  <c r="N11" i="2"/>
  <c r="O11" i="2"/>
  <c r="K12" i="2"/>
  <c r="L12" i="2"/>
  <c r="M12" i="2"/>
  <c r="N12" i="2"/>
  <c r="O12" i="2"/>
  <c r="K13" i="2"/>
  <c r="L13" i="2"/>
  <c r="M13" i="2"/>
  <c r="N13" i="2"/>
  <c r="O13" i="2"/>
  <c r="K14" i="2"/>
  <c r="L14" i="2"/>
  <c r="M14" i="2"/>
  <c r="N14" i="2"/>
  <c r="O14" i="2"/>
  <c r="K15" i="2"/>
  <c r="L15" i="2"/>
  <c r="M15" i="2"/>
  <c r="N15" i="2"/>
  <c r="O15" i="2"/>
  <c r="K16" i="2"/>
  <c r="L16" i="2"/>
  <c r="M16" i="2"/>
  <c r="N16" i="2"/>
  <c r="O16" i="2"/>
  <c r="K17" i="2"/>
  <c r="L17" i="2"/>
  <c r="M17" i="2"/>
  <c r="N17" i="2"/>
  <c r="O17" i="2"/>
  <c r="K18" i="2"/>
  <c r="L18" i="2"/>
  <c r="M18" i="2"/>
  <c r="N18" i="2"/>
  <c r="O18" i="2"/>
  <c r="K19" i="2"/>
  <c r="L19" i="2"/>
  <c r="M19" i="2"/>
  <c r="N19" i="2"/>
  <c r="O19" i="2"/>
  <c r="K20" i="2"/>
  <c r="L20" i="2"/>
  <c r="M20" i="2"/>
  <c r="N20" i="2"/>
  <c r="O20" i="2"/>
  <c r="K21" i="2"/>
  <c r="L21" i="2"/>
  <c r="M21" i="2"/>
  <c r="N21" i="2"/>
  <c r="O21" i="2"/>
  <c r="K22" i="2"/>
  <c r="L22" i="2"/>
  <c r="M22" i="2"/>
  <c r="N22" i="2"/>
  <c r="O22" i="2"/>
  <c r="K23" i="2"/>
  <c r="L23" i="2"/>
  <c r="M23" i="2"/>
  <c r="N23" i="2"/>
  <c r="O23" i="2"/>
  <c r="K24" i="2"/>
  <c r="L24" i="2"/>
  <c r="M24" i="2"/>
  <c r="N24" i="2"/>
  <c r="O24" i="2"/>
  <c r="K25" i="2"/>
  <c r="L25" i="2"/>
  <c r="M25" i="2"/>
  <c r="N25" i="2"/>
  <c r="O25" i="2"/>
  <c r="K26" i="2"/>
  <c r="L26" i="2"/>
  <c r="M26" i="2"/>
  <c r="N26" i="2"/>
  <c r="O26" i="2"/>
  <c r="K27" i="2"/>
  <c r="L27" i="2"/>
  <c r="M27" i="2"/>
  <c r="N27" i="2"/>
  <c r="O27" i="2"/>
  <c r="K28" i="2"/>
  <c r="L28" i="2"/>
  <c r="M28" i="2"/>
  <c r="N28" i="2"/>
  <c r="O28" i="2"/>
  <c r="K29" i="2"/>
  <c r="L29" i="2"/>
  <c r="M29" i="2"/>
  <c r="N29" i="2"/>
  <c r="O29" i="2"/>
  <c r="K30" i="2"/>
  <c r="L30" i="2"/>
  <c r="M30" i="2"/>
  <c r="N30" i="2"/>
  <c r="O30" i="2"/>
  <c r="L6" i="2"/>
  <c r="M6" i="2"/>
  <c r="N6" i="2"/>
  <c r="O6" i="2"/>
  <c r="K6" i="2"/>
  <c r="AN38" i="2"/>
  <c r="AB7" i="2" l="1"/>
  <c r="AB8" i="2"/>
  <c r="AB10" i="2"/>
  <c r="AB11" i="2"/>
  <c r="AB12" i="2"/>
  <c r="AB13" i="2"/>
  <c r="AB15" i="2"/>
  <c r="AB16" i="2"/>
  <c r="AB17" i="2"/>
  <c r="AB18" i="2"/>
  <c r="AB20" i="2"/>
  <c r="AB21" i="2"/>
  <c r="AB22" i="2"/>
  <c r="AB23" i="2"/>
  <c r="AB25" i="2"/>
  <c r="AB26" i="2"/>
  <c r="AB27" i="2"/>
  <c r="AB28" i="2"/>
  <c r="AB30" i="2"/>
  <c r="A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<sst xmlns="http://schemas.openxmlformats.org/spreadsheetml/2006/main" count="641" uniqueCount="166">
  <si>
    <t>Building type</t>
  </si>
  <si>
    <t>Oorschot et al. 2023</t>
  </si>
  <si>
    <t>2-1 kap 3 laags zadeldak</t>
  </si>
  <si>
    <t>appartementenblok tot 6 lagen</t>
  </si>
  <si>
    <t>seriematige woning 3 laags zadeldak</t>
  </si>
  <si>
    <t>vrijstaande woningvilla zadeldak</t>
  </si>
  <si>
    <t>winkel met appartementen</t>
  </si>
  <si>
    <t>woonzorgcentrum</t>
  </si>
  <si>
    <t>CBS Microdata</t>
  </si>
  <si>
    <t>Detached</t>
  </si>
  <si>
    <t>Semi-detached</t>
  </si>
  <si>
    <t>Terraced</t>
  </si>
  <si>
    <t>Apartment building</t>
  </si>
  <si>
    <t>Other</t>
  </si>
  <si>
    <t>Building age</t>
  </si>
  <si>
    <t>Oorschot et al.</t>
  </si>
  <si>
    <t>0-1945</t>
  </si>
  <si>
    <t>1945-1970</t>
  </si>
  <si>
    <t>1970-2000</t>
  </si>
  <si>
    <t>2000-2014</t>
  </si>
  <si>
    <t>2014-2018</t>
  </si>
  <si>
    <t>2018-2050</t>
  </si>
  <si>
    <t>kg/m2 UFA</t>
  </si>
  <si>
    <t>Aluminium (kg/m2)</t>
  </si>
  <si>
    <t>Baksteen (kg/m2)</t>
  </si>
  <si>
    <t>Beton (kg/m2)</t>
  </si>
  <si>
    <t>Bitumen (kg/m2)</t>
  </si>
  <si>
    <t>Electronica (kg/m2)</t>
  </si>
  <si>
    <t>Gips (kg/m2)</t>
  </si>
  <si>
    <t>Glas (kg/m2)</t>
  </si>
  <si>
    <t>Hout (kg/m2)</t>
  </si>
  <si>
    <t>Isolatie (kg/m2)</t>
  </si>
  <si>
    <t>Kalkzandsteen (kg/m2)</t>
  </si>
  <si>
    <t>Keramiek (kg/m2)</t>
  </si>
  <si>
    <t>Koper (kg/m2)</t>
  </si>
  <si>
    <t>Kunststoffen (kg/m2)</t>
  </si>
  <si>
    <t>Lijm en verf (kg/m2)</t>
  </si>
  <si>
    <t>Overige metalen (kg/m2)</t>
  </si>
  <si>
    <t>Papier (kg/m2)</t>
  </si>
  <si>
    <t>Staal &amp; IJzer (kg/m2)</t>
  </si>
  <si>
    <t>Steen (kg/m2)</t>
  </si>
  <si>
    <t>Zand (kg/m2)</t>
  </si>
  <si>
    <t>TOTAL</t>
  </si>
  <si>
    <t>Semi-Detached</t>
  </si>
  <si>
    <t>Mixed-Use</t>
  </si>
  <si>
    <t>Meta Data</t>
  </si>
  <si>
    <t>Source</t>
  </si>
  <si>
    <t>MPG</t>
  </si>
  <si>
    <t>Metabolic</t>
  </si>
  <si>
    <t>Mortel</t>
  </si>
  <si>
    <t>Overig biobased</t>
  </si>
  <si>
    <t>Empirical historic data</t>
  </si>
  <si>
    <t>Future model</t>
  </si>
  <si>
    <t>Baseline in Oorschot analysis</t>
  </si>
  <si>
    <t>Metabolic data analyis</t>
  </si>
  <si>
    <t>Metabolic_MI_scenarios_21102021</t>
  </si>
  <si>
    <t>historic_MI­_original</t>
  </si>
  <si>
    <t>file name</t>
  </si>
  <si>
    <t>2000-2018</t>
  </si>
  <si>
    <t>BONSAI</t>
  </si>
  <si>
    <t>M_WOOD</t>
  </si>
  <si>
    <t>M_SDCL</t>
  </si>
  <si>
    <t>M_STON</t>
  </si>
  <si>
    <t>M_PLAS</t>
  </si>
  <si>
    <t>M_RUBP</t>
  </si>
  <si>
    <t>M_GLAS</t>
  </si>
  <si>
    <t>M_BRIK</t>
  </si>
  <si>
    <t>M_ALUM</t>
  </si>
  <si>
    <t>M_LZTP</t>
  </si>
  <si>
    <t>M_COPP</t>
  </si>
  <si>
    <t>M_FABM</t>
  </si>
  <si>
    <t>M_STEL</t>
  </si>
  <si>
    <t>M_ONFM</t>
  </si>
  <si>
    <t>BONSAI_2nd</t>
  </si>
  <si>
    <t>M_CMNT + M_SDCL</t>
  </si>
  <si>
    <t>M_CMNT</t>
  </si>
  <si>
    <t>M_ELMA</t>
  </si>
  <si>
    <t>M_CRMC</t>
  </si>
  <si>
    <t>Gips</t>
  </si>
  <si>
    <t>Bitumen</t>
  </si>
  <si>
    <t>Mortar</t>
  </si>
  <si>
    <t>Brick</t>
  </si>
  <si>
    <t>Beton</t>
  </si>
  <si>
    <t>M_PAPE</t>
  </si>
  <si>
    <t>Paint</t>
  </si>
  <si>
    <t>M_CHEM</t>
  </si>
  <si>
    <t>BONSAI Waste</t>
  </si>
  <si>
    <t>M_wStel</t>
  </si>
  <si>
    <t>M_wGlas</t>
  </si>
  <si>
    <t>M_wPlas</t>
  </si>
  <si>
    <t>M_wCopp</t>
  </si>
  <si>
    <t>M_wAlum</t>
  </si>
  <si>
    <t>M_wWood</t>
  </si>
  <si>
    <t>M_wMix_nonferr</t>
  </si>
  <si>
    <t>M_wPape</t>
  </si>
  <si>
    <t>M_wDisc_eq</t>
  </si>
  <si>
    <t>M_wCons</t>
  </si>
  <si>
    <t>Materials for which information is needed:</t>
  </si>
  <si>
    <t>Aluminium</t>
  </si>
  <si>
    <t>Copper</t>
  </si>
  <si>
    <t>Bricks+Gips+Tiles+Mortar</t>
  </si>
  <si>
    <t>Total weight of</t>
  </si>
  <si>
    <t>Concrete</t>
  </si>
  <si>
    <t>Paint and Adhesives</t>
  </si>
  <si>
    <t>Electronics</t>
  </si>
  <si>
    <t>Steel and iron</t>
  </si>
  <si>
    <t>Other metals</t>
  </si>
  <si>
    <t>Paper</t>
  </si>
  <si>
    <t>Stone</t>
  </si>
  <si>
    <t>Sand</t>
  </si>
  <si>
    <t>Glass wool</t>
  </si>
  <si>
    <t>Expanded polystyrene</t>
  </si>
  <si>
    <t>Stone wool</t>
  </si>
  <si>
    <t>Polyurethanes</t>
  </si>
  <si>
    <t>Extruded polystyrene</t>
  </si>
  <si>
    <t>Biobased (wooden fibre board or flaxwool )</t>
  </si>
  <si>
    <t>Stock</t>
  </si>
  <si>
    <t>Construction</t>
  </si>
  <si>
    <t>Conventional</t>
  </si>
  <si>
    <t>Circular</t>
  </si>
  <si>
    <t>Biobased</t>
  </si>
  <si>
    <t>Stonewool</t>
  </si>
  <si>
    <t>Glaswoll</t>
  </si>
  <si>
    <t>M_ONMM</t>
  </si>
  <si>
    <t>EPS</t>
  </si>
  <si>
    <t>XPS</t>
  </si>
  <si>
    <t>PUR</t>
  </si>
  <si>
    <t>Plastics + EPS (expanded polystyrene) + XPS (extruded polystyrene) + PUR (polyurethane)</t>
  </si>
  <si>
    <t>Wood + other biobased materials including insulation</t>
  </si>
  <si>
    <t>Glass+Glass wool</t>
  </si>
  <si>
    <t xml:space="preserve">Stone wool </t>
  </si>
  <si>
    <t>Rock wool</t>
  </si>
  <si>
    <t>Cradle-to-gate</t>
  </si>
  <si>
    <t>Treatment</t>
  </si>
  <si>
    <t>Ökobaudat reference emission factors to match BONSAI sectors</t>
  </si>
  <si>
    <t>M_BITU</t>
  </si>
  <si>
    <t>Tiles</t>
  </si>
  <si>
    <t>TABULA</t>
  </si>
  <si>
    <t>1945-1965</t>
  </si>
  <si>
    <t>1965-1975</t>
  </si>
  <si>
    <t>1975-1992</t>
  </si>
  <si>
    <t>1992-2006</t>
  </si>
  <si>
    <t>2006-2015</t>
  </si>
  <si>
    <t>1945-1975</t>
  </si>
  <si>
    <t>Energy Merger</t>
  </si>
  <si>
    <t>Single family</t>
  </si>
  <si>
    <t>End-terraced</t>
  </si>
  <si>
    <t>Mid-terraced</t>
  </si>
  <si>
    <t>Multi-family building</t>
  </si>
  <si>
    <t>Group Semi-Detached and Hoekwoning (End-terraced)</t>
  </si>
  <si>
    <t>2015-2021</t>
  </si>
  <si>
    <t>2006-2021</t>
  </si>
  <si>
    <t>BENG since 2021</t>
  </si>
  <si>
    <t>1000-1965</t>
  </si>
  <si>
    <t>Group 2006-2021</t>
  </si>
  <si>
    <t>potentially group 1965-1992</t>
  </si>
  <si>
    <t>1946-1974</t>
  </si>
  <si>
    <t>1975-2005</t>
  </si>
  <si>
    <t>2006-2022</t>
  </si>
  <si>
    <t>row house (tussenwoning)</t>
  </si>
  <si>
    <t>detached (vrijstaand)</t>
  </si>
  <si>
    <t>multiple fam (meergezins)</t>
  </si>
  <si>
    <t>Unit</t>
  </si>
  <si>
    <t>BONSAI Waste Treatment</t>
  </si>
  <si>
    <t>pre 1945</t>
  </si>
  <si>
    <t>semi-detached (2-1 kap) / corner (hoek)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</si>
</sst>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venir Next LT Pro"/>
      <family val="2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9" fontId="0" fillId="0" borderId="1" xfId="1" applyFont="1" applyBorder="1"/>
    <xf numFmtId="9" fontId="0" fillId="0" borderId="2" xfId="1" applyFont="1" applyBorder="1"/>
    <xf numFmtId="9" fontId="0" fillId="0" borderId="3" xfId="1" applyFont="1" applyBorder="1"/>
    <xf numFmtId="0" fontId="0" fillId="0" borderId="6" xfId="0" applyBorder="1"/>
    <xf numFmtId="9" fontId="0" fillId="0" borderId="6" xfId="1" applyFont="1" applyBorder="1"/>
    <xf numFmtId="9" fontId="0" fillId="0" borderId="0" xfId="1" applyFont="1" applyBorder="1"/>
    <xf numFmtId="9" fontId="0" fillId="0" borderId="7" xfId="1" applyFont="1" applyBorder="1"/>
    <xf numFmtId="0" fontId="0" fillId="0" borderId="10" xfId="0" applyBorder="1"/>
    <xf numFmtId="9" fontId="0" fillId="0" borderId="10" xfId="1" applyFont="1" applyBorder="1"/>
    <xf numFmtId="9" fontId="0" fillId="0" borderId="11" xfId="1" applyFont="1" applyBorder="1"/>
    <xf numFmtId="9" fontId="0" fillId="0" borderId="12" xfId="1" applyFont="1" applyBorder="1"/>
    <xf numFmtId="0" fontId="4" fillId="0" borderId="0" xfId="0" applyFont="1"/>
    <xf numFmtId="0" fontId="5" fillId="0" borderId="6" xfId="0" applyFont="1" applyBorder="1"/>
    <xf numFmtId="0" fontId="6" fillId="0" borderId="0" xfId="0" applyFont="1"/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Building_MI!$C$5</c:f>
              <c:strCache>
                <c:ptCount val="1"/>
                <c:pt idx="0">
                  <c:v>Aluminium (kg/m2)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Building_MI!$C$6:$C$25</c:f>
              <c:numCache>
                <c:formatCode>0.00</c:formatCode>
                <c:ptCount val="20"/>
                <c:pt idx="0">
                  <c:v>0.1123081338028169</c:v>
                </c:pt>
                <c:pt idx="1">
                  <c:v>0.20493010845070422</c:v>
                </c:pt>
                <c:pt idx="2">
                  <c:v>0.19397868591549297</c:v>
                </c:pt>
                <c:pt idx="3">
                  <c:v>0.19397868591549297</c:v>
                </c:pt>
                <c:pt idx="4">
                  <c:v>1.8059701492537312</c:v>
                </c:pt>
                <c:pt idx="5">
                  <c:v>0.18886813098591554</c:v>
                </c:pt>
                <c:pt idx="6">
                  <c:v>0.28178136220657279</c:v>
                </c:pt>
                <c:pt idx="7">
                  <c:v>0.25258702535211269</c:v>
                </c:pt>
                <c:pt idx="8">
                  <c:v>0.25258702535211269</c:v>
                </c:pt>
                <c:pt idx="9">
                  <c:v>1.8059701492537312</c:v>
                </c:pt>
                <c:pt idx="10">
                  <c:v>0.37854946376811599</c:v>
                </c:pt>
                <c:pt idx="11">
                  <c:v>0.45919950893719808</c:v>
                </c:pt>
                <c:pt idx="12">
                  <c:v>0.37808582173913052</c:v>
                </c:pt>
                <c:pt idx="13">
                  <c:v>0.37808582173913047</c:v>
                </c:pt>
                <c:pt idx="14">
                  <c:v>1.1980676328502415</c:v>
                </c:pt>
                <c:pt idx="15">
                  <c:v>0.20221829725790513</c:v>
                </c:pt>
                <c:pt idx="16">
                  <c:v>0.30659409121376718</c:v>
                </c:pt>
                <c:pt idx="17">
                  <c:v>0.78220971588438193</c:v>
                </c:pt>
                <c:pt idx="18">
                  <c:v>0.78220971588438182</c:v>
                </c:pt>
                <c:pt idx="19">
                  <c:v>1.5489130434782608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2-1C4F-A9A6-954A849335B9}"/>
            </c:ext>
          </c:extLst>
        </c:ser>
        <c:ser>
          <c:idx val="1"/>
          <c:order val="1"/>
          <c:tx>
            <c:strRef>
              <c:f>Building_MI!$D$5</c:f>
              <c:strCache>
                <c:ptCount val="1"/>
                <c:pt idx="0">
                  <c:v>Baksteen (kg/m2)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Building_MI!$D$6:$D$25</c:f>
              <c:numCache>
                <c:formatCode>0.00</c:formatCode>
                <c:ptCount val="20"/>
                <c:pt idx="0">
                  <c:v>290.13365908450703</c:v>
                </c:pt>
                <c:pt idx="1">
                  <c:v>261.12029317605635</c:v>
                </c:pt>
                <c:pt idx="2">
                  <c:v>116.05346363380283</c:v>
                </c:pt>
                <c:pt idx="3">
                  <c:v>116.05346363380282</c:v>
                </c:pt>
                <c:pt idx="4">
                  <c:v>218.41791044776119</c:v>
                </c:pt>
                <c:pt idx="5">
                  <c:v>322.16941545070426</c:v>
                </c:pt>
                <c:pt idx="6">
                  <c:v>289.95247390610336</c:v>
                </c:pt>
                <c:pt idx="7">
                  <c:v>128.86776618309858</c:v>
                </c:pt>
                <c:pt idx="8">
                  <c:v>128.86776618309858</c:v>
                </c:pt>
                <c:pt idx="9">
                  <c:v>218.41791044776119</c:v>
                </c:pt>
                <c:pt idx="10">
                  <c:v>162.86606424637682</c:v>
                </c:pt>
                <c:pt idx="11">
                  <c:v>146.57945782125606</c:v>
                </c:pt>
                <c:pt idx="12">
                  <c:v>65.146425695652184</c:v>
                </c:pt>
                <c:pt idx="13">
                  <c:v>65.146425695652184</c:v>
                </c:pt>
                <c:pt idx="14">
                  <c:v>179.96618357487924</c:v>
                </c:pt>
                <c:pt idx="15">
                  <c:v>169.93780449011857</c:v>
                </c:pt>
                <c:pt idx="16">
                  <c:v>150.70739824798255</c:v>
                </c:pt>
                <c:pt idx="17">
                  <c:v>54.555367037302368</c:v>
                </c:pt>
                <c:pt idx="18">
                  <c:v>54.555367037302368</c:v>
                </c:pt>
                <c:pt idx="19">
                  <c:v>237.06521739130437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2-1C4F-A9A6-954A849335B9}"/>
            </c:ext>
          </c:extLst>
        </c:ser>
        <c:ser>
          <c:idx val="2"/>
          <c:order val="2"/>
          <c:tx>
            <c:strRef>
              <c:f>Building_MI!$E$5</c:f>
              <c:strCache>
                <c:ptCount val="1"/>
                <c:pt idx="0">
                  <c:v>Beton (kg/m2)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Building_MI!$E$6:$E$25</c:f>
              <c:numCache>
                <c:formatCode>0.00</c:formatCode>
                <c:ptCount val="20"/>
                <c:pt idx="0">
                  <c:v>1376.7648660647862</c:v>
                </c:pt>
                <c:pt idx="1">
                  <c:v>1365.0111757302793</c:v>
                </c:pt>
                <c:pt idx="2">
                  <c:v>1310.8140770859131</c:v>
                </c:pt>
                <c:pt idx="3">
                  <c:v>1310.8140770859129</c:v>
                </c:pt>
                <c:pt idx="4">
                  <c:v>1190.3880597014925</c:v>
                </c:pt>
                <c:pt idx="5">
                  <c:v>1388.6241446239421</c:v>
                </c:pt>
                <c:pt idx="6">
                  <c:v>1521.8742804915478</c:v>
                </c:pt>
                <c:pt idx="7">
                  <c:v>1589.920186801407</c:v>
                </c:pt>
                <c:pt idx="8">
                  <c:v>1589.920186801407</c:v>
                </c:pt>
                <c:pt idx="9">
                  <c:v>1190.3880597014925</c:v>
                </c:pt>
                <c:pt idx="10">
                  <c:v>1144.3172885652173</c:v>
                </c:pt>
                <c:pt idx="11">
                  <c:v>1238.7900545992754</c:v>
                </c:pt>
                <c:pt idx="12">
                  <c:v>1304.4812254217393</c:v>
                </c:pt>
                <c:pt idx="13">
                  <c:v>1304.4812254217391</c:v>
                </c:pt>
                <c:pt idx="14">
                  <c:v>1662.6231884057972</c:v>
                </c:pt>
                <c:pt idx="15">
                  <c:v>1421.6139480039028</c:v>
                </c:pt>
                <c:pt idx="16">
                  <c:v>1514.6210843366187</c:v>
                </c:pt>
                <c:pt idx="17">
                  <c:v>1526.4957120451579</c:v>
                </c:pt>
                <c:pt idx="18">
                  <c:v>1526.4957120451579</c:v>
                </c:pt>
                <c:pt idx="19">
                  <c:v>1107.9076086956522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2-1C4F-A9A6-954A849335B9}"/>
            </c:ext>
          </c:extLst>
        </c:ser>
        <c:ser>
          <c:idx val="3"/>
          <c:order val="3"/>
          <c:tx>
            <c:strRef>
              <c:f>Building_MI!$F$5</c:f>
              <c:strCache>
                <c:ptCount val="1"/>
                <c:pt idx="0">
                  <c:v>Bitumen (kg/m2)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Building_MI!$F$6:$F$25</c:f>
              <c:numCache>
                <c:formatCode>0.00</c:formatCode>
                <c:ptCount val="20"/>
                <c:pt idx="0">
                  <c:v>0</c:v>
                </c:pt>
                <c:pt idx="1">
                  <c:v>3.8644565727699531E-2</c:v>
                </c:pt>
                <c:pt idx="2">
                  <c:v>0.23186739436619719</c:v>
                </c:pt>
                <c:pt idx="3">
                  <c:v>0.23186739436619719</c:v>
                </c:pt>
                <c:pt idx="4">
                  <c:v>0.10447761194029852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0.10447761194029852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0.64251207729468607</c:v>
                </c:pt>
                <c:pt idx="15">
                  <c:v>0</c:v>
                </c:pt>
                <c:pt idx="16">
                  <c:v>0.13764470016057295</c:v>
                </c:pt>
                <c:pt idx="17">
                  <c:v>0.82586820096343772</c:v>
                </c:pt>
                <c:pt idx="18">
                  <c:v>0.82586820096343772</c:v>
                </c:pt>
                <c:pt idx="19">
                  <c:v>0.31521739130434784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B2-1C4F-A9A6-954A849335B9}"/>
            </c:ext>
          </c:extLst>
        </c:ser>
        <c:ser>
          <c:idx val="4"/>
          <c:order val="4"/>
          <c:tx>
            <c:strRef>
              <c:f>Building_MI!$G$5</c:f>
              <c:strCache>
                <c:ptCount val="1"/>
                <c:pt idx="0">
                  <c:v>Electronica (kg/m2)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Building_MI!$G$6:$G$25</c:f>
              <c:numCache>
                <c:formatCode>0.00</c:formatCode>
                <c:ptCount val="20"/>
                <c:pt idx="0">
                  <c:v>1.4084507042253521E-2</c:v>
                </c:pt>
                <c:pt idx="1">
                  <c:v>1.4084507042253523E-2</c:v>
                </c:pt>
                <c:pt idx="2">
                  <c:v>1.4084507042253523E-2</c:v>
                </c:pt>
                <c:pt idx="3">
                  <c:v>1.4084507042253521E-2</c:v>
                </c:pt>
                <c:pt idx="4">
                  <c:v>0.62686567164179097</c:v>
                </c:pt>
                <c:pt idx="5">
                  <c:v>7.0422535211267607E-3</c:v>
                </c:pt>
                <c:pt idx="6">
                  <c:v>7.0422535211267616E-3</c:v>
                </c:pt>
                <c:pt idx="7">
                  <c:v>7.0422535211267616E-3</c:v>
                </c:pt>
                <c:pt idx="8">
                  <c:v>7.0422535211267607E-3</c:v>
                </c:pt>
                <c:pt idx="9">
                  <c:v>0.62686567164179097</c:v>
                </c:pt>
                <c:pt idx="10">
                  <c:v>1.8924160869565217E-2</c:v>
                </c:pt>
                <c:pt idx="11">
                  <c:v>1.8924160869565217E-2</c:v>
                </c:pt>
                <c:pt idx="12">
                  <c:v>1.8924160869565217E-2</c:v>
                </c:pt>
                <c:pt idx="13">
                  <c:v>1.8924160869565217E-2</c:v>
                </c:pt>
                <c:pt idx="14">
                  <c:v>0.89855072463768126</c:v>
                </c:pt>
                <c:pt idx="15">
                  <c:v>3.2032279496047429E-2</c:v>
                </c:pt>
                <c:pt idx="16">
                  <c:v>3.2032279496047429E-2</c:v>
                </c:pt>
                <c:pt idx="17">
                  <c:v>3.2032279496047429E-2</c:v>
                </c:pt>
                <c:pt idx="18">
                  <c:v>3.2032279496047429E-2</c:v>
                </c:pt>
                <c:pt idx="19">
                  <c:v>1.2880434782608696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2-1C4F-A9A6-954A849335B9}"/>
            </c:ext>
          </c:extLst>
        </c:ser>
        <c:ser>
          <c:idx val="5"/>
          <c:order val="5"/>
          <c:tx>
            <c:strRef>
              <c:f>Building_MI!$H$5</c:f>
              <c:strCache>
                <c:ptCount val="1"/>
                <c:pt idx="0">
                  <c:v>Gips (kg/m2)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Building_MI!$H$6:$H$25</c:f>
              <c:numCache>
                <c:formatCode>0.00</c:formatCode>
                <c:ptCount val="20"/>
                <c:pt idx="0">
                  <c:v>9.3222154816901419</c:v>
                </c:pt>
                <c:pt idx="1">
                  <c:v>31.41036341126761</c:v>
                </c:pt>
                <c:pt idx="2">
                  <c:v>31.41036341126761</c:v>
                </c:pt>
                <c:pt idx="3">
                  <c:v>31.41036341126761</c:v>
                </c:pt>
                <c:pt idx="4">
                  <c:v>15.820895522388058</c:v>
                </c:pt>
                <c:pt idx="5">
                  <c:v>10.021588338028154</c:v>
                </c:pt>
                <c:pt idx="6">
                  <c:v>46.677546563380268</c:v>
                </c:pt>
                <c:pt idx="7">
                  <c:v>46.677546563380268</c:v>
                </c:pt>
                <c:pt idx="8">
                  <c:v>46.677546563380261</c:v>
                </c:pt>
                <c:pt idx="9">
                  <c:v>15.820895522388058</c:v>
                </c:pt>
                <c:pt idx="10">
                  <c:v>7.6938449159420292</c:v>
                </c:pt>
                <c:pt idx="11">
                  <c:v>16.722916946376813</c:v>
                </c:pt>
                <c:pt idx="12">
                  <c:v>16.722916946376813</c:v>
                </c:pt>
                <c:pt idx="13">
                  <c:v>16.722916946376813</c:v>
                </c:pt>
                <c:pt idx="14">
                  <c:v>13.54106280193237</c:v>
                </c:pt>
                <c:pt idx="15">
                  <c:v>13.986688577099798</c:v>
                </c:pt>
                <c:pt idx="16">
                  <c:v>13.822343876152829</c:v>
                </c:pt>
                <c:pt idx="17">
                  <c:v>13.000620371417984</c:v>
                </c:pt>
                <c:pt idx="18">
                  <c:v>13.000620371417984</c:v>
                </c:pt>
                <c:pt idx="19">
                  <c:v>30.874999999999996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B2-1C4F-A9A6-954A849335B9}"/>
            </c:ext>
          </c:extLst>
        </c:ser>
        <c:ser>
          <c:idx val="6"/>
          <c:order val="6"/>
          <c:tx>
            <c:strRef>
              <c:f>Building_MI!$I$5</c:f>
              <c:strCache>
                <c:ptCount val="1"/>
                <c:pt idx="0">
                  <c:v>Glas (kg/m2)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Building_MI!$I$6:$I$25</c:f>
              <c:numCache>
                <c:formatCode>0.00</c:formatCode>
                <c:ptCount val="20"/>
                <c:pt idx="0">
                  <c:v>0</c:v>
                </c:pt>
                <c:pt idx="1">
                  <c:v>3.7677497319248827</c:v>
                </c:pt>
                <c:pt idx="2">
                  <c:v>6.4589995394366202</c:v>
                </c:pt>
                <c:pt idx="3">
                  <c:v>6.4589995394366193</c:v>
                </c:pt>
                <c:pt idx="4">
                  <c:v>11.134328358208954</c:v>
                </c:pt>
                <c:pt idx="5">
                  <c:v>0.18055071267605635</c:v>
                </c:pt>
                <c:pt idx="6">
                  <c:v>2.8769816441314555</c:v>
                </c:pt>
                <c:pt idx="7">
                  <c:v>4.8030037380281687</c:v>
                </c:pt>
                <c:pt idx="8">
                  <c:v>4.8030037380281687</c:v>
                </c:pt>
                <c:pt idx="9">
                  <c:v>11.134328358208954</c:v>
                </c:pt>
                <c:pt idx="10">
                  <c:v>0.23043419420289715</c:v>
                </c:pt>
                <c:pt idx="11">
                  <c:v>2.6610480983091773</c:v>
                </c:pt>
                <c:pt idx="12">
                  <c:v>4.3972008869565204</c:v>
                </c:pt>
                <c:pt idx="13">
                  <c:v>4.3972008869565204</c:v>
                </c:pt>
                <c:pt idx="14">
                  <c:v>7.5458937198067639</c:v>
                </c:pt>
                <c:pt idx="15">
                  <c:v>0.23152289397233203</c:v>
                </c:pt>
                <c:pt idx="16">
                  <c:v>2.9457613399785858</c:v>
                </c:pt>
                <c:pt idx="17">
                  <c:v>4.8845030879199598</c:v>
                </c:pt>
                <c:pt idx="18">
                  <c:v>4.8845030879199598</c:v>
                </c:pt>
                <c:pt idx="19">
                  <c:v>5.8913043478260869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2-1C4F-A9A6-954A849335B9}"/>
            </c:ext>
          </c:extLst>
        </c:ser>
        <c:ser>
          <c:idx val="7"/>
          <c:order val="7"/>
          <c:tx>
            <c:strRef>
              <c:f>Building_MI!$J$5</c:f>
              <c:strCache>
                <c:ptCount val="1"/>
                <c:pt idx="0">
                  <c:v>Hout (kg/m2)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Building_MI!$J$6:$J$25</c:f>
              <c:numCache>
                <c:formatCode>0.00</c:formatCode>
                <c:ptCount val="20"/>
                <c:pt idx="0">
                  <c:v>181.00586869013947</c:v>
                </c:pt>
                <c:pt idx="1">
                  <c:v>86.203568756572793</c:v>
                </c:pt>
                <c:pt idx="2">
                  <c:v>26.884628526760565</c:v>
                </c:pt>
                <c:pt idx="3">
                  <c:v>35.690020400000002</c:v>
                </c:pt>
                <c:pt idx="4">
                  <c:v>34.328358208955223</c:v>
                </c:pt>
                <c:pt idx="5">
                  <c:v>88.17859265915493</c:v>
                </c:pt>
                <c:pt idx="6">
                  <c:v>48.554709943896711</c:v>
                </c:pt>
                <c:pt idx="7">
                  <c:v>30.892644531220654</c:v>
                </c:pt>
                <c:pt idx="8">
                  <c:v>42.414406792957749</c:v>
                </c:pt>
                <c:pt idx="9">
                  <c:v>34.328358208955223</c:v>
                </c:pt>
                <c:pt idx="10">
                  <c:v>64.768413495652169</c:v>
                </c:pt>
                <c:pt idx="11">
                  <c:v>37.434904464734288</c:v>
                </c:pt>
                <c:pt idx="12">
                  <c:v>22.392486746859905</c:v>
                </c:pt>
                <c:pt idx="13">
                  <c:v>32.834914582608697</c:v>
                </c:pt>
                <c:pt idx="14">
                  <c:v>24.90338164251208</c:v>
                </c:pt>
                <c:pt idx="15">
                  <c:v>33.943422969713424</c:v>
                </c:pt>
                <c:pt idx="16">
                  <c:v>21.144124247640807</c:v>
                </c:pt>
                <c:pt idx="17">
                  <c:v>12.026846123756583</c:v>
                </c:pt>
                <c:pt idx="18">
                  <c:v>13.125159888908099</c:v>
                </c:pt>
                <c:pt idx="19">
                  <c:v>2.206521739130435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B2-1C4F-A9A6-954A849335B9}"/>
            </c:ext>
          </c:extLst>
        </c:ser>
        <c:ser>
          <c:idx val="8"/>
          <c:order val="8"/>
          <c:tx>
            <c:strRef>
              <c:f>Building_MI!$AG$5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Building_MI!$AG$6:$AG$25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8-74B2-1C4F-A9A6-954A849335B9}"/>
            </c:ext>
          </c:extLst>
        </c:ser>
        <c:ser>
          <c:idx val="9"/>
          <c:order val="9"/>
          <c:tx>
            <c:strRef>
              <c:f>Building_MI!$P$5</c:f>
              <c:strCache>
                <c:ptCount val="1"/>
                <c:pt idx="0">
                  <c:v>Kalkzandsteen (kg/m2)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Building_MI!$P$6:$P$25</c:f>
              <c:numCache>
                <c:formatCode>0.00</c:formatCode>
                <c:ptCount val="20"/>
                <c:pt idx="0">
                  <c:v>307.73567974647892</c:v>
                </c:pt>
                <c:pt idx="1">
                  <c:v>365.67702160328599</c:v>
                </c:pt>
                <c:pt idx="2">
                  <c:v>655.38373088732124</c:v>
                </c:pt>
                <c:pt idx="3">
                  <c:v>655.38373088732124</c:v>
                </c:pt>
                <c:pt idx="4">
                  <c:v>0</c:v>
                </c:pt>
                <c:pt idx="5">
                  <c:v>327.72170992957751</c:v>
                </c:pt>
                <c:pt idx="6">
                  <c:v>394.5217951760564</c:v>
                </c:pt>
                <c:pt idx="7">
                  <c:v>728.52222140845072</c:v>
                </c:pt>
                <c:pt idx="8">
                  <c:v>728.52222140845072</c:v>
                </c:pt>
                <c:pt idx="9">
                  <c:v>0</c:v>
                </c:pt>
                <c:pt idx="10">
                  <c:v>263.36174559420294</c:v>
                </c:pt>
                <c:pt idx="11">
                  <c:v>290.68926591787442</c:v>
                </c:pt>
                <c:pt idx="12">
                  <c:v>427.32686753623187</c:v>
                </c:pt>
                <c:pt idx="13">
                  <c:v>427.32686753623187</c:v>
                </c:pt>
                <c:pt idx="14">
                  <c:v>0</c:v>
                </c:pt>
                <c:pt idx="15">
                  <c:v>224.76978087598758</c:v>
                </c:pt>
                <c:pt idx="16">
                  <c:v>241.4403946610667</c:v>
                </c:pt>
                <c:pt idx="17">
                  <c:v>324.79346358646245</c:v>
                </c:pt>
                <c:pt idx="18">
                  <c:v>324.79346358646245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B2-1C4F-A9A6-954A849335B9}"/>
            </c:ext>
          </c:extLst>
        </c:ser>
        <c:ser>
          <c:idx val="10"/>
          <c:order val="10"/>
          <c:tx>
            <c:strRef>
              <c:f>Building_MI!$Q$5</c:f>
              <c:strCache>
                <c:ptCount val="1"/>
                <c:pt idx="0">
                  <c:v>Keramiek (kg/m2)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Building_MI!$Q$6:$Q$25</c:f>
              <c:numCache>
                <c:formatCode>0.00</c:formatCode>
                <c:ptCount val="20"/>
                <c:pt idx="0">
                  <c:v>33.736131078873242</c:v>
                </c:pt>
                <c:pt idx="1">
                  <c:v>28.504742747887327</c:v>
                </c:pt>
                <c:pt idx="2">
                  <c:v>2.3478010929577464</c:v>
                </c:pt>
                <c:pt idx="3">
                  <c:v>2.3478010929577464</c:v>
                </c:pt>
                <c:pt idx="4">
                  <c:v>5.3582089552238799</c:v>
                </c:pt>
                <c:pt idx="5">
                  <c:v>3.3205046464788595</c:v>
                </c:pt>
                <c:pt idx="6">
                  <c:v>3.3205046464788595</c:v>
                </c:pt>
                <c:pt idx="7">
                  <c:v>3.3205046464788595</c:v>
                </c:pt>
                <c:pt idx="8">
                  <c:v>3.3205046464788595</c:v>
                </c:pt>
                <c:pt idx="9">
                  <c:v>5.3582089552238799</c:v>
                </c:pt>
                <c:pt idx="10">
                  <c:v>2.7625526971014498</c:v>
                </c:pt>
                <c:pt idx="11">
                  <c:v>2.7625526971014502</c:v>
                </c:pt>
                <c:pt idx="12">
                  <c:v>2.7625526971014502</c:v>
                </c:pt>
                <c:pt idx="13">
                  <c:v>2.7625526971014498</c:v>
                </c:pt>
                <c:pt idx="14">
                  <c:v>6.57487922705314</c:v>
                </c:pt>
                <c:pt idx="15">
                  <c:v>12.270727132905126</c:v>
                </c:pt>
                <c:pt idx="16">
                  <c:v>11.175228011281281</c:v>
                </c:pt>
                <c:pt idx="17">
                  <c:v>5.6977324031620453</c:v>
                </c:pt>
                <c:pt idx="18">
                  <c:v>5.6977324031620444</c:v>
                </c:pt>
                <c:pt idx="19">
                  <c:v>12.581521739130434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B2-1C4F-A9A6-954A849335B9}"/>
            </c:ext>
          </c:extLst>
        </c:ser>
        <c:ser>
          <c:idx val="11"/>
          <c:order val="11"/>
          <c:tx>
            <c:strRef>
              <c:f>Building_MI!$R$5</c:f>
              <c:strCache>
                <c:ptCount val="1"/>
                <c:pt idx="0">
                  <c:v>Koper (kg/m2)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Building_MI!$R$6:$R$25</c:f>
              <c:numCache>
                <c:formatCode>0.00</c:formatCode>
                <c:ptCount val="20"/>
                <c:pt idx="0">
                  <c:v>0.91964413521126764</c:v>
                </c:pt>
                <c:pt idx="1">
                  <c:v>0.91964413521126764</c:v>
                </c:pt>
                <c:pt idx="2">
                  <c:v>0.91964413521126764</c:v>
                </c:pt>
                <c:pt idx="3">
                  <c:v>0.91964413521126764</c:v>
                </c:pt>
                <c:pt idx="4">
                  <c:v>0.47761194029850745</c:v>
                </c:pt>
                <c:pt idx="5">
                  <c:v>0.84813828732394358</c:v>
                </c:pt>
                <c:pt idx="6">
                  <c:v>0.84813828732394358</c:v>
                </c:pt>
                <c:pt idx="7">
                  <c:v>0.84813828732394358</c:v>
                </c:pt>
                <c:pt idx="8">
                  <c:v>0.84813828732394358</c:v>
                </c:pt>
                <c:pt idx="9">
                  <c:v>0.47761194029850745</c:v>
                </c:pt>
                <c:pt idx="10">
                  <c:v>0.35149360434782612</c:v>
                </c:pt>
                <c:pt idx="11">
                  <c:v>0.35149360434782612</c:v>
                </c:pt>
                <c:pt idx="12">
                  <c:v>0.35149360434782612</c:v>
                </c:pt>
                <c:pt idx="13">
                  <c:v>0.35149360434782612</c:v>
                </c:pt>
                <c:pt idx="14">
                  <c:v>0.58454106280193241</c:v>
                </c:pt>
                <c:pt idx="15">
                  <c:v>0.30749103120059285</c:v>
                </c:pt>
                <c:pt idx="16">
                  <c:v>0.30764778053771408</c:v>
                </c:pt>
                <c:pt idx="17">
                  <c:v>0.30850990193922923</c:v>
                </c:pt>
                <c:pt idx="18">
                  <c:v>0.30890177551877468</c:v>
                </c:pt>
                <c:pt idx="19">
                  <c:v>0.37499999999999994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B2-1C4F-A9A6-954A849335B9}"/>
            </c:ext>
          </c:extLst>
        </c:ser>
        <c:ser>
          <c:idx val="12"/>
          <c:order val="12"/>
          <c:tx>
            <c:strRef>
              <c:f>Building_MI!$S$5</c:f>
              <c:strCache>
                <c:ptCount val="1"/>
                <c:pt idx="0">
                  <c:v>Kunststoffen (kg/m2)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Building_MI!$S$6:$S$25</c:f>
              <c:numCache>
                <c:formatCode>0.00</c:formatCode>
                <c:ptCount val="20"/>
                <c:pt idx="0">
                  <c:v>1.3289144064788729</c:v>
                </c:pt>
                <c:pt idx="1">
                  <c:v>1.612420152957746</c:v>
                </c:pt>
                <c:pt idx="2">
                  <c:v>1.7965501529577459</c:v>
                </c:pt>
                <c:pt idx="3">
                  <c:v>1.7965501529577459</c:v>
                </c:pt>
                <c:pt idx="4">
                  <c:v>2.4029850746268657</c:v>
                </c:pt>
                <c:pt idx="5">
                  <c:v>1.2349096312676042</c:v>
                </c:pt>
                <c:pt idx="6">
                  <c:v>1.5919649113145524</c:v>
                </c:pt>
                <c:pt idx="7">
                  <c:v>1.8044713045070404</c:v>
                </c:pt>
                <c:pt idx="8">
                  <c:v>1.8044713045070404</c:v>
                </c:pt>
                <c:pt idx="9">
                  <c:v>2.4029850746268657</c:v>
                </c:pt>
                <c:pt idx="10">
                  <c:v>0.81826993999999875</c:v>
                </c:pt>
                <c:pt idx="11">
                  <c:v>1.2663894665700473</c:v>
                </c:pt>
                <c:pt idx="12">
                  <c:v>1.8714109544927529</c:v>
                </c:pt>
                <c:pt idx="13">
                  <c:v>1.8714109544927526</c:v>
                </c:pt>
                <c:pt idx="14">
                  <c:v>2.8743961352657008</c:v>
                </c:pt>
                <c:pt idx="15">
                  <c:v>0.99483573656126456</c:v>
                </c:pt>
                <c:pt idx="16">
                  <c:v>1.3383939973608361</c:v>
                </c:pt>
                <c:pt idx="17">
                  <c:v>1.8858516190917312</c:v>
                </c:pt>
                <c:pt idx="18">
                  <c:v>1.8877069491106706</c:v>
                </c:pt>
                <c:pt idx="19">
                  <c:v>2.5054347826086953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B2-1C4F-A9A6-954A849335B9}"/>
            </c:ext>
          </c:extLst>
        </c:ser>
        <c:ser>
          <c:idx val="13"/>
          <c:order val="13"/>
          <c:tx>
            <c:strRef>
              <c:f>Building_MI!$T$5</c:f>
              <c:strCache>
                <c:ptCount val="1"/>
                <c:pt idx="0">
                  <c:v>Lijm en verf (kg/m2)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Building_MI!$T$6:$T$25</c:f>
              <c:numCache>
                <c:formatCode>0.00</c:formatCode>
                <c:ptCount val="20"/>
                <c:pt idx="0">
                  <c:v>1.5227198140845066</c:v>
                </c:pt>
                <c:pt idx="1">
                  <c:v>1.501396371596244</c:v>
                </c:pt>
                <c:pt idx="2">
                  <c:v>1.4857841110328636</c:v>
                </c:pt>
                <c:pt idx="3">
                  <c:v>1.5506930957746479</c:v>
                </c:pt>
                <c:pt idx="4">
                  <c:v>0.9253731343283581</c:v>
                </c:pt>
                <c:pt idx="5">
                  <c:v>1.6288591619718307</c:v>
                </c:pt>
                <c:pt idx="6">
                  <c:v>1.7222954333333333</c:v>
                </c:pt>
                <c:pt idx="7">
                  <c:v>1.7513309887323942</c:v>
                </c:pt>
                <c:pt idx="8">
                  <c:v>1.8392071225352109</c:v>
                </c:pt>
                <c:pt idx="9">
                  <c:v>0.9253731343283581</c:v>
                </c:pt>
                <c:pt idx="10">
                  <c:v>1.3552014608695648</c:v>
                </c:pt>
                <c:pt idx="11">
                  <c:v>1.4637034560386468</c:v>
                </c:pt>
                <c:pt idx="12">
                  <c:v>1.4762390594202894</c:v>
                </c:pt>
                <c:pt idx="13">
                  <c:v>1.5566010376811577</c:v>
                </c:pt>
                <c:pt idx="14">
                  <c:v>0.7874396135265701</c:v>
                </c:pt>
                <c:pt idx="15">
                  <c:v>2.0525547885968374</c:v>
                </c:pt>
                <c:pt idx="16">
                  <c:v>5.6162251376457508</c:v>
                </c:pt>
                <c:pt idx="17">
                  <c:v>5.6058939766856062</c:v>
                </c:pt>
                <c:pt idx="18">
                  <c:v>5.554137688621541</c:v>
                </c:pt>
                <c:pt idx="19">
                  <c:v>0.99456521739130421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B2-1C4F-A9A6-954A849335B9}"/>
            </c:ext>
          </c:extLst>
        </c:ser>
        <c:ser>
          <c:idx val="14"/>
          <c:order val="14"/>
          <c:tx>
            <c:strRef>
              <c:f>Building_MI!$U$5</c:f>
              <c:strCache>
                <c:ptCount val="1"/>
                <c:pt idx="0">
                  <c:v>Mortel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Building_MI!$U$6:$U$25</c:f>
              <c:numCache>
                <c:formatCode>0.00</c:formatCode>
                <c:ptCount val="20"/>
                <c:pt idx="1">
                  <c:v>0</c:v>
                </c:pt>
                <c:pt idx="2">
                  <c:v>0</c:v>
                </c:pt>
                <c:pt idx="4">
                  <c:v>82.910447761194021</c:v>
                </c:pt>
                <c:pt idx="6">
                  <c:v>0</c:v>
                </c:pt>
                <c:pt idx="7">
                  <c:v>0</c:v>
                </c:pt>
                <c:pt idx="9">
                  <c:v>82.910447761194021</c:v>
                </c:pt>
                <c:pt idx="11">
                  <c:v>0</c:v>
                </c:pt>
                <c:pt idx="12">
                  <c:v>0</c:v>
                </c:pt>
                <c:pt idx="14">
                  <c:v>63.603864734299513</c:v>
                </c:pt>
                <c:pt idx="16">
                  <c:v>0</c:v>
                </c:pt>
                <c:pt idx="17">
                  <c:v>0</c:v>
                </c:pt>
                <c:pt idx="19">
                  <c:v>61.532608695652172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B2-1C4F-A9A6-954A849335B9}"/>
            </c:ext>
          </c:extLst>
        </c:ser>
        <c:ser>
          <c:idx val="15"/>
          <c:order val="15"/>
          <c:tx>
            <c:strRef>
              <c:f>Building_MI!$V$5</c:f>
              <c:strCache>
                <c:ptCount val="1"/>
                <c:pt idx="0">
                  <c:v>Overig biobased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Building_MI!$V$6:$V$25</c:f>
              <c:numCache>
                <c:formatCode>0.00</c:formatCode>
                <c:ptCount val="2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4B2-1C4F-A9A6-954A849335B9}"/>
            </c:ext>
          </c:extLst>
        </c:ser>
        <c:ser>
          <c:idx val="16"/>
          <c:order val="16"/>
          <c:tx>
            <c:strRef>
              <c:f>Building_MI!$W$5</c:f>
              <c:strCache>
                <c:ptCount val="1"/>
                <c:pt idx="0">
                  <c:v>Overige metalen (kg/m2)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Building_MI!$W$6:$W$25</c:f>
              <c:numCache>
                <c:formatCode>0.00</c:formatCode>
                <c:ptCount val="20"/>
                <c:pt idx="0">
                  <c:v>3.9420607408450712</c:v>
                </c:pt>
                <c:pt idx="1">
                  <c:v>3.945169339436621</c:v>
                </c:pt>
                <c:pt idx="2">
                  <c:v>3.945169339436621</c:v>
                </c:pt>
                <c:pt idx="3">
                  <c:v>3.945169339436621</c:v>
                </c:pt>
                <c:pt idx="4">
                  <c:v>0.11940298507462686</c:v>
                </c:pt>
                <c:pt idx="5">
                  <c:v>1.3351705873239421</c:v>
                </c:pt>
                <c:pt idx="6">
                  <c:v>1.3770228845070407</c:v>
                </c:pt>
                <c:pt idx="7">
                  <c:v>1.3770228845070407</c:v>
                </c:pt>
                <c:pt idx="8">
                  <c:v>1.3770228845070407</c:v>
                </c:pt>
                <c:pt idx="9">
                  <c:v>0.11940298507462686</c:v>
                </c:pt>
                <c:pt idx="10">
                  <c:v>1.4697139710144911</c:v>
                </c:pt>
                <c:pt idx="11">
                  <c:v>1.5202924623188392</c:v>
                </c:pt>
                <c:pt idx="12">
                  <c:v>1.5202924623188392</c:v>
                </c:pt>
                <c:pt idx="13">
                  <c:v>1.5202924623188392</c:v>
                </c:pt>
                <c:pt idx="14">
                  <c:v>0.12077294685990339</c:v>
                </c:pt>
                <c:pt idx="15">
                  <c:v>0.72710811603260872</c:v>
                </c:pt>
                <c:pt idx="16">
                  <c:v>0.74128453076004619</c:v>
                </c:pt>
                <c:pt idx="17">
                  <c:v>0.74693622371541502</c:v>
                </c:pt>
                <c:pt idx="18">
                  <c:v>0.74699402201086951</c:v>
                </c:pt>
                <c:pt idx="19">
                  <c:v>0.12499999999999999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4B2-1C4F-A9A6-954A849335B9}"/>
            </c:ext>
          </c:extLst>
        </c:ser>
        <c:ser>
          <c:idx val="17"/>
          <c:order val="17"/>
          <c:tx>
            <c:strRef>
              <c:f>Building_MI!$X$5</c:f>
              <c:strCache>
                <c:ptCount val="1"/>
                <c:pt idx="0">
                  <c:v>Papier (kg/m2)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Building_MI!$X$6:$X$25</c:f>
              <c:numCache>
                <c:formatCode>0.00</c:formatCode>
                <c:ptCount val="20"/>
                <c:pt idx="0">
                  <c:v>0</c:v>
                </c:pt>
                <c:pt idx="1">
                  <c:v>0.2419382957746479</c:v>
                </c:pt>
                <c:pt idx="2">
                  <c:v>0.2419382957746479</c:v>
                </c:pt>
                <c:pt idx="3">
                  <c:v>0.2419382957746479</c:v>
                </c:pt>
                <c:pt idx="4">
                  <c:v>1.3731343283582089</c:v>
                </c:pt>
                <c:pt idx="5">
                  <c:v>0</c:v>
                </c:pt>
                <c:pt idx="6">
                  <c:v>0.36854849295774644</c:v>
                </c:pt>
                <c:pt idx="7">
                  <c:v>0.36854849295774644</c:v>
                </c:pt>
                <c:pt idx="8">
                  <c:v>0.36854849295774644</c:v>
                </c:pt>
                <c:pt idx="9">
                  <c:v>1.3731343283582089</c:v>
                </c:pt>
                <c:pt idx="10">
                  <c:v>0</c:v>
                </c:pt>
                <c:pt idx="11">
                  <c:v>0.47785589275362328</c:v>
                </c:pt>
                <c:pt idx="12">
                  <c:v>0.47785589275362328</c:v>
                </c:pt>
                <c:pt idx="13">
                  <c:v>0.47785589275362322</c:v>
                </c:pt>
                <c:pt idx="14">
                  <c:v>0.58454106280193241</c:v>
                </c:pt>
                <c:pt idx="15">
                  <c:v>0</c:v>
                </c:pt>
                <c:pt idx="16">
                  <c:v>0.35798067065217387</c:v>
                </c:pt>
                <c:pt idx="17">
                  <c:v>0.35798067065217387</c:v>
                </c:pt>
                <c:pt idx="18">
                  <c:v>0.35798067065217387</c:v>
                </c:pt>
                <c:pt idx="19">
                  <c:v>0.27173913043478259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4B2-1C4F-A9A6-954A849335B9}"/>
            </c:ext>
          </c:extLst>
        </c:ser>
        <c:ser>
          <c:idx val="18"/>
          <c:order val="18"/>
          <c:tx>
            <c:strRef>
              <c:f>Building_MI!$Y$5</c:f>
              <c:strCache>
                <c:ptCount val="1"/>
                <c:pt idx="0">
                  <c:v>Staal &amp; IJzer (kg/m2)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Building_MI!$Y$6:$Y$25</c:f>
              <c:numCache>
                <c:formatCode>0.00</c:formatCode>
                <c:ptCount val="20"/>
                <c:pt idx="0">
                  <c:v>69.751482257746474</c:v>
                </c:pt>
                <c:pt idx="1">
                  <c:v>54.621777501877936</c:v>
                </c:pt>
                <c:pt idx="2">
                  <c:v>44.197687395305152</c:v>
                </c:pt>
                <c:pt idx="3">
                  <c:v>44.186520899999984</c:v>
                </c:pt>
                <c:pt idx="4">
                  <c:v>25.686567164179102</c:v>
                </c:pt>
                <c:pt idx="5">
                  <c:v>59.321162621126753</c:v>
                </c:pt>
                <c:pt idx="6">
                  <c:v>61.770039730751165</c:v>
                </c:pt>
                <c:pt idx="7">
                  <c:v>63.32280062112676</c:v>
                </c:pt>
                <c:pt idx="8">
                  <c:v>63.308935043661968</c:v>
                </c:pt>
                <c:pt idx="9">
                  <c:v>25.686567164179102</c:v>
                </c:pt>
                <c:pt idx="10">
                  <c:v>51.236411047826117</c:v>
                </c:pt>
                <c:pt idx="11">
                  <c:v>53.458638824154598</c:v>
                </c:pt>
                <c:pt idx="12">
                  <c:v>54.822601641787458</c:v>
                </c:pt>
                <c:pt idx="13">
                  <c:v>54.810216828985524</c:v>
                </c:pt>
                <c:pt idx="14">
                  <c:v>29.855072463768114</c:v>
                </c:pt>
                <c:pt idx="15">
                  <c:v>69.102116075667027</c:v>
                </c:pt>
                <c:pt idx="16">
                  <c:v>68.932509376387529</c:v>
                </c:pt>
                <c:pt idx="17">
                  <c:v>70.660171043898245</c:v>
                </c:pt>
                <c:pt idx="18">
                  <c:v>70.647256890612667</c:v>
                </c:pt>
                <c:pt idx="19">
                  <c:v>21.673913043478258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4B2-1C4F-A9A6-954A849335B9}"/>
            </c:ext>
          </c:extLst>
        </c:ser>
        <c:ser>
          <c:idx val="19"/>
          <c:order val="19"/>
          <c:tx>
            <c:strRef>
              <c:f>Building_MI!$Z$5</c:f>
              <c:strCache>
                <c:ptCount val="1"/>
                <c:pt idx="0">
                  <c:v>Steen (kg/m2)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Building_MI!$Z$6:$Z$25</c:f>
              <c:numCache>
                <c:formatCode>0.00</c:formatCode>
                <c:ptCount val="20"/>
                <c:pt idx="0">
                  <c:v>22.052394916901395</c:v>
                </c:pt>
                <c:pt idx="1">
                  <c:v>22.240803676291069</c:v>
                </c:pt>
                <c:pt idx="2">
                  <c:v>23.182847473239423</c:v>
                </c:pt>
                <c:pt idx="3">
                  <c:v>23.182847473239423</c:v>
                </c:pt>
                <c:pt idx="4">
                  <c:v>4.4776119402985072E-2</c:v>
                </c:pt>
                <c:pt idx="5">
                  <c:v>0.47078741830985782</c:v>
                </c:pt>
                <c:pt idx="6">
                  <c:v>0.60906715422535074</c:v>
                </c:pt>
                <c:pt idx="7">
                  <c:v>1.3004658338028157</c:v>
                </c:pt>
                <c:pt idx="8">
                  <c:v>1.3004658338028157</c:v>
                </c:pt>
                <c:pt idx="9">
                  <c:v>4.4776119402985072E-2</c:v>
                </c:pt>
                <c:pt idx="10">
                  <c:v>0.43873775797101455</c:v>
                </c:pt>
                <c:pt idx="11">
                  <c:v>0.56953656787439622</c:v>
                </c:pt>
                <c:pt idx="12">
                  <c:v>1.2235306173913045</c:v>
                </c:pt>
                <c:pt idx="13">
                  <c:v>1.2235306173913045</c:v>
                </c:pt>
                <c:pt idx="14">
                  <c:v>9.6618357487922718E-2</c:v>
                </c:pt>
                <c:pt idx="15">
                  <c:v>0.83496118913043471</c:v>
                </c:pt>
                <c:pt idx="16">
                  <c:v>0.7346677232625165</c:v>
                </c:pt>
                <c:pt idx="17">
                  <c:v>0.88796920642292498</c:v>
                </c:pt>
                <c:pt idx="18">
                  <c:v>0.88796920642292487</c:v>
                </c:pt>
                <c:pt idx="19">
                  <c:v>0.53260869565217395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4B2-1C4F-A9A6-954A849335B9}"/>
            </c:ext>
          </c:extLst>
        </c:ser>
        <c:ser>
          <c:idx val="20"/>
          <c:order val="20"/>
          <c:tx>
            <c:strRef>
              <c:f>Building_MI!$AA$5</c:f>
              <c:strCache>
                <c:ptCount val="1"/>
                <c:pt idx="0">
                  <c:v>Zand (kg/m2)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Building_MI!$A$6:$B$25</c:f>
              <c:multiLvlStrCache>
                <c:ptCount val="20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</c:lvl>
                <c:lvl>
                  <c:pt idx="0">
                    <c:v>detached (vrijstaand)</c:v>
                  </c:pt>
                  <c:pt idx="5">
                    <c:v>semi-detached (2-1 kap) / corner (hoek)</c:v>
                  </c:pt>
                  <c:pt idx="10">
                    <c:v>row house (tussenwoning)</c:v>
                  </c:pt>
                  <c:pt idx="15">
                    <c:v>multiple fam (meergezins)</c:v>
                  </c:pt>
                </c:lvl>
              </c:multiLvlStrCache>
            </c:multiLvlStrRef>
          </c:cat>
          <c:val>
            <c:numRef>
              <c:f>Building_MI!$AA$6:$AA$25</c:f>
              <c:numCache>
                <c:formatCode>0.00</c:formatCode>
                <c:ptCount val="20"/>
                <c:pt idx="0">
                  <c:v>25.486250845070423</c:v>
                </c:pt>
                <c:pt idx="1">
                  <c:v>25.486250845070423</c:v>
                </c:pt>
                <c:pt idx="2">
                  <c:v>25.486250845070423</c:v>
                </c:pt>
                <c:pt idx="3">
                  <c:v>25.486250845070423</c:v>
                </c:pt>
                <c:pt idx="4">
                  <c:v>99.507462686567166</c:v>
                </c:pt>
                <c:pt idx="5">
                  <c:v>20.141574830985917</c:v>
                </c:pt>
                <c:pt idx="6">
                  <c:v>20.141574830985917</c:v>
                </c:pt>
                <c:pt idx="7">
                  <c:v>20.141574830985917</c:v>
                </c:pt>
                <c:pt idx="8">
                  <c:v>20.141574830985917</c:v>
                </c:pt>
                <c:pt idx="9">
                  <c:v>99.507462686567166</c:v>
                </c:pt>
                <c:pt idx="10">
                  <c:v>25.673779000000003</c:v>
                </c:pt>
                <c:pt idx="11">
                  <c:v>25.673779000000003</c:v>
                </c:pt>
                <c:pt idx="12">
                  <c:v>25.673779000000003</c:v>
                </c:pt>
                <c:pt idx="13">
                  <c:v>25.673779000000003</c:v>
                </c:pt>
                <c:pt idx="14">
                  <c:v>128.72946859903382</c:v>
                </c:pt>
                <c:pt idx="15">
                  <c:v>16.468138358448616</c:v>
                </c:pt>
                <c:pt idx="16">
                  <c:v>16.468138358448616</c:v>
                </c:pt>
                <c:pt idx="17">
                  <c:v>16.468138358448616</c:v>
                </c:pt>
                <c:pt idx="18">
                  <c:v>16.468138358448616</c:v>
                </c:pt>
                <c:pt idx="19">
                  <c:v>30.114130434782606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B2-1C4F-A9A6-954A84933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73344"/>
        <c:axId val="23535408"/>
      </c:barChart>
      <c:catAx>
        <c:axId val="2377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5408"/>
        <c:crosses val="autoZero"/>
        <c:auto val="1"/>
        <c:lblAlgn val="ctr"/>
        <c:lblOffset val="100"/>
        <c:noMultiLvlLbl val="0"/>
      </c:catAx>
      <c:valAx>
        <c:axId val="2353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Building_MI_periodharmonised!$C$5</c:f>
              <c:strCache>
                <c:ptCount val="1"/>
                <c:pt idx="0">
                  <c:v>Aluminium (kg/m2)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Building_MI_periodharmonised!$C$6:$C$30</c:f>
              <c:numCache>
                <c:formatCode>0.00</c:formatCode>
                <c:ptCount val="25"/>
                <c:pt idx="0">
                  <c:v>0.1123081338028169</c:v>
                </c:pt>
                <c:pt idx="1">
                  <c:v>0.20493010845070422</c:v>
                </c:pt>
                <c:pt idx="2">
                  <c:v>0.19397868591549297</c:v>
                </c:pt>
                <c:pt idx="3">
                  <c:v>0.19397868591549297</c:v>
                </c:pt>
                <c:pt idx="4">
                  <c:v>1.8059701492537312</c:v>
                </c:pt>
                <c:pt idx="5">
                  <c:v>0.18886813098591554</c:v>
                </c:pt>
                <c:pt idx="6">
                  <c:v>0.28178136220657279</c:v>
                </c:pt>
                <c:pt idx="7">
                  <c:v>0.25258702535211269</c:v>
                </c:pt>
                <c:pt idx="8">
                  <c:v>0.25258702535211269</c:v>
                </c:pt>
                <c:pt idx="9">
                  <c:v>1.8059701492537312</c:v>
                </c:pt>
                <c:pt idx="10">
                  <c:v>0.37854946376811599</c:v>
                </c:pt>
                <c:pt idx="11">
                  <c:v>0.45919950893719808</c:v>
                </c:pt>
                <c:pt idx="12">
                  <c:v>0.37808582173913052</c:v>
                </c:pt>
                <c:pt idx="13">
                  <c:v>0.37808582173913047</c:v>
                </c:pt>
                <c:pt idx="14">
                  <c:v>1.1980676328502415</c:v>
                </c:pt>
                <c:pt idx="15">
                  <c:v>0.20221829725790513</c:v>
                </c:pt>
                <c:pt idx="16">
                  <c:v>0.30659409121376718</c:v>
                </c:pt>
                <c:pt idx="17">
                  <c:v>0.78220971588438193</c:v>
                </c:pt>
                <c:pt idx="18">
                  <c:v>0.78220971588438182</c:v>
                </c:pt>
                <c:pt idx="19">
                  <c:v>1.5489130434782608</c:v>
                </c:pt>
                <c:pt idx="20">
                  <c:v>0.11701019340659341</c:v>
                </c:pt>
                <c:pt idx="21">
                  <c:v>0.35430559652014637</c:v>
                </c:pt>
                <c:pt idx="22">
                  <c:v>1.4720485727106225</c:v>
                </c:pt>
                <c:pt idx="23">
                  <c:v>1.4741659307692303</c:v>
                </c:pt>
                <c:pt idx="24">
                  <c:v>1.4725274725274726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E-1F4B-8782-39FB771739E2}"/>
            </c:ext>
          </c:extLst>
        </c:ser>
        <c:ser>
          <c:idx val="1"/>
          <c:order val="1"/>
          <c:tx>
            <c:strRef>
              <c:f>Building_MI_periodharmonised!$D$5</c:f>
              <c:strCache>
                <c:ptCount val="1"/>
                <c:pt idx="0">
                  <c:v>Baksteen (kg/m2)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Building_MI_periodharmonised!$D$6:$D$30</c:f>
              <c:numCache>
                <c:formatCode>0.00</c:formatCode>
                <c:ptCount val="25"/>
                <c:pt idx="0">
                  <c:v>290.13365908450703</c:v>
                </c:pt>
                <c:pt idx="1">
                  <c:v>261.12029317605635</c:v>
                </c:pt>
                <c:pt idx="2">
                  <c:v>116.05346363380283</c:v>
                </c:pt>
                <c:pt idx="3">
                  <c:v>116.05346363380282</c:v>
                </c:pt>
                <c:pt idx="4">
                  <c:v>218.41791044776119</c:v>
                </c:pt>
                <c:pt idx="5">
                  <c:v>322.16941545070426</c:v>
                </c:pt>
                <c:pt idx="6">
                  <c:v>289.95247390610336</c:v>
                </c:pt>
                <c:pt idx="7">
                  <c:v>128.86776618309858</c:v>
                </c:pt>
                <c:pt idx="8">
                  <c:v>128.86776618309858</c:v>
                </c:pt>
                <c:pt idx="9">
                  <c:v>218.41791044776119</c:v>
                </c:pt>
                <c:pt idx="10">
                  <c:v>162.86606424637682</c:v>
                </c:pt>
                <c:pt idx="11">
                  <c:v>146.57945782125606</c:v>
                </c:pt>
                <c:pt idx="12">
                  <c:v>65.146425695652184</c:v>
                </c:pt>
                <c:pt idx="13">
                  <c:v>65.146425695652184</c:v>
                </c:pt>
                <c:pt idx="14">
                  <c:v>179.96618357487924</c:v>
                </c:pt>
                <c:pt idx="15">
                  <c:v>169.93780449011857</c:v>
                </c:pt>
                <c:pt idx="16">
                  <c:v>150.70739824798255</c:v>
                </c:pt>
                <c:pt idx="17">
                  <c:v>54.555367037302368</c:v>
                </c:pt>
                <c:pt idx="18">
                  <c:v>54.555367037302368</c:v>
                </c:pt>
                <c:pt idx="19">
                  <c:v>237.06521739130437</c:v>
                </c:pt>
                <c:pt idx="20">
                  <c:v>171.36517329670332</c:v>
                </c:pt>
                <c:pt idx="21">
                  <c:v>154.22865596703298</c:v>
                </c:pt>
                <c:pt idx="22">
                  <c:v>68.546069318681319</c:v>
                </c:pt>
                <c:pt idx="23">
                  <c:v>68.546069318681319</c:v>
                </c:pt>
                <c:pt idx="24">
                  <c:v>68.549450549450555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E-1F4B-8782-39FB771739E2}"/>
            </c:ext>
          </c:extLst>
        </c:ser>
        <c:ser>
          <c:idx val="2"/>
          <c:order val="2"/>
          <c:tx>
            <c:strRef>
              <c:f>Building_MI_periodharmonised!$E$5</c:f>
              <c:strCache>
                <c:ptCount val="1"/>
                <c:pt idx="0">
                  <c:v>Beton (kg/m2)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Building_MI_periodharmonised!$E$6:$E$30</c:f>
              <c:numCache>
                <c:formatCode>0.00</c:formatCode>
                <c:ptCount val="25"/>
                <c:pt idx="0">
                  <c:v>1376.7648660647862</c:v>
                </c:pt>
                <c:pt idx="1">
                  <c:v>1365.0111757302793</c:v>
                </c:pt>
                <c:pt idx="2">
                  <c:v>1310.8140770859131</c:v>
                </c:pt>
                <c:pt idx="3">
                  <c:v>1310.8140770859129</c:v>
                </c:pt>
                <c:pt idx="4">
                  <c:v>1190.3880597014925</c:v>
                </c:pt>
                <c:pt idx="5">
                  <c:v>1388.6241446239421</c:v>
                </c:pt>
                <c:pt idx="6">
                  <c:v>1521.8742804915478</c:v>
                </c:pt>
                <c:pt idx="7">
                  <c:v>1589.920186801407</c:v>
                </c:pt>
                <c:pt idx="8">
                  <c:v>1589.920186801407</c:v>
                </c:pt>
                <c:pt idx="9">
                  <c:v>1190.3880597014925</c:v>
                </c:pt>
                <c:pt idx="10">
                  <c:v>1144.3172885652173</c:v>
                </c:pt>
                <c:pt idx="11">
                  <c:v>1238.7900545992754</c:v>
                </c:pt>
                <c:pt idx="12">
                  <c:v>1304.4812254217393</c:v>
                </c:pt>
                <c:pt idx="13">
                  <c:v>1304.4812254217391</c:v>
                </c:pt>
                <c:pt idx="14">
                  <c:v>1662.6231884057972</c:v>
                </c:pt>
                <c:pt idx="15">
                  <c:v>1421.6139480039028</c:v>
                </c:pt>
                <c:pt idx="16">
                  <c:v>1514.6210843366187</c:v>
                </c:pt>
                <c:pt idx="17">
                  <c:v>1526.4957120451579</c:v>
                </c:pt>
                <c:pt idx="18">
                  <c:v>1526.4957120451579</c:v>
                </c:pt>
                <c:pt idx="19">
                  <c:v>1107.9076086956522</c:v>
                </c:pt>
                <c:pt idx="20">
                  <c:v>1097.8571164296693</c:v>
                </c:pt>
                <c:pt idx="21">
                  <c:v>1175.5814979241745</c:v>
                </c:pt>
                <c:pt idx="22">
                  <c:v>1208.6320879021953</c:v>
                </c:pt>
                <c:pt idx="23">
                  <c:v>1208.6320879021953</c:v>
                </c:pt>
                <c:pt idx="24">
                  <c:v>1178.131868131868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E-1F4B-8782-39FB771739E2}"/>
            </c:ext>
          </c:extLst>
        </c:ser>
        <c:ser>
          <c:idx val="3"/>
          <c:order val="3"/>
          <c:tx>
            <c:strRef>
              <c:f>Building_MI_periodharmonised!$F$5</c:f>
              <c:strCache>
                <c:ptCount val="1"/>
                <c:pt idx="0">
                  <c:v>Bitumen (kg/m2)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Building_MI_periodharmonised!$F$6:$F$30</c:f>
              <c:numCache>
                <c:formatCode>0.00</c:formatCode>
                <c:ptCount val="25"/>
                <c:pt idx="0">
                  <c:v>0</c:v>
                </c:pt>
                <c:pt idx="1">
                  <c:v>3.8644565727699531E-2</c:v>
                </c:pt>
                <c:pt idx="2">
                  <c:v>0.23186739436619719</c:v>
                </c:pt>
                <c:pt idx="3">
                  <c:v>0.23186739436619719</c:v>
                </c:pt>
                <c:pt idx="4">
                  <c:v>0.10447761194029852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0.10447761194029852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0.64251207729468607</c:v>
                </c:pt>
                <c:pt idx="15">
                  <c:v>0</c:v>
                </c:pt>
                <c:pt idx="16">
                  <c:v>0.13764470016057295</c:v>
                </c:pt>
                <c:pt idx="17">
                  <c:v>0.82586820096343772</c:v>
                </c:pt>
                <c:pt idx="18">
                  <c:v>0.82586820096343772</c:v>
                </c:pt>
                <c:pt idx="19">
                  <c:v>0.31521739130434784</c:v>
                </c:pt>
                <c:pt idx="20">
                  <c:v>6.7692307692307691E-2</c:v>
                </c:pt>
                <c:pt idx="21">
                  <c:v>5.6410256410256411E-2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E-1F4B-8782-39FB771739E2}"/>
            </c:ext>
          </c:extLst>
        </c:ser>
        <c:ser>
          <c:idx val="4"/>
          <c:order val="4"/>
          <c:tx>
            <c:strRef>
              <c:f>Building_MI_periodharmonised!$G$5</c:f>
              <c:strCache>
                <c:ptCount val="1"/>
                <c:pt idx="0">
                  <c:v>Electronica (kg/m2)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Building_MI_periodharmonised!$G$6:$G$30</c:f>
              <c:numCache>
                <c:formatCode>0.00</c:formatCode>
                <c:ptCount val="25"/>
                <c:pt idx="0">
                  <c:v>1.4084507042253521E-2</c:v>
                </c:pt>
                <c:pt idx="1">
                  <c:v>1.4084507042253523E-2</c:v>
                </c:pt>
                <c:pt idx="2">
                  <c:v>1.4084507042253523E-2</c:v>
                </c:pt>
                <c:pt idx="3">
                  <c:v>1.4084507042253521E-2</c:v>
                </c:pt>
                <c:pt idx="4">
                  <c:v>0.62686567164179097</c:v>
                </c:pt>
                <c:pt idx="5">
                  <c:v>7.0422535211267607E-3</c:v>
                </c:pt>
                <c:pt idx="6">
                  <c:v>7.0422535211267616E-3</c:v>
                </c:pt>
                <c:pt idx="7">
                  <c:v>7.0422535211267616E-3</c:v>
                </c:pt>
                <c:pt idx="8">
                  <c:v>7.0422535211267607E-3</c:v>
                </c:pt>
                <c:pt idx="9">
                  <c:v>0.62686567164179097</c:v>
                </c:pt>
                <c:pt idx="10">
                  <c:v>1.8924160869565217E-2</c:v>
                </c:pt>
                <c:pt idx="11">
                  <c:v>1.8924160869565217E-2</c:v>
                </c:pt>
                <c:pt idx="12">
                  <c:v>1.8924160869565217E-2</c:v>
                </c:pt>
                <c:pt idx="13">
                  <c:v>1.8924160869565217E-2</c:v>
                </c:pt>
                <c:pt idx="14">
                  <c:v>0.89855072463768126</c:v>
                </c:pt>
                <c:pt idx="15">
                  <c:v>3.2032279496047429E-2</c:v>
                </c:pt>
                <c:pt idx="16">
                  <c:v>3.2032279496047429E-2</c:v>
                </c:pt>
                <c:pt idx="17">
                  <c:v>3.2032279496047429E-2</c:v>
                </c:pt>
                <c:pt idx="18">
                  <c:v>3.2032279496047429E-2</c:v>
                </c:pt>
                <c:pt idx="19">
                  <c:v>1.2880434782608696</c:v>
                </c:pt>
                <c:pt idx="20">
                  <c:v>3.663003626373626E-2</c:v>
                </c:pt>
                <c:pt idx="21">
                  <c:v>3.663003626373626E-2</c:v>
                </c:pt>
                <c:pt idx="22">
                  <c:v>3.663003626373626E-2</c:v>
                </c:pt>
                <c:pt idx="23">
                  <c:v>3.663003626373626E-2</c:v>
                </c:pt>
                <c:pt idx="24">
                  <c:v>3.2967032967032968E-2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E-1F4B-8782-39FB771739E2}"/>
            </c:ext>
          </c:extLst>
        </c:ser>
        <c:ser>
          <c:idx val="5"/>
          <c:order val="5"/>
          <c:tx>
            <c:strRef>
              <c:f>Building_MI_periodharmonised!$H$5</c:f>
              <c:strCache>
                <c:ptCount val="1"/>
                <c:pt idx="0">
                  <c:v>Gips (kg/m2)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Building_MI_periodharmonised!$H$6:$H$30</c:f>
              <c:numCache>
                <c:formatCode>0.00</c:formatCode>
                <c:ptCount val="25"/>
                <c:pt idx="0">
                  <c:v>9.3222154816901419</c:v>
                </c:pt>
                <c:pt idx="1">
                  <c:v>31.41036341126761</c:v>
                </c:pt>
                <c:pt idx="2">
                  <c:v>31.41036341126761</c:v>
                </c:pt>
                <c:pt idx="3">
                  <c:v>31.41036341126761</c:v>
                </c:pt>
                <c:pt idx="4">
                  <c:v>15.820895522388058</c:v>
                </c:pt>
                <c:pt idx="5">
                  <c:v>10.021588338028154</c:v>
                </c:pt>
                <c:pt idx="6">
                  <c:v>46.677546563380268</c:v>
                </c:pt>
                <c:pt idx="7">
                  <c:v>46.677546563380268</c:v>
                </c:pt>
                <c:pt idx="8">
                  <c:v>46.677546563380261</c:v>
                </c:pt>
                <c:pt idx="9">
                  <c:v>15.820895522388058</c:v>
                </c:pt>
                <c:pt idx="10">
                  <c:v>7.6938449159420292</c:v>
                </c:pt>
                <c:pt idx="11">
                  <c:v>16.722916946376813</c:v>
                </c:pt>
                <c:pt idx="12">
                  <c:v>16.722916946376813</c:v>
                </c:pt>
                <c:pt idx="13">
                  <c:v>16.722916946376813</c:v>
                </c:pt>
                <c:pt idx="14">
                  <c:v>13.54106280193237</c:v>
                </c:pt>
                <c:pt idx="15">
                  <c:v>13.986688577099798</c:v>
                </c:pt>
                <c:pt idx="16">
                  <c:v>13.822343876152829</c:v>
                </c:pt>
                <c:pt idx="17">
                  <c:v>13.000620371417984</c:v>
                </c:pt>
                <c:pt idx="18">
                  <c:v>13.000620371417984</c:v>
                </c:pt>
                <c:pt idx="19">
                  <c:v>30.874999999999996</c:v>
                </c:pt>
                <c:pt idx="20">
                  <c:v>9.5043092065934065</c:v>
                </c:pt>
                <c:pt idx="21">
                  <c:v>9.6854361554945054</c:v>
                </c:pt>
                <c:pt idx="22">
                  <c:v>10.5910709</c:v>
                </c:pt>
                <c:pt idx="23">
                  <c:v>10.5910709</c:v>
                </c:pt>
                <c:pt idx="24">
                  <c:v>10.791208791208792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3E-1F4B-8782-39FB771739E2}"/>
            </c:ext>
          </c:extLst>
        </c:ser>
        <c:ser>
          <c:idx val="6"/>
          <c:order val="6"/>
          <c:tx>
            <c:strRef>
              <c:f>Building_MI_periodharmonised!$I$5</c:f>
              <c:strCache>
                <c:ptCount val="1"/>
                <c:pt idx="0">
                  <c:v>Glas (kg/m2)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Building_MI_periodharmonised!$I$6:$I$30</c:f>
              <c:numCache>
                <c:formatCode>0.00</c:formatCode>
                <c:ptCount val="25"/>
                <c:pt idx="0">
                  <c:v>0</c:v>
                </c:pt>
                <c:pt idx="1">
                  <c:v>3.7677497319248827</c:v>
                </c:pt>
                <c:pt idx="2">
                  <c:v>6.4589995394366202</c:v>
                </c:pt>
                <c:pt idx="3">
                  <c:v>6.4589995394366193</c:v>
                </c:pt>
                <c:pt idx="4">
                  <c:v>11.134328358208954</c:v>
                </c:pt>
                <c:pt idx="5">
                  <c:v>0.18055071267605635</c:v>
                </c:pt>
                <c:pt idx="6">
                  <c:v>2.8769816441314555</c:v>
                </c:pt>
                <c:pt idx="7">
                  <c:v>4.8030037380281687</c:v>
                </c:pt>
                <c:pt idx="8">
                  <c:v>4.8030037380281687</c:v>
                </c:pt>
                <c:pt idx="9">
                  <c:v>11.134328358208954</c:v>
                </c:pt>
                <c:pt idx="10">
                  <c:v>0.23043419420289715</c:v>
                </c:pt>
                <c:pt idx="11">
                  <c:v>2.6610480983091773</c:v>
                </c:pt>
                <c:pt idx="12">
                  <c:v>4.3972008869565204</c:v>
                </c:pt>
                <c:pt idx="13">
                  <c:v>4.3972008869565204</c:v>
                </c:pt>
                <c:pt idx="14">
                  <c:v>7.5458937198067639</c:v>
                </c:pt>
                <c:pt idx="15">
                  <c:v>0.23152289397233203</c:v>
                </c:pt>
                <c:pt idx="16">
                  <c:v>2.9457613399785858</c:v>
                </c:pt>
                <c:pt idx="17">
                  <c:v>4.8845030879199598</c:v>
                </c:pt>
                <c:pt idx="18">
                  <c:v>4.8845030879199598</c:v>
                </c:pt>
                <c:pt idx="19">
                  <c:v>5.8913043478260869</c:v>
                </c:pt>
                <c:pt idx="20">
                  <c:v>11.018224612087911</c:v>
                </c:pt>
                <c:pt idx="21">
                  <c:v>14.681625428754568</c:v>
                </c:pt>
                <c:pt idx="22">
                  <c:v>17.298340297802184</c:v>
                </c:pt>
                <c:pt idx="23">
                  <c:v>17.298340297802184</c:v>
                </c:pt>
                <c:pt idx="24">
                  <c:v>17.296703296703296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3E-1F4B-8782-39FB771739E2}"/>
            </c:ext>
          </c:extLst>
        </c:ser>
        <c:ser>
          <c:idx val="7"/>
          <c:order val="7"/>
          <c:tx>
            <c:strRef>
              <c:f>Building_MI_periodharmonised!$J$5</c:f>
              <c:strCache>
                <c:ptCount val="1"/>
                <c:pt idx="0">
                  <c:v>Hout (kg/m2)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Building_MI_periodharmonised!$J$6:$J$30</c:f>
              <c:numCache>
                <c:formatCode>0.00</c:formatCode>
                <c:ptCount val="25"/>
                <c:pt idx="0">
                  <c:v>181.00586869013947</c:v>
                </c:pt>
                <c:pt idx="1">
                  <c:v>86.203568756572793</c:v>
                </c:pt>
                <c:pt idx="2">
                  <c:v>26.884628526760565</c:v>
                </c:pt>
                <c:pt idx="3">
                  <c:v>35.690020400000002</c:v>
                </c:pt>
                <c:pt idx="4">
                  <c:v>34.328358208955223</c:v>
                </c:pt>
                <c:pt idx="5">
                  <c:v>88.17859265915493</c:v>
                </c:pt>
                <c:pt idx="6">
                  <c:v>48.554709943896711</c:v>
                </c:pt>
                <c:pt idx="7">
                  <c:v>30.892644531220654</c:v>
                </c:pt>
                <c:pt idx="8">
                  <c:v>42.414406792957749</c:v>
                </c:pt>
                <c:pt idx="9">
                  <c:v>34.328358208955223</c:v>
                </c:pt>
                <c:pt idx="10">
                  <c:v>64.768413495652169</c:v>
                </c:pt>
                <c:pt idx="11">
                  <c:v>37.434904464734288</c:v>
                </c:pt>
                <c:pt idx="12">
                  <c:v>22.392486746859905</c:v>
                </c:pt>
                <c:pt idx="13">
                  <c:v>32.834914582608697</c:v>
                </c:pt>
                <c:pt idx="14">
                  <c:v>24.90338164251208</c:v>
                </c:pt>
                <c:pt idx="15">
                  <c:v>33.943422969713424</c:v>
                </c:pt>
                <c:pt idx="16">
                  <c:v>21.144124247640807</c:v>
                </c:pt>
                <c:pt idx="17">
                  <c:v>12.026846123756583</c:v>
                </c:pt>
                <c:pt idx="18">
                  <c:v>13.125159888908099</c:v>
                </c:pt>
                <c:pt idx="19">
                  <c:v>2.206521739130435</c:v>
                </c:pt>
                <c:pt idx="20">
                  <c:v>42.832492139560415</c:v>
                </c:pt>
                <c:pt idx="21">
                  <c:v>21.92045452728938</c:v>
                </c:pt>
                <c:pt idx="22">
                  <c:v>10.256355973626373</c:v>
                </c:pt>
                <c:pt idx="23">
                  <c:v>14.176482770329667</c:v>
                </c:pt>
                <c:pt idx="2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3E-1F4B-8782-39FB771739E2}"/>
            </c:ext>
          </c:extLst>
        </c:ser>
        <c:ser>
          <c:idx val="8"/>
          <c:order val="8"/>
          <c:tx>
            <c:strRef>
              <c:f>Building_MI_periodharmonised!$AG$5</c:f>
              <c:strCache>
                <c:ptCount val="1"/>
                <c:pt idx="0">
                  <c:v>Isolatie (kg/m2)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Building_MI_periodharmonised!$AG$6:$AG$30</c:f>
              <c:numCache>
                <c:formatCode>0.00</c:formatCode>
                <c:ptCount val="25"/>
                <c:pt idx="0">
                  <c:v>13.575590573239438</c:v>
                </c:pt>
                <c:pt idx="1">
                  <c:v>14.033810794366198</c:v>
                </c:pt>
                <c:pt idx="2">
                  <c:v>14.642552156338013</c:v>
                </c:pt>
                <c:pt idx="3">
                  <c:v>16.494385402816917</c:v>
                </c:pt>
                <c:pt idx="4">
                  <c:v>34.104477611940297</c:v>
                </c:pt>
                <c:pt idx="5">
                  <c:v>14.378566736619716</c:v>
                </c:pt>
                <c:pt idx="6">
                  <c:v>14.886732830985913</c:v>
                </c:pt>
                <c:pt idx="7">
                  <c:v>15.398919942253519</c:v>
                </c:pt>
                <c:pt idx="8">
                  <c:v>17.010001458450695</c:v>
                </c:pt>
                <c:pt idx="9">
                  <c:v>34.104477611940297</c:v>
                </c:pt>
                <c:pt idx="10">
                  <c:v>13.21922307536232</c:v>
                </c:pt>
                <c:pt idx="11">
                  <c:v>13.477310789855075</c:v>
                </c:pt>
                <c:pt idx="12">
                  <c:v>13.843262210144928</c:v>
                </c:pt>
                <c:pt idx="13">
                  <c:v>14.970341108695655</c:v>
                </c:pt>
                <c:pt idx="14">
                  <c:v>26.415458937198071</c:v>
                </c:pt>
                <c:pt idx="15">
                  <c:v>18.45664685239624</c:v>
                </c:pt>
                <c:pt idx="16">
                  <c:v>19.158717388611656</c:v>
                </c:pt>
                <c:pt idx="17">
                  <c:v>13.59116603233695</c:v>
                </c:pt>
                <c:pt idx="18">
                  <c:v>10.457778820689224</c:v>
                </c:pt>
                <c:pt idx="19">
                  <c:v>7.7065217391304346</c:v>
                </c:pt>
                <c:pt idx="20">
                  <c:v>16.883190557142861</c:v>
                </c:pt>
                <c:pt idx="21">
                  <c:v>17.205952518681318</c:v>
                </c:pt>
                <c:pt idx="22">
                  <c:v>12.358508760439561</c:v>
                </c:pt>
                <c:pt idx="23">
                  <c:v>8.5152887335164849</c:v>
                </c:pt>
                <c:pt idx="24">
                  <c:v>9.1868131868131861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3E-1F4B-8782-39FB771739E2}"/>
            </c:ext>
          </c:extLst>
        </c:ser>
        <c:ser>
          <c:idx val="9"/>
          <c:order val="9"/>
          <c:tx>
            <c:strRef>
              <c:f>Building_MI_periodharmonised!$P$5</c:f>
              <c:strCache>
                <c:ptCount val="1"/>
                <c:pt idx="0">
                  <c:v>Kalkzandsteen (kg/m2)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Building_MI_periodharmonised!$P$6:$P$30</c:f>
              <c:numCache>
                <c:formatCode>0.00</c:formatCode>
                <c:ptCount val="25"/>
                <c:pt idx="0">
                  <c:v>307.73567974647892</c:v>
                </c:pt>
                <c:pt idx="1">
                  <c:v>365.67702160328599</c:v>
                </c:pt>
                <c:pt idx="2">
                  <c:v>655.38373088732124</c:v>
                </c:pt>
                <c:pt idx="3">
                  <c:v>655.38373088732124</c:v>
                </c:pt>
                <c:pt idx="4">
                  <c:v>0</c:v>
                </c:pt>
                <c:pt idx="5">
                  <c:v>327.72170992957751</c:v>
                </c:pt>
                <c:pt idx="6">
                  <c:v>394.5217951760564</c:v>
                </c:pt>
                <c:pt idx="7">
                  <c:v>728.52222140845072</c:v>
                </c:pt>
                <c:pt idx="8">
                  <c:v>728.52222140845072</c:v>
                </c:pt>
                <c:pt idx="9">
                  <c:v>0</c:v>
                </c:pt>
                <c:pt idx="10">
                  <c:v>263.36174559420294</c:v>
                </c:pt>
                <c:pt idx="11">
                  <c:v>290.68926591787442</c:v>
                </c:pt>
                <c:pt idx="12">
                  <c:v>427.32686753623187</c:v>
                </c:pt>
                <c:pt idx="13">
                  <c:v>427.32686753623187</c:v>
                </c:pt>
                <c:pt idx="14">
                  <c:v>0</c:v>
                </c:pt>
                <c:pt idx="15">
                  <c:v>224.76978087598758</c:v>
                </c:pt>
                <c:pt idx="16">
                  <c:v>241.4403946610667</c:v>
                </c:pt>
                <c:pt idx="17">
                  <c:v>324.79346358646245</c:v>
                </c:pt>
                <c:pt idx="18">
                  <c:v>324.79346358646245</c:v>
                </c:pt>
                <c:pt idx="19">
                  <c:v>0</c:v>
                </c:pt>
                <c:pt idx="20">
                  <c:v>252.87193786813185</c:v>
                </c:pt>
                <c:pt idx="21">
                  <c:v>267.21638031135529</c:v>
                </c:pt>
                <c:pt idx="22">
                  <c:v>338.93859252747251</c:v>
                </c:pt>
                <c:pt idx="23">
                  <c:v>338.93859252747251</c:v>
                </c:pt>
                <c:pt idx="24">
                  <c:v>338.93406593406593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3E-1F4B-8782-39FB771739E2}"/>
            </c:ext>
          </c:extLst>
        </c:ser>
        <c:ser>
          <c:idx val="10"/>
          <c:order val="10"/>
          <c:tx>
            <c:strRef>
              <c:f>Building_MI_periodharmonised!$Q$5</c:f>
              <c:strCache>
                <c:ptCount val="1"/>
                <c:pt idx="0">
                  <c:v>Keramiek (kg/m2)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Building_MI_periodharmonised!$Q$6:$Q$30</c:f>
              <c:numCache>
                <c:formatCode>0.00</c:formatCode>
                <c:ptCount val="25"/>
                <c:pt idx="0">
                  <c:v>33.736131078873242</c:v>
                </c:pt>
                <c:pt idx="1">
                  <c:v>28.504742747887327</c:v>
                </c:pt>
                <c:pt idx="2">
                  <c:v>2.3478010929577464</c:v>
                </c:pt>
                <c:pt idx="3">
                  <c:v>2.3478010929577464</c:v>
                </c:pt>
                <c:pt idx="4">
                  <c:v>5.3582089552238799</c:v>
                </c:pt>
                <c:pt idx="5">
                  <c:v>3.3205046464788595</c:v>
                </c:pt>
                <c:pt idx="6">
                  <c:v>3.3205046464788595</c:v>
                </c:pt>
                <c:pt idx="7">
                  <c:v>3.3205046464788595</c:v>
                </c:pt>
                <c:pt idx="8">
                  <c:v>3.3205046464788595</c:v>
                </c:pt>
                <c:pt idx="9">
                  <c:v>5.3582089552238799</c:v>
                </c:pt>
                <c:pt idx="10">
                  <c:v>2.7625526971014498</c:v>
                </c:pt>
                <c:pt idx="11">
                  <c:v>2.7625526971014502</c:v>
                </c:pt>
                <c:pt idx="12">
                  <c:v>2.7625526971014502</c:v>
                </c:pt>
                <c:pt idx="13">
                  <c:v>2.7625526971014498</c:v>
                </c:pt>
                <c:pt idx="14">
                  <c:v>6.57487922705314</c:v>
                </c:pt>
                <c:pt idx="15">
                  <c:v>12.270727132905126</c:v>
                </c:pt>
                <c:pt idx="16">
                  <c:v>11.175228011281281</c:v>
                </c:pt>
                <c:pt idx="17">
                  <c:v>5.6977324031620453</c:v>
                </c:pt>
                <c:pt idx="18">
                  <c:v>5.6977324031620444</c:v>
                </c:pt>
                <c:pt idx="19">
                  <c:v>12.581521739130434</c:v>
                </c:pt>
                <c:pt idx="20">
                  <c:v>18.81893665164834</c:v>
                </c:pt>
                <c:pt idx="21">
                  <c:v>16.48994256923076</c:v>
                </c:pt>
                <c:pt idx="22">
                  <c:v>4.8449721571428466</c:v>
                </c:pt>
                <c:pt idx="23">
                  <c:v>4.8449721571428466</c:v>
                </c:pt>
                <c:pt idx="24">
                  <c:v>5.2527472527472527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3E-1F4B-8782-39FB771739E2}"/>
            </c:ext>
          </c:extLst>
        </c:ser>
        <c:ser>
          <c:idx val="11"/>
          <c:order val="11"/>
          <c:tx>
            <c:strRef>
              <c:f>Building_MI_periodharmonised!$R$5</c:f>
              <c:strCache>
                <c:ptCount val="1"/>
                <c:pt idx="0">
                  <c:v>Koper (kg/m2)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Building_MI_periodharmonised!$R$6:$R$30</c:f>
              <c:numCache>
                <c:formatCode>0.00</c:formatCode>
                <c:ptCount val="25"/>
                <c:pt idx="0">
                  <c:v>0.91964413521126764</c:v>
                </c:pt>
                <c:pt idx="1">
                  <c:v>0.91964413521126764</c:v>
                </c:pt>
                <c:pt idx="2">
                  <c:v>0.91964413521126764</c:v>
                </c:pt>
                <c:pt idx="3">
                  <c:v>0.91964413521126764</c:v>
                </c:pt>
                <c:pt idx="4">
                  <c:v>0.47761194029850745</c:v>
                </c:pt>
                <c:pt idx="5">
                  <c:v>0.84813828732394358</c:v>
                </c:pt>
                <c:pt idx="6">
                  <c:v>0.84813828732394358</c:v>
                </c:pt>
                <c:pt idx="7">
                  <c:v>0.84813828732394358</c:v>
                </c:pt>
                <c:pt idx="8">
                  <c:v>0.84813828732394358</c:v>
                </c:pt>
                <c:pt idx="9">
                  <c:v>0.47761194029850745</c:v>
                </c:pt>
                <c:pt idx="10">
                  <c:v>0.35149360434782612</c:v>
                </c:pt>
                <c:pt idx="11">
                  <c:v>0.35149360434782612</c:v>
                </c:pt>
                <c:pt idx="12">
                  <c:v>0.35149360434782612</c:v>
                </c:pt>
                <c:pt idx="13">
                  <c:v>0.35149360434782612</c:v>
                </c:pt>
                <c:pt idx="14">
                  <c:v>0.58454106280193241</c:v>
                </c:pt>
                <c:pt idx="15">
                  <c:v>0.30749103120059285</c:v>
                </c:pt>
                <c:pt idx="16">
                  <c:v>0.30764778053771408</c:v>
                </c:pt>
                <c:pt idx="17">
                  <c:v>0.30850990193922923</c:v>
                </c:pt>
                <c:pt idx="18">
                  <c:v>0.30890177551877468</c:v>
                </c:pt>
                <c:pt idx="19">
                  <c:v>0.37499999999999994</c:v>
                </c:pt>
                <c:pt idx="20">
                  <c:v>0.20715254395604393</c:v>
                </c:pt>
                <c:pt idx="21">
                  <c:v>0.20721356025641025</c:v>
                </c:pt>
                <c:pt idx="22">
                  <c:v>0.20754914990842491</c:v>
                </c:pt>
                <c:pt idx="23">
                  <c:v>0.20770169065934066</c:v>
                </c:pt>
                <c:pt idx="24">
                  <c:v>0.2087912087912088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3E-1F4B-8782-39FB771739E2}"/>
            </c:ext>
          </c:extLst>
        </c:ser>
        <c:ser>
          <c:idx val="12"/>
          <c:order val="12"/>
          <c:tx>
            <c:strRef>
              <c:f>Building_MI_periodharmonised!$S$5</c:f>
              <c:strCache>
                <c:ptCount val="1"/>
                <c:pt idx="0">
                  <c:v>Kunststoffen (kg/m2)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Building_MI_periodharmonised!$S$6:$S$30</c:f>
              <c:numCache>
                <c:formatCode>0.00</c:formatCode>
                <c:ptCount val="25"/>
                <c:pt idx="0">
                  <c:v>1.3289144064788729</c:v>
                </c:pt>
                <c:pt idx="1">
                  <c:v>1.612420152957746</c:v>
                </c:pt>
                <c:pt idx="2">
                  <c:v>1.7965501529577459</c:v>
                </c:pt>
                <c:pt idx="3">
                  <c:v>1.7965501529577459</c:v>
                </c:pt>
                <c:pt idx="4">
                  <c:v>2.4029850746268657</c:v>
                </c:pt>
                <c:pt idx="5">
                  <c:v>1.2349096312676042</c:v>
                </c:pt>
                <c:pt idx="6">
                  <c:v>1.5919649113145524</c:v>
                </c:pt>
                <c:pt idx="7">
                  <c:v>1.8044713045070404</c:v>
                </c:pt>
                <c:pt idx="8">
                  <c:v>1.8044713045070404</c:v>
                </c:pt>
                <c:pt idx="9">
                  <c:v>2.4029850746268657</c:v>
                </c:pt>
                <c:pt idx="10">
                  <c:v>0.81826993999999875</c:v>
                </c:pt>
                <c:pt idx="11">
                  <c:v>1.2663894665700473</c:v>
                </c:pt>
                <c:pt idx="12">
                  <c:v>1.8714109544927529</c:v>
                </c:pt>
                <c:pt idx="13">
                  <c:v>1.8714109544927526</c:v>
                </c:pt>
                <c:pt idx="14">
                  <c:v>2.8743961352657008</c:v>
                </c:pt>
                <c:pt idx="15">
                  <c:v>0.99483573656126456</c:v>
                </c:pt>
                <c:pt idx="16">
                  <c:v>1.3383939973608361</c:v>
                </c:pt>
                <c:pt idx="17">
                  <c:v>1.8858516190917312</c:v>
                </c:pt>
                <c:pt idx="18">
                  <c:v>1.8877069491106706</c:v>
                </c:pt>
                <c:pt idx="19">
                  <c:v>2.5054347826086953</c:v>
                </c:pt>
                <c:pt idx="20">
                  <c:v>1.4989690769230766</c:v>
                </c:pt>
                <c:pt idx="21">
                  <c:v>1.7784211177655678</c:v>
                </c:pt>
                <c:pt idx="22">
                  <c:v>1.8116662520146523</c:v>
                </c:pt>
                <c:pt idx="23">
                  <c:v>1.8127363142857145</c:v>
                </c:pt>
                <c:pt idx="24">
                  <c:v>1.813186813186813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3E-1F4B-8782-39FB771739E2}"/>
            </c:ext>
          </c:extLst>
        </c:ser>
        <c:ser>
          <c:idx val="13"/>
          <c:order val="13"/>
          <c:tx>
            <c:strRef>
              <c:f>Building_MI_periodharmonised!$T$5</c:f>
              <c:strCache>
                <c:ptCount val="1"/>
                <c:pt idx="0">
                  <c:v>Lijm en verf (kg/m2)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Building_MI_periodharmonised!$T$6:$T$30</c:f>
              <c:numCache>
                <c:formatCode>0.00</c:formatCode>
                <c:ptCount val="25"/>
                <c:pt idx="0">
                  <c:v>1.5227198140845066</c:v>
                </c:pt>
                <c:pt idx="1">
                  <c:v>1.501396371596244</c:v>
                </c:pt>
                <c:pt idx="2">
                  <c:v>1.4857841110328636</c:v>
                </c:pt>
                <c:pt idx="3">
                  <c:v>1.5506930957746479</c:v>
                </c:pt>
                <c:pt idx="4">
                  <c:v>0.9253731343283581</c:v>
                </c:pt>
                <c:pt idx="5">
                  <c:v>1.6288591619718307</c:v>
                </c:pt>
                <c:pt idx="6">
                  <c:v>1.7222954333333333</c:v>
                </c:pt>
                <c:pt idx="7">
                  <c:v>1.7513309887323942</c:v>
                </c:pt>
                <c:pt idx="8">
                  <c:v>1.8392071225352109</c:v>
                </c:pt>
                <c:pt idx="9">
                  <c:v>0.9253731343283581</c:v>
                </c:pt>
                <c:pt idx="10">
                  <c:v>1.3552014608695648</c:v>
                </c:pt>
                <c:pt idx="11">
                  <c:v>1.4637034560386468</c:v>
                </c:pt>
                <c:pt idx="12">
                  <c:v>1.4762390594202894</c:v>
                </c:pt>
                <c:pt idx="13">
                  <c:v>1.5566010376811577</c:v>
                </c:pt>
                <c:pt idx="14">
                  <c:v>0.7874396135265701</c:v>
                </c:pt>
                <c:pt idx="15">
                  <c:v>2.0525547885968374</c:v>
                </c:pt>
                <c:pt idx="16">
                  <c:v>5.6162251376457508</c:v>
                </c:pt>
                <c:pt idx="17">
                  <c:v>5.6058939766856062</c:v>
                </c:pt>
                <c:pt idx="18">
                  <c:v>5.554137688621541</c:v>
                </c:pt>
                <c:pt idx="19">
                  <c:v>0.99456521739130421</c:v>
                </c:pt>
                <c:pt idx="20">
                  <c:v>1.9742970098901096</c:v>
                </c:pt>
                <c:pt idx="21">
                  <c:v>2.6960069001831504</c:v>
                </c:pt>
                <c:pt idx="22">
                  <c:v>2.6605953893772898</c:v>
                </c:pt>
                <c:pt idx="23">
                  <c:v>2.6451737923076921</c:v>
                </c:pt>
                <c:pt idx="24">
                  <c:v>2.6483516483516483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23E-1F4B-8782-39FB771739E2}"/>
            </c:ext>
          </c:extLst>
        </c:ser>
        <c:ser>
          <c:idx val="14"/>
          <c:order val="14"/>
          <c:tx>
            <c:strRef>
              <c:f>Building_MI_periodharmonised!$U$5</c:f>
              <c:strCache>
                <c:ptCount val="1"/>
                <c:pt idx="0">
                  <c:v>Mortel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Building_MI_periodharmonised!$U$6:$U$30</c:f>
              <c:numCache>
                <c:formatCode>0.00</c:formatCode>
                <c:ptCount val="25"/>
                <c:pt idx="1">
                  <c:v>0</c:v>
                </c:pt>
                <c:pt idx="2">
                  <c:v>0</c:v>
                </c:pt>
                <c:pt idx="4">
                  <c:v>82.910447761194021</c:v>
                </c:pt>
                <c:pt idx="6">
                  <c:v>0</c:v>
                </c:pt>
                <c:pt idx="7">
                  <c:v>0</c:v>
                </c:pt>
                <c:pt idx="9">
                  <c:v>82.910447761194021</c:v>
                </c:pt>
                <c:pt idx="11">
                  <c:v>0</c:v>
                </c:pt>
                <c:pt idx="12">
                  <c:v>0</c:v>
                </c:pt>
                <c:pt idx="14">
                  <c:v>63.603864734299513</c:v>
                </c:pt>
                <c:pt idx="16">
                  <c:v>0</c:v>
                </c:pt>
                <c:pt idx="17">
                  <c:v>0</c:v>
                </c:pt>
                <c:pt idx="19">
                  <c:v>61.532608695652172</c:v>
                </c:pt>
                <c:pt idx="21">
                  <c:v>0</c:v>
                </c:pt>
                <c:pt idx="22">
                  <c:v>0</c:v>
                </c:pt>
                <c:pt idx="24">
                  <c:v>30.505494505494507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3E-1F4B-8782-39FB771739E2}"/>
            </c:ext>
          </c:extLst>
        </c:ser>
        <c:ser>
          <c:idx val="15"/>
          <c:order val="15"/>
          <c:tx>
            <c:strRef>
              <c:f>Building_MI_periodharmonised!$V$5</c:f>
              <c:strCache>
                <c:ptCount val="1"/>
                <c:pt idx="0">
                  <c:v>Overig biobased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Building_MI_periodharmonised!$V$6:$V$30</c:f>
              <c:numCache>
                <c:formatCode>0.00</c:formatCode>
                <c:ptCount val="25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1.2307692307692308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23E-1F4B-8782-39FB771739E2}"/>
            </c:ext>
          </c:extLst>
        </c:ser>
        <c:ser>
          <c:idx val="16"/>
          <c:order val="16"/>
          <c:tx>
            <c:strRef>
              <c:f>Building_MI_periodharmonised!$W$5</c:f>
              <c:strCache>
                <c:ptCount val="1"/>
                <c:pt idx="0">
                  <c:v>Overige metalen (kg/m2)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Building_MI_periodharmonised!$W$6:$W$30</c:f>
              <c:numCache>
                <c:formatCode>0.00</c:formatCode>
                <c:ptCount val="25"/>
                <c:pt idx="0">
                  <c:v>3.9420607408450712</c:v>
                </c:pt>
                <c:pt idx="1">
                  <c:v>3.945169339436621</c:v>
                </c:pt>
                <c:pt idx="2">
                  <c:v>3.945169339436621</c:v>
                </c:pt>
                <c:pt idx="3">
                  <c:v>3.945169339436621</c:v>
                </c:pt>
                <c:pt idx="4">
                  <c:v>0.11940298507462686</c:v>
                </c:pt>
                <c:pt idx="5">
                  <c:v>1.3351705873239421</c:v>
                </c:pt>
                <c:pt idx="6">
                  <c:v>1.3770228845070407</c:v>
                </c:pt>
                <c:pt idx="7">
                  <c:v>1.3770228845070407</c:v>
                </c:pt>
                <c:pt idx="8">
                  <c:v>1.3770228845070407</c:v>
                </c:pt>
                <c:pt idx="9">
                  <c:v>0.11940298507462686</c:v>
                </c:pt>
                <c:pt idx="10">
                  <c:v>1.4697139710144911</c:v>
                </c:pt>
                <c:pt idx="11">
                  <c:v>1.5202924623188392</c:v>
                </c:pt>
                <c:pt idx="12">
                  <c:v>1.5202924623188392</c:v>
                </c:pt>
                <c:pt idx="13">
                  <c:v>1.5202924623188392</c:v>
                </c:pt>
                <c:pt idx="14">
                  <c:v>0.12077294685990339</c:v>
                </c:pt>
                <c:pt idx="15">
                  <c:v>0.72710811603260872</c:v>
                </c:pt>
                <c:pt idx="16">
                  <c:v>0.74128453076004619</c:v>
                </c:pt>
                <c:pt idx="17">
                  <c:v>0.74693622371541502</c:v>
                </c:pt>
                <c:pt idx="18">
                  <c:v>0.74699402201086951</c:v>
                </c:pt>
                <c:pt idx="19">
                  <c:v>0.12499999999999999</c:v>
                </c:pt>
                <c:pt idx="20">
                  <c:v>0.46113914505494502</c:v>
                </c:pt>
                <c:pt idx="21">
                  <c:v>0.49499219999999994</c:v>
                </c:pt>
                <c:pt idx="22">
                  <c:v>0.49499219999999994</c:v>
                </c:pt>
                <c:pt idx="23">
                  <c:v>0.49499219999999994</c:v>
                </c:pt>
                <c:pt idx="24">
                  <c:v>0.49450549450549453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23E-1F4B-8782-39FB771739E2}"/>
            </c:ext>
          </c:extLst>
        </c:ser>
        <c:ser>
          <c:idx val="17"/>
          <c:order val="17"/>
          <c:tx>
            <c:strRef>
              <c:f>Building_MI_periodharmonised!$X$5</c:f>
              <c:strCache>
                <c:ptCount val="1"/>
                <c:pt idx="0">
                  <c:v>Papier (kg/m2)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Building_MI_periodharmonised!$X$6:$X$30</c:f>
              <c:numCache>
                <c:formatCode>0.00</c:formatCode>
                <c:ptCount val="25"/>
                <c:pt idx="0">
                  <c:v>0</c:v>
                </c:pt>
                <c:pt idx="1">
                  <c:v>0.2419382957746479</c:v>
                </c:pt>
                <c:pt idx="2">
                  <c:v>0.2419382957746479</c:v>
                </c:pt>
                <c:pt idx="3">
                  <c:v>0.2419382957746479</c:v>
                </c:pt>
                <c:pt idx="4">
                  <c:v>1.3731343283582089</c:v>
                </c:pt>
                <c:pt idx="5">
                  <c:v>0</c:v>
                </c:pt>
                <c:pt idx="6">
                  <c:v>0.36854849295774644</c:v>
                </c:pt>
                <c:pt idx="7">
                  <c:v>0.36854849295774644</c:v>
                </c:pt>
                <c:pt idx="8">
                  <c:v>0.36854849295774644</c:v>
                </c:pt>
                <c:pt idx="9">
                  <c:v>1.3731343283582089</c:v>
                </c:pt>
                <c:pt idx="10">
                  <c:v>0</c:v>
                </c:pt>
                <c:pt idx="11">
                  <c:v>0.47785589275362328</c:v>
                </c:pt>
                <c:pt idx="12">
                  <c:v>0.47785589275362328</c:v>
                </c:pt>
                <c:pt idx="13">
                  <c:v>0.47785589275362322</c:v>
                </c:pt>
                <c:pt idx="14">
                  <c:v>0.58454106280193241</c:v>
                </c:pt>
                <c:pt idx="15">
                  <c:v>0</c:v>
                </c:pt>
                <c:pt idx="16">
                  <c:v>0.35798067065217387</c:v>
                </c:pt>
                <c:pt idx="17">
                  <c:v>0.35798067065217387</c:v>
                </c:pt>
                <c:pt idx="18">
                  <c:v>0.35798067065217387</c:v>
                </c:pt>
                <c:pt idx="19">
                  <c:v>0.27173913043478259</c:v>
                </c:pt>
                <c:pt idx="20">
                  <c:v>0</c:v>
                </c:pt>
                <c:pt idx="21">
                  <c:v>0.43177825824175825</c:v>
                </c:pt>
                <c:pt idx="22">
                  <c:v>0.43177825824175825</c:v>
                </c:pt>
                <c:pt idx="23">
                  <c:v>0.43177825824175825</c:v>
                </c:pt>
                <c:pt idx="24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23E-1F4B-8782-39FB771739E2}"/>
            </c:ext>
          </c:extLst>
        </c:ser>
        <c:ser>
          <c:idx val="18"/>
          <c:order val="18"/>
          <c:tx>
            <c:strRef>
              <c:f>Building_MI_periodharmonised!$Y$5</c:f>
              <c:strCache>
                <c:ptCount val="1"/>
                <c:pt idx="0">
                  <c:v>Staal &amp; IJzer (kg/m2)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Building_MI_periodharmonised!$Y$6:$Y$30</c:f>
              <c:numCache>
                <c:formatCode>0.00</c:formatCode>
                <c:ptCount val="25"/>
                <c:pt idx="0">
                  <c:v>69.751482257746474</c:v>
                </c:pt>
                <c:pt idx="1">
                  <c:v>54.621777501877936</c:v>
                </c:pt>
                <c:pt idx="2">
                  <c:v>44.197687395305152</c:v>
                </c:pt>
                <c:pt idx="3">
                  <c:v>44.186520899999984</c:v>
                </c:pt>
                <c:pt idx="4">
                  <c:v>25.686567164179102</c:v>
                </c:pt>
                <c:pt idx="5">
                  <c:v>59.321162621126753</c:v>
                </c:pt>
                <c:pt idx="6">
                  <c:v>61.770039730751165</c:v>
                </c:pt>
                <c:pt idx="7">
                  <c:v>63.32280062112676</c:v>
                </c:pt>
                <c:pt idx="8">
                  <c:v>63.308935043661968</c:v>
                </c:pt>
                <c:pt idx="9">
                  <c:v>25.686567164179102</c:v>
                </c:pt>
                <c:pt idx="10">
                  <c:v>51.236411047826117</c:v>
                </c:pt>
                <c:pt idx="11">
                  <c:v>53.458638824154598</c:v>
                </c:pt>
                <c:pt idx="12">
                  <c:v>54.822601641787458</c:v>
                </c:pt>
                <c:pt idx="13">
                  <c:v>54.810216828985524</c:v>
                </c:pt>
                <c:pt idx="14">
                  <c:v>29.855072463768114</c:v>
                </c:pt>
                <c:pt idx="15">
                  <c:v>69.102116075667027</c:v>
                </c:pt>
                <c:pt idx="16">
                  <c:v>68.932509376387529</c:v>
                </c:pt>
                <c:pt idx="17">
                  <c:v>70.660171043898245</c:v>
                </c:pt>
                <c:pt idx="18">
                  <c:v>70.647256890612667</c:v>
                </c:pt>
                <c:pt idx="19">
                  <c:v>21.673913043478258</c:v>
                </c:pt>
                <c:pt idx="20">
                  <c:v>46.466515152747249</c:v>
                </c:pt>
                <c:pt idx="21">
                  <c:v>46.81397656428571</c:v>
                </c:pt>
                <c:pt idx="22">
                  <c:v>48.053937810531131</c:v>
                </c:pt>
                <c:pt idx="23">
                  <c:v>48.049122736813182</c:v>
                </c:pt>
                <c:pt idx="24">
                  <c:v>48.065934065934066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23E-1F4B-8782-39FB771739E2}"/>
            </c:ext>
          </c:extLst>
        </c:ser>
        <c:ser>
          <c:idx val="19"/>
          <c:order val="19"/>
          <c:tx>
            <c:strRef>
              <c:f>Building_MI_periodharmonised!$Z$5</c:f>
              <c:strCache>
                <c:ptCount val="1"/>
                <c:pt idx="0">
                  <c:v>Steen (kg/m2)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Building_MI_periodharmonised!$Z$6:$Z$30</c:f>
              <c:numCache>
                <c:formatCode>0.00</c:formatCode>
                <c:ptCount val="25"/>
                <c:pt idx="0">
                  <c:v>22.052394916901395</c:v>
                </c:pt>
                <c:pt idx="1">
                  <c:v>22.240803676291069</c:v>
                </c:pt>
                <c:pt idx="2">
                  <c:v>23.182847473239423</c:v>
                </c:pt>
                <c:pt idx="3">
                  <c:v>23.182847473239423</c:v>
                </c:pt>
                <c:pt idx="4">
                  <c:v>4.4776119402985072E-2</c:v>
                </c:pt>
                <c:pt idx="5">
                  <c:v>0.47078741830985782</c:v>
                </c:pt>
                <c:pt idx="6">
                  <c:v>0.60906715422535074</c:v>
                </c:pt>
                <c:pt idx="7">
                  <c:v>1.3004658338028157</c:v>
                </c:pt>
                <c:pt idx="8">
                  <c:v>1.3004658338028157</c:v>
                </c:pt>
                <c:pt idx="9">
                  <c:v>4.4776119402985072E-2</c:v>
                </c:pt>
                <c:pt idx="10">
                  <c:v>0.43873775797101455</c:v>
                </c:pt>
                <c:pt idx="11">
                  <c:v>0.56953656787439622</c:v>
                </c:pt>
                <c:pt idx="12">
                  <c:v>1.2235306173913045</c:v>
                </c:pt>
                <c:pt idx="13">
                  <c:v>1.2235306173913045</c:v>
                </c:pt>
                <c:pt idx="14">
                  <c:v>9.6618357487922718E-2</c:v>
                </c:pt>
                <c:pt idx="15">
                  <c:v>0.83496118913043471</c:v>
                </c:pt>
                <c:pt idx="16">
                  <c:v>0.7346677232625165</c:v>
                </c:pt>
                <c:pt idx="17">
                  <c:v>0.88796920642292498</c:v>
                </c:pt>
                <c:pt idx="18">
                  <c:v>0.88796920642292487</c:v>
                </c:pt>
                <c:pt idx="19">
                  <c:v>0.53260869565217395</c:v>
                </c:pt>
                <c:pt idx="20">
                  <c:v>5.0542406593406593E-2</c:v>
                </c:pt>
                <c:pt idx="21">
                  <c:v>1.5460693223443222E-2</c:v>
                </c:pt>
                <c:pt idx="22">
                  <c:v>9.2764159340659333E-2</c:v>
                </c:pt>
                <c:pt idx="23">
                  <c:v>9.2764159340659333E-2</c:v>
                </c:pt>
                <c:pt idx="24">
                  <c:v>8.7912087912087905E-2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23E-1F4B-8782-39FB771739E2}"/>
            </c:ext>
          </c:extLst>
        </c:ser>
        <c:ser>
          <c:idx val="20"/>
          <c:order val="20"/>
          <c:tx>
            <c:strRef>
              <c:f>Building_MI_periodharmonised!$AA$5</c:f>
              <c:strCache>
                <c:ptCount val="1"/>
                <c:pt idx="0">
                  <c:v>Zand (kg/m2)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Building_MI_periodharmonised!$A$6:$B$30</c:f>
              <c:multiLvlStrCache>
                <c:ptCount val="25"/>
                <c:lvl>
                  <c:pt idx="0">
                    <c:v>0-1945</c:v>
                  </c:pt>
                  <c:pt idx="1">
                    <c:v>1946-1974</c:v>
                  </c:pt>
                  <c:pt idx="2">
                    <c:v>1975-2005</c:v>
                  </c:pt>
                  <c:pt idx="3">
                    <c:v>2006-2022</c:v>
                  </c:pt>
                  <c:pt idx="4">
                    <c:v>2018-2050</c:v>
                  </c:pt>
                  <c:pt idx="5">
                    <c:v>0-1945</c:v>
                  </c:pt>
                  <c:pt idx="6">
                    <c:v>1946-1974</c:v>
                  </c:pt>
                  <c:pt idx="7">
                    <c:v>1975-2005</c:v>
                  </c:pt>
                  <c:pt idx="8">
                    <c:v>2006-2022</c:v>
                  </c:pt>
                  <c:pt idx="9">
                    <c:v>2018-2050</c:v>
                  </c:pt>
                  <c:pt idx="10">
                    <c:v>0-1945</c:v>
                  </c:pt>
                  <c:pt idx="11">
                    <c:v>1946-1974</c:v>
                  </c:pt>
                  <c:pt idx="12">
                    <c:v>1975-2005</c:v>
                  </c:pt>
                  <c:pt idx="13">
                    <c:v>2006-2022</c:v>
                  </c:pt>
                  <c:pt idx="14">
                    <c:v>2018-2050</c:v>
                  </c:pt>
                  <c:pt idx="15">
                    <c:v>0-1945</c:v>
                  </c:pt>
                  <c:pt idx="16">
                    <c:v>1946-1974</c:v>
                  </c:pt>
                  <c:pt idx="17">
                    <c:v>1975-2005</c:v>
                  </c:pt>
                  <c:pt idx="18">
                    <c:v>2006-2022</c:v>
                  </c:pt>
                  <c:pt idx="19">
                    <c:v>2018-2050</c:v>
                  </c:pt>
                  <c:pt idx="20">
                    <c:v>0-1945</c:v>
                  </c:pt>
                  <c:pt idx="21">
                    <c:v>1946-1974</c:v>
                  </c:pt>
                  <c:pt idx="22">
                    <c:v>1975-2005</c:v>
                  </c:pt>
                  <c:pt idx="23">
                    <c:v>2006-2022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Building_MI_periodharmonised!$AA$6:$AA$30</c:f>
              <c:numCache>
                <c:formatCode>0.00</c:formatCode>
                <c:ptCount val="25"/>
                <c:pt idx="0">
                  <c:v>25.486250845070423</c:v>
                </c:pt>
                <c:pt idx="1">
                  <c:v>25.486250845070423</c:v>
                </c:pt>
                <c:pt idx="2">
                  <c:v>25.486250845070423</c:v>
                </c:pt>
                <c:pt idx="3">
                  <c:v>25.486250845070423</c:v>
                </c:pt>
                <c:pt idx="4">
                  <c:v>99.507462686567166</c:v>
                </c:pt>
                <c:pt idx="5">
                  <c:v>20.141574830985917</c:v>
                </c:pt>
                <c:pt idx="6">
                  <c:v>20.141574830985917</c:v>
                </c:pt>
                <c:pt idx="7">
                  <c:v>20.141574830985917</c:v>
                </c:pt>
                <c:pt idx="8">
                  <c:v>20.141574830985917</c:v>
                </c:pt>
                <c:pt idx="9">
                  <c:v>99.507462686567166</c:v>
                </c:pt>
                <c:pt idx="10">
                  <c:v>25.673779000000003</c:v>
                </c:pt>
                <c:pt idx="11">
                  <c:v>25.673779000000003</c:v>
                </c:pt>
                <c:pt idx="12">
                  <c:v>25.673779000000003</c:v>
                </c:pt>
                <c:pt idx="13">
                  <c:v>25.673779000000003</c:v>
                </c:pt>
                <c:pt idx="14">
                  <c:v>128.72946859903382</c:v>
                </c:pt>
                <c:pt idx="15">
                  <c:v>16.468138358448616</c:v>
                </c:pt>
                <c:pt idx="16">
                  <c:v>16.468138358448616</c:v>
                </c:pt>
                <c:pt idx="17">
                  <c:v>16.468138358448616</c:v>
                </c:pt>
                <c:pt idx="18">
                  <c:v>16.468138358448616</c:v>
                </c:pt>
                <c:pt idx="19">
                  <c:v>30.114130434782606</c:v>
                </c:pt>
                <c:pt idx="20">
                  <c:v>13.502395043956044</c:v>
                </c:pt>
                <c:pt idx="21">
                  <c:v>13.502395043956044</c:v>
                </c:pt>
                <c:pt idx="22">
                  <c:v>13.502395043956044</c:v>
                </c:pt>
                <c:pt idx="23">
                  <c:v>13.502395043956044</c:v>
                </c:pt>
                <c:pt idx="24">
                  <c:v>13.505494505494504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23E-1F4B-8782-39FB77173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73344"/>
        <c:axId val="23535408"/>
      </c:barChart>
      <c:catAx>
        <c:axId val="2377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5408"/>
        <c:crosses val="autoZero"/>
        <c:auto val="1"/>
        <c:lblAlgn val="ctr"/>
        <c:lblOffset val="100"/>
        <c:noMultiLvlLbl val="0"/>
      </c:catAx>
      <c:valAx>
        <c:axId val="2353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Building_MI_original_baseline!$C$5</c:f>
              <c:strCache>
                <c:ptCount val="1"/>
                <c:pt idx="0">
                  <c:v>Aluminium (kg/m2)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Building_MI_original_baseline!$C$6:$C$30</c:f>
              <c:numCache>
                <c:formatCode>0.00</c:formatCode>
                <c:ptCount val="25"/>
                <c:pt idx="0">
                  <c:v>0.1123081338028169</c:v>
                </c:pt>
                <c:pt idx="1">
                  <c:v>0.20712039295774648</c:v>
                </c:pt>
                <c:pt idx="2">
                  <c:v>0.19397868591549297</c:v>
                </c:pt>
                <c:pt idx="3">
                  <c:v>0.19397868591549297</c:v>
                </c:pt>
                <c:pt idx="4">
                  <c:v>1.8059701492537312</c:v>
                </c:pt>
                <c:pt idx="5">
                  <c:v>0.18886813098591554</c:v>
                </c:pt>
                <c:pt idx="6">
                  <c:v>0.2876202295774648</c:v>
                </c:pt>
                <c:pt idx="7">
                  <c:v>0.25258702535211269</c:v>
                </c:pt>
                <c:pt idx="8">
                  <c:v>0.25258702535211269</c:v>
                </c:pt>
                <c:pt idx="9">
                  <c:v>1.8059701492537312</c:v>
                </c:pt>
                <c:pt idx="10">
                  <c:v>0.37854946376811599</c:v>
                </c:pt>
                <c:pt idx="11">
                  <c:v>0.47542224637681163</c:v>
                </c:pt>
                <c:pt idx="12">
                  <c:v>0.37808582173913047</c:v>
                </c:pt>
                <c:pt idx="13">
                  <c:v>0.37808582173913047</c:v>
                </c:pt>
                <c:pt idx="14">
                  <c:v>1.1980676328502415</c:v>
                </c:pt>
                <c:pt idx="15">
                  <c:v>0.20221829725790513</c:v>
                </c:pt>
                <c:pt idx="16">
                  <c:v>0.21147096627964426</c:v>
                </c:pt>
                <c:pt idx="17">
                  <c:v>0.78220971588438182</c:v>
                </c:pt>
                <c:pt idx="18">
                  <c:v>0.78220971588438182</c:v>
                </c:pt>
                <c:pt idx="19">
                  <c:v>1.5489130434782608</c:v>
                </c:pt>
                <c:pt idx="20">
                  <c:v>0.11701019340659341</c:v>
                </c:pt>
                <c:pt idx="21">
                  <c:v>0.13084169560439551</c:v>
                </c:pt>
                <c:pt idx="22">
                  <c:v>1.4716251010989008</c:v>
                </c:pt>
                <c:pt idx="23">
                  <c:v>1.4741659307692303</c:v>
                </c:pt>
                <c:pt idx="24">
                  <c:v>1.4725274725274726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4-2F48-8D03-959054D8D0F1}"/>
            </c:ext>
          </c:extLst>
        </c:ser>
        <c:ser>
          <c:idx val="1"/>
          <c:order val="1"/>
          <c:tx>
            <c:strRef>
              <c:f>Building_MI_original_baseline!$D$5</c:f>
              <c:strCache>
                <c:ptCount val="1"/>
                <c:pt idx="0">
                  <c:v>Baksteen (kg/m2)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Building_MI_original_baseline!$D$6:$D$30</c:f>
              <c:numCache>
                <c:formatCode>0.00</c:formatCode>
                <c:ptCount val="25"/>
                <c:pt idx="0">
                  <c:v>290.13365908450703</c:v>
                </c:pt>
                <c:pt idx="1">
                  <c:v>290.13365908450703</c:v>
                </c:pt>
                <c:pt idx="2">
                  <c:v>116.05346363380282</c:v>
                </c:pt>
                <c:pt idx="3">
                  <c:v>116.05346363380282</c:v>
                </c:pt>
                <c:pt idx="4">
                  <c:v>218.41791044776119</c:v>
                </c:pt>
                <c:pt idx="5">
                  <c:v>322.16941545070426</c:v>
                </c:pt>
                <c:pt idx="6">
                  <c:v>322.16941545070426</c:v>
                </c:pt>
                <c:pt idx="7">
                  <c:v>128.86776618309858</c:v>
                </c:pt>
                <c:pt idx="8">
                  <c:v>128.86776618309858</c:v>
                </c:pt>
                <c:pt idx="9">
                  <c:v>218.41791044776119</c:v>
                </c:pt>
                <c:pt idx="10">
                  <c:v>162.86606424637682</c:v>
                </c:pt>
                <c:pt idx="11">
                  <c:v>162.86606424637682</c:v>
                </c:pt>
                <c:pt idx="12">
                  <c:v>65.146425695652184</c:v>
                </c:pt>
                <c:pt idx="13">
                  <c:v>65.146425695652184</c:v>
                </c:pt>
                <c:pt idx="14">
                  <c:v>179.96618357487924</c:v>
                </c:pt>
                <c:pt idx="15">
                  <c:v>169.93780449011857</c:v>
                </c:pt>
                <c:pt idx="16">
                  <c:v>169.93780449011857</c:v>
                </c:pt>
                <c:pt idx="17">
                  <c:v>54.555367037302368</c:v>
                </c:pt>
                <c:pt idx="18">
                  <c:v>54.555367037302368</c:v>
                </c:pt>
                <c:pt idx="19">
                  <c:v>237.06521739130437</c:v>
                </c:pt>
                <c:pt idx="20">
                  <c:v>171.36517329670332</c:v>
                </c:pt>
                <c:pt idx="21">
                  <c:v>171.36517329670332</c:v>
                </c:pt>
                <c:pt idx="22">
                  <c:v>68.546069318681319</c:v>
                </c:pt>
                <c:pt idx="23">
                  <c:v>68.546069318681319</c:v>
                </c:pt>
                <c:pt idx="24">
                  <c:v>68.549450549450555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4-2F48-8D03-959054D8D0F1}"/>
            </c:ext>
          </c:extLst>
        </c:ser>
        <c:ser>
          <c:idx val="2"/>
          <c:order val="2"/>
          <c:tx>
            <c:strRef>
              <c:f>Building_MI_original_baseline!$E$5</c:f>
              <c:strCache>
                <c:ptCount val="1"/>
                <c:pt idx="0">
                  <c:v>Beton (kg/m2)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Building_MI_original_baseline!$E$6:$E$30</c:f>
              <c:numCache>
                <c:formatCode>0.00</c:formatCode>
                <c:ptCount val="25"/>
                <c:pt idx="0">
                  <c:v>1376.7648660647862</c:v>
                </c:pt>
                <c:pt idx="1">
                  <c:v>1375.8505954591524</c:v>
                </c:pt>
                <c:pt idx="2">
                  <c:v>1310.8140770859129</c:v>
                </c:pt>
                <c:pt idx="3">
                  <c:v>1310.8140770859129</c:v>
                </c:pt>
                <c:pt idx="4">
                  <c:v>1190.3880597014925</c:v>
                </c:pt>
                <c:pt idx="5">
                  <c:v>1388.6241446239421</c:v>
                </c:pt>
                <c:pt idx="6">
                  <c:v>1508.265099229576</c:v>
                </c:pt>
                <c:pt idx="7">
                  <c:v>1589.920186801407</c:v>
                </c:pt>
                <c:pt idx="8">
                  <c:v>1589.920186801407</c:v>
                </c:pt>
                <c:pt idx="9">
                  <c:v>1190.3880597014925</c:v>
                </c:pt>
                <c:pt idx="10">
                  <c:v>1144.3172885652173</c:v>
                </c:pt>
                <c:pt idx="11">
                  <c:v>1225.6518204347826</c:v>
                </c:pt>
                <c:pt idx="12">
                  <c:v>1304.4812254217391</c:v>
                </c:pt>
                <c:pt idx="13">
                  <c:v>1304.4812254217391</c:v>
                </c:pt>
                <c:pt idx="14">
                  <c:v>1662.6231884057972</c:v>
                </c:pt>
                <c:pt idx="15">
                  <c:v>1421.6139480039028</c:v>
                </c:pt>
                <c:pt idx="16">
                  <c:v>1512.2461587949108</c:v>
                </c:pt>
                <c:pt idx="17">
                  <c:v>1526.4957120451579</c:v>
                </c:pt>
                <c:pt idx="18">
                  <c:v>1526.4957120451579</c:v>
                </c:pt>
                <c:pt idx="19">
                  <c:v>1107.9076086956522</c:v>
                </c:pt>
                <c:pt idx="20">
                  <c:v>1097.8571164296693</c:v>
                </c:pt>
                <c:pt idx="21">
                  <c:v>1168.9713799285703</c:v>
                </c:pt>
                <c:pt idx="22">
                  <c:v>1208.6320879021953</c:v>
                </c:pt>
                <c:pt idx="23">
                  <c:v>1208.6320879021953</c:v>
                </c:pt>
                <c:pt idx="24">
                  <c:v>1178.131868131868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D4-2F48-8D03-959054D8D0F1}"/>
            </c:ext>
          </c:extLst>
        </c:ser>
        <c:ser>
          <c:idx val="3"/>
          <c:order val="3"/>
          <c:tx>
            <c:strRef>
              <c:f>Building_MI_original_baseline!$F$5</c:f>
              <c:strCache>
                <c:ptCount val="1"/>
                <c:pt idx="0">
                  <c:v>Bitumen (kg/m2)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Building_MI_original_baseline!$F$6:$F$30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0.23186739436619719</c:v>
                </c:pt>
                <c:pt idx="3">
                  <c:v>0.23186739436619719</c:v>
                </c:pt>
                <c:pt idx="4">
                  <c:v>0.10447761194029852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0.10447761194029852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0.64251207729468607</c:v>
                </c:pt>
                <c:pt idx="15">
                  <c:v>0</c:v>
                </c:pt>
                <c:pt idx="16">
                  <c:v>0</c:v>
                </c:pt>
                <c:pt idx="17">
                  <c:v>0.82586820096343772</c:v>
                </c:pt>
                <c:pt idx="18">
                  <c:v>0.82586820096343772</c:v>
                </c:pt>
                <c:pt idx="19">
                  <c:v>0.31521739130434784</c:v>
                </c:pt>
                <c:pt idx="20">
                  <c:v>6.7692307692307691E-2</c:v>
                </c:pt>
                <c:pt idx="21">
                  <c:v>6.7692307692307691E-2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D4-2F48-8D03-959054D8D0F1}"/>
            </c:ext>
          </c:extLst>
        </c:ser>
        <c:ser>
          <c:idx val="4"/>
          <c:order val="4"/>
          <c:tx>
            <c:strRef>
              <c:f>Building_MI_original_baseline!$G$5</c:f>
              <c:strCache>
                <c:ptCount val="1"/>
                <c:pt idx="0">
                  <c:v>Electronica (kg/m2)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Building_MI_original_baseline!$G$6:$G$30</c:f>
              <c:numCache>
                <c:formatCode>0.00</c:formatCode>
                <c:ptCount val="25"/>
                <c:pt idx="0">
                  <c:v>1.4084507042253521E-2</c:v>
                </c:pt>
                <c:pt idx="1">
                  <c:v>1.4084507042253521E-2</c:v>
                </c:pt>
                <c:pt idx="2">
                  <c:v>1.4084507042253521E-2</c:v>
                </c:pt>
                <c:pt idx="3">
                  <c:v>1.4084507042253521E-2</c:v>
                </c:pt>
                <c:pt idx="4">
                  <c:v>0.62686567164179097</c:v>
                </c:pt>
                <c:pt idx="5">
                  <c:v>7.0422535211267607E-3</c:v>
                </c:pt>
                <c:pt idx="6">
                  <c:v>7.0422535211267607E-3</c:v>
                </c:pt>
                <c:pt idx="7">
                  <c:v>7.0422535211267607E-3</c:v>
                </c:pt>
                <c:pt idx="8">
                  <c:v>7.0422535211267607E-3</c:v>
                </c:pt>
                <c:pt idx="9">
                  <c:v>0.62686567164179097</c:v>
                </c:pt>
                <c:pt idx="10">
                  <c:v>1.8924160869565217E-2</c:v>
                </c:pt>
                <c:pt idx="11">
                  <c:v>1.8924160869565217E-2</c:v>
                </c:pt>
                <c:pt idx="12">
                  <c:v>1.8924160869565217E-2</c:v>
                </c:pt>
                <c:pt idx="13">
                  <c:v>1.8924160869565217E-2</c:v>
                </c:pt>
                <c:pt idx="14">
                  <c:v>0.89855072463768126</c:v>
                </c:pt>
                <c:pt idx="15">
                  <c:v>3.2032279496047429E-2</c:v>
                </c:pt>
                <c:pt idx="16">
                  <c:v>3.2032279496047429E-2</c:v>
                </c:pt>
                <c:pt idx="17">
                  <c:v>3.2032279496047429E-2</c:v>
                </c:pt>
                <c:pt idx="18">
                  <c:v>3.2032279496047429E-2</c:v>
                </c:pt>
                <c:pt idx="19">
                  <c:v>1.2880434782608696</c:v>
                </c:pt>
                <c:pt idx="20">
                  <c:v>3.663003626373626E-2</c:v>
                </c:pt>
                <c:pt idx="21">
                  <c:v>3.663003626373626E-2</c:v>
                </c:pt>
                <c:pt idx="22">
                  <c:v>3.663003626373626E-2</c:v>
                </c:pt>
                <c:pt idx="23">
                  <c:v>3.663003626373626E-2</c:v>
                </c:pt>
                <c:pt idx="24">
                  <c:v>3.2967032967032968E-2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D4-2F48-8D03-959054D8D0F1}"/>
            </c:ext>
          </c:extLst>
        </c:ser>
        <c:ser>
          <c:idx val="5"/>
          <c:order val="5"/>
          <c:tx>
            <c:strRef>
              <c:f>Building_MI_original_baseline!$H$5</c:f>
              <c:strCache>
                <c:ptCount val="1"/>
                <c:pt idx="0">
                  <c:v>Gips (kg/m2)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Building_MI_original_baseline!$H$6:$H$30</c:f>
              <c:numCache>
                <c:formatCode>0.00</c:formatCode>
                <c:ptCount val="25"/>
                <c:pt idx="0">
                  <c:v>9.3222154816901419</c:v>
                </c:pt>
                <c:pt idx="1">
                  <c:v>31.41036341126761</c:v>
                </c:pt>
                <c:pt idx="2">
                  <c:v>31.41036341126761</c:v>
                </c:pt>
                <c:pt idx="3">
                  <c:v>31.41036341126761</c:v>
                </c:pt>
                <c:pt idx="4">
                  <c:v>15.820895522388058</c:v>
                </c:pt>
                <c:pt idx="5">
                  <c:v>10.021588338028154</c:v>
                </c:pt>
                <c:pt idx="6">
                  <c:v>46.677546563380261</c:v>
                </c:pt>
                <c:pt idx="7">
                  <c:v>46.677546563380261</c:v>
                </c:pt>
                <c:pt idx="8">
                  <c:v>46.677546563380261</c:v>
                </c:pt>
                <c:pt idx="9">
                  <c:v>15.820895522388058</c:v>
                </c:pt>
                <c:pt idx="10">
                  <c:v>7.6938449159420292</c:v>
                </c:pt>
                <c:pt idx="11">
                  <c:v>16.722916946376813</c:v>
                </c:pt>
                <c:pt idx="12">
                  <c:v>16.722916946376813</c:v>
                </c:pt>
                <c:pt idx="13">
                  <c:v>16.722916946376813</c:v>
                </c:pt>
                <c:pt idx="14">
                  <c:v>13.54106280193237</c:v>
                </c:pt>
                <c:pt idx="15">
                  <c:v>13.986688577099798</c:v>
                </c:pt>
                <c:pt idx="16">
                  <c:v>13.986688577099798</c:v>
                </c:pt>
                <c:pt idx="17">
                  <c:v>13.000620371417984</c:v>
                </c:pt>
                <c:pt idx="18">
                  <c:v>13.000620371417984</c:v>
                </c:pt>
                <c:pt idx="19">
                  <c:v>30.874999999999996</c:v>
                </c:pt>
                <c:pt idx="20">
                  <c:v>9.5043092065934065</c:v>
                </c:pt>
                <c:pt idx="21">
                  <c:v>9.5043092065934065</c:v>
                </c:pt>
                <c:pt idx="22">
                  <c:v>10.5910709</c:v>
                </c:pt>
                <c:pt idx="23">
                  <c:v>10.5910709</c:v>
                </c:pt>
                <c:pt idx="24">
                  <c:v>10.791208791208792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D4-2F48-8D03-959054D8D0F1}"/>
            </c:ext>
          </c:extLst>
        </c:ser>
        <c:ser>
          <c:idx val="6"/>
          <c:order val="6"/>
          <c:tx>
            <c:strRef>
              <c:f>Building_MI_original_baseline!$I$5</c:f>
              <c:strCache>
                <c:ptCount val="1"/>
                <c:pt idx="0">
                  <c:v>Glas (kg/m2)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Building_MI_original_baseline!$I$6:$I$30</c:f>
              <c:numCache>
                <c:formatCode>0.00</c:formatCode>
                <c:ptCount val="25"/>
                <c:pt idx="0">
                  <c:v>0</c:v>
                </c:pt>
                <c:pt idx="1">
                  <c:v>3.2294997704225352</c:v>
                </c:pt>
                <c:pt idx="2">
                  <c:v>6.4589995394366193</c:v>
                </c:pt>
                <c:pt idx="3">
                  <c:v>6.4589995394366193</c:v>
                </c:pt>
                <c:pt idx="4">
                  <c:v>11.134328358208954</c:v>
                </c:pt>
                <c:pt idx="5">
                  <c:v>0.18055071267605635</c:v>
                </c:pt>
                <c:pt idx="6">
                  <c:v>2.4917772253521133</c:v>
                </c:pt>
                <c:pt idx="7">
                  <c:v>4.8030037380281687</c:v>
                </c:pt>
                <c:pt idx="8">
                  <c:v>4.8030037380281687</c:v>
                </c:pt>
                <c:pt idx="9">
                  <c:v>11.134328358208954</c:v>
                </c:pt>
                <c:pt idx="10">
                  <c:v>0.23043419420289715</c:v>
                </c:pt>
                <c:pt idx="11">
                  <c:v>2.3138175405797088</c:v>
                </c:pt>
                <c:pt idx="12">
                  <c:v>4.3972008869565204</c:v>
                </c:pt>
                <c:pt idx="13">
                  <c:v>4.3972008869565204</c:v>
                </c:pt>
                <c:pt idx="14">
                  <c:v>7.5458937198067639</c:v>
                </c:pt>
                <c:pt idx="15">
                  <c:v>0.23152289397233203</c:v>
                </c:pt>
                <c:pt idx="16">
                  <c:v>2.5580129903903108</c:v>
                </c:pt>
                <c:pt idx="17">
                  <c:v>4.8845030879199598</c:v>
                </c:pt>
                <c:pt idx="18">
                  <c:v>4.8845030879199598</c:v>
                </c:pt>
                <c:pt idx="19">
                  <c:v>5.8913043478260869</c:v>
                </c:pt>
                <c:pt idx="20">
                  <c:v>11.018224612087911</c:v>
                </c:pt>
                <c:pt idx="21">
                  <c:v>14.158282454945043</c:v>
                </c:pt>
                <c:pt idx="22">
                  <c:v>17.298340297802184</c:v>
                </c:pt>
                <c:pt idx="23">
                  <c:v>17.298340297802184</c:v>
                </c:pt>
                <c:pt idx="24">
                  <c:v>17.296703296703296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D4-2F48-8D03-959054D8D0F1}"/>
            </c:ext>
          </c:extLst>
        </c:ser>
        <c:ser>
          <c:idx val="7"/>
          <c:order val="7"/>
          <c:tx>
            <c:strRef>
              <c:f>Building_MI_original_baseline!$J$5</c:f>
              <c:strCache>
                <c:ptCount val="1"/>
                <c:pt idx="0">
                  <c:v>Hout (kg/m2)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Building_MI_original_baseline!$J$6:$J$30</c:f>
              <c:numCache>
                <c:formatCode>0.00</c:formatCode>
                <c:ptCount val="25"/>
                <c:pt idx="0">
                  <c:v>181.00586869013947</c:v>
                </c:pt>
                <c:pt idx="1">
                  <c:v>98.419572477464826</c:v>
                </c:pt>
                <c:pt idx="2">
                  <c:v>25.123550152112678</c:v>
                </c:pt>
                <c:pt idx="3">
                  <c:v>35.690020400000002</c:v>
                </c:pt>
                <c:pt idx="4">
                  <c:v>34.328358208955223</c:v>
                </c:pt>
                <c:pt idx="5">
                  <c:v>88.17859265915493</c:v>
                </c:pt>
                <c:pt idx="6">
                  <c:v>52.5479935169014</c:v>
                </c:pt>
                <c:pt idx="7">
                  <c:v>28.588292078873238</c:v>
                </c:pt>
                <c:pt idx="8">
                  <c:v>42.414406792957749</c:v>
                </c:pt>
                <c:pt idx="9">
                  <c:v>34.328358208955223</c:v>
                </c:pt>
                <c:pt idx="10">
                  <c:v>64.768413495652169</c:v>
                </c:pt>
                <c:pt idx="11">
                  <c:v>40.861085121739109</c:v>
                </c:pt>
                <c:pt idx="12">
                  <c:v>20.304001179710145</c:v>
                </c:pt>
                <c:pt idx="13">
                  <c:v>32.834914582608697</c:v>
                </c:pt>
                <c:pt idx="14">
                  <c:v>24.90338164251208</c:v>
                </c:pt>
                <c:pt idx="15">
                  <c:v>33.943422969713424</c:v>
                </c:pt>
                <c:pt idx="16">
                  <c:v>23.011512423023714</c:v>
                </c:pt>
                <c:pt idx="17">
                  <c:v>11.80718337072628</c:v>
                </c:pt>
                <c:pt idx="18">
                  <c:v>13.125159888908099</c:v>
                </c:pt>
                <c:pt idx="19">
                  <c:v>2.206521739130435</c:v>
                </c:pt>
                <c:pt idx="20">
                  <c:v>42.832492139560415</c:v>
                </c:pt>
                <c:pt idx="21">
                  <c:v>24.410079309890111</c:v>
                </c:pt>
                <c:pt idx="22">
                  <c:v>9.4723306142857133</c:v>
                </c:pt>
                <c:pt idx="23">
                  <c:v>14.176482770329667</c:v>
                </c:pt>
                <c:pt idx="2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D4-2F48-8D03-959054D8D0F1}"/>
            </c:ext>
          </c:extLst>
        </c:ser>
        <c:ser>
          <c:idx val="8"/>
          <c:order val="8"/>
          <c:tx>
            <c:strRef>
              <c:f>Building_MI_original_baseline!$AG$5</c:f>
              <c:strCache>
                <c:ptCount val="1"/>
                <c:pt idx="0">
                  <c:v>Isolatie (kg/m2)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Building_MI_original_baseline!$AG$6:$AG$30</c:f>
              <c:numCache>
                <c:formatCode>0.00</c:formatCode>
                <c:ptCount val="25"/>
                <c:pt idx="0">
                  <c:v>13.575590573239438</c:v>
                </c:pt>
                <c:pt idx="1">
                  <c:v>14.033810794366198</c:v>
                </c:pt>
                <c:pt idx="2">
                  <c:v>14.642552156338013</c:v>
                </c:pt>
                <c:pt idx="3">
                  <c:v>16.494385402816917</c:v>
                </c:pt>
                <c:pt idx="4">
                  <c:v>34.104477611940297</c:v>
                </c:pt>
                <c:pt idx="5">
                  <c:v>14.378566736619716</c:v>
                </c:pt>
                <c:pt idx="6">
                  <c:v>14.886732830985913</c:v>
                </c:pt>
                <c:pt idx="7">
                  <c:v>15.398919942253519</c:v>
                </c:pt>
                <c:pt idx="8">
                  <c:v>17.010001458450695</c:v>
                </c:pt>
                <c:pt idx="9">
                  <c:v>34.104477611940297</c:v>
                </c:pt>
                <c:pt idx="10">
                  <c:v>13.21922307536232</c:v>
                </c:pt>
                <c:pt idx="11">
                  <c:v>13.477310789855075</c:v>
                </c:pt>
                <c:pt idx="12">
                  <c:v>13.843262210144928</c:v>
                </c:pt>
                <c:pt idx="13">
                  <c:v>14.970341108695655</c:v>
                </c:pt>
                <c:pt idx="14">
                  <c:v>26.415458937198071</c:v>
                </c:pt>
                <c:pt idx="15">
                  <c:v>18.45664685239624</c:v>
                </c:pt>
                <c:pt idx="16">
                  <c:v>19.158717388611656</c:v>
                </c:pt>
                <c:pt idx="17">
                  <c:v>13.59116603233695</c:v>
                </c:pt>
                <c:pt idx="18">
                  <c:v>10.457778820689224</c:v>
                </c:pt>
                <c:pt idx="19">
                  <c:v>7.7065217391304346</c:v>
                </c:pt>
                <c:pt idx="20">
                  <c:v>16.883190557142861</c:v>
                </c:pt>
                <c:pt idx="21">
                  <c:v>17.205952518681318</c:v>
                </c:pt>
                <c:pt idx="22">
                  <c:v>12.358508760439561</c:v>
                </c:pt>
                <c:pt idx="23">
                  <c:v>8.5152887335164849</c:v>
                </c:pt>
                <c:pt idx="24">
                  <c:v>9.1868131868131861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D4-2F48-8D03-959054D8D0F1}"/>
            </c:ext>
          </c:extLst>
        </c:ser>
        <c:ser>
          <c:idx val="9"/>
          <c:order val="9"/>
          <c:tx>
            <c:strRef>
              <c:f>Building_MI_original_baseline!$P$5</c:f>
              <c:strCache>
                <c:ptCount val="1"/>
                <c:pt idx="0">
                  <c:v>Kalkzandsteen (kg/m2)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Building_MI_original_baseline!$P$6:$P$30</c:f>
              <c:numCache>
                <c:formatCode>0.00</c:formatCode>
                <c:ptCount val="25"/>
                <c:pt idx="0">
                  <c:v>307.73567974647892</c:v>
                </c:pt>
                <c:pt idx="1">
                  <c:v>307.73567974647892</c:v>
                </c:pt>
                <c:pt idx="2">
                  <c:v>655.38373088732124</c:v>
                </c:pt>
                <c:pt idx="3">
                  <c:v>655.38373088732124</c:v>
                </c:pt>
                <c:pt idx="4">
                  <c:v>0</c:v>
                </c:pt>
                <c:pt idx="5">
                  <c:v>327.72170992957751</c:v>
                </c:pt>
                <c:pt idx="6">
                  <c:v>327.72170992957751</c:v>
                </c:pt>
                <c:pt idx="7">
                  <c:v>728.52222140845072</c:v>
                </c:pt>
                <c:pt idx="8">
                  <c:v>728.52222140845072</c:v>
                </c:pt>
                <c:pt idx="9">
                  <c:v>0</c:v>
                </c:pt>
                <c:pt idx="10">
                  <c:v>263.36174559420294</c:v>
                </c:pt>
                <c:pt idx="11">
                  <c:v>263.36174559420294</c:v>
                </c:pt>
                <c:pt idx="12">
                  <c:v>427.32686753623187</c:v>
                </c:pt>
                <c:pt idx="13">
                  <c:v>427.32686753623187</c:v>
                </c:pt>
                <c:pt idx="14">
                  <c:v>0</c:v>
                </c:pt>
                <c:pt idx="15">
                  <c:v>224.76978087598758</c:v>
                </c:pt>
                <c:pt idx="16">
                  <c:v>224.76978087598758</c:v>
                </c:pt>
                <c:pt idx="17">
                  <c:v>324.79346358646245</c:v>
                </c:pt>
                <c:pt idx="18">
                  <c:v>324.79346358646245</c:v>
                </c:pt>
                <c:pt idx="19">
                  <c:v>0</c:v>
                </c:pt>
                <c:pt idx="20">
                  <c:v>252.87193786813185</c:v>
                </c:pt>
                <c:pt idx="21">
                  <c:v>252.87193786813185</c:v>
                </c:pt>
                <c:pt idx="22">
                  <c:v>338.93859252747251</c:v>
                </c:pt>
                <c:pt idx="23">
                  <c:v>338.93859252747251</c:v>
                </c:pt>
                <c:pt idx="24">
                  <c:v>338.93406593406593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D4-2F48-8D03-959054D8D0F1}"/>
            </c:ext>
          </c:extLst>
        </c:ser>
        <c:ser>
          <c:idx val="10"/>
          <c:order val="10"/>
          <c:tx>
            <c:strRef>
              <c:f>Building_MI_original_baseline!$Q$5</c:f>
              <c:strCache>
                <c:ptCount val="1"/>
                <c:pt idx="0">
                  <c:v>Keramiek (kg/m2)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Building_MI_original_baseline!$Q$6:$Q$30</c:f>
              <c:numCache>
                <c:formatCode>0.00</c:formatCode>
                <c:ptCount val="25"/>
                <c:pt idx="0">
                  <c:v>33.736131078873242</c:v>
                </c:pt>
                <c:pt idx="1">
                  <c:v>33.736131078873242</c:v>
                </c:pt>
                <c:pt idx="2">
                  <c:v>2.3478010929577464</c:v>
                </c:pt>
                <c:pt idx="3">
                  <c:v>2.3478010929577464</c:v>
                </c:pt>
                <c:pt idx="4">
                  <c:v>5.3582089552238799</c:v>
                </c:pt>
                <c:pt idx="5">
                  <c:v>3.3205046464788595</c:v>
                </c:pt>
                <c:pt idx="6">
                  <c:v>3.3205046464788595</c:v>
                </c:pt>
                <c:pt idx="7">
                  <c:v>3.3205046464788595</c:v>
                </c:pt>
                <c:pt idx="8">
                  <c:v>3.3205046464788595</c:v>
                </c:pt>
                <c:pt idx="9">
                  <c:v>5.3582089552238799</c:v>
                </c:pt>
                <c:pt idx="10">
                  <c:v>2.7625526971014498</c:v>
                </c:pt>
                <c:pt idx="11">
                  <c:v>2.7625526971014498</c:v>
                </c:pt>
                <c:pt idx="12">
                  <c:v>2.7625526971014498</c:v>
                </c:pt>
                <c:pt idx="13">
                  <c:v>2.7625526971014498</c:v>
                </c:pt>
                <c:pt idx="14">
                  <c:v>6.57487922705314</c:v>
                </c:pt>
                <c:pt idx="15">
                  <c:v>12.270727132905126</c:v>
                </c:pt>
                <c:pt idx="16">
                  <c:v>12.270727132905126</c:v>
                </c:pt>
                <c:pt idx="17">
                  <c:v>5.6977324031620444</c:v>
                </c:pt>
                <c:pt idx="18">
                  <c:v>5.6977324031620444</c:v>
                </c:pt>
                <c:pt idx="19">
                  <c:v>12.581521739130434</c:v>
                </c:pt>
                <c:pt idx="20">
                  <c:v>18.81893665164834</c:v>
                </c:pt>
                <c:pt idx="21">
                  <c:v>18.81893665164834</c:v>
                </c:pt>
                <c:pt idx="22">
                  <c:v>4.8449721571428466</c:v>
                </c:pt>
                <c:pt idx="23">
                  <c:v>4.8449721571428466</c:v>
                </c:pt>
                <c:pt idx="24">
                  <c:v>5.2527472527472527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D4-2F48-8D03-959054D8D0F1}"/>
            </c:ext>
          </c:extLst>
        </c:ser>
        <c:ser>
          <c:idx val="11"/>
          <c:order val="11"/>
          <c:tx>
            <c:strRef>
              <c:f>Building_MI_original_baseline!$R$5</c:f>
              <c:strCache>
                <c:ptCount val="1"/>
                <c:pt idx="0">
                  <c:v>Koper (kg/m2)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Building_MI_original_baseline!$R$6:$R$30</c:f>
              <c:numCache>
                <c:formatCode>0.00</c:formatCode>
                <c:ptCount val="25"/>
                <c:pt idx="0">
                  <c:v>0.91964413521126764</c:v>
                </c:pt>
                <c:pt idx="1">
                  <c:v>0.91964413521126764</c:v>
                </c:pt>
                <c:pt idx="2">
                  <c:v>0.91964413521126764</c:v>
                </c:pt>
                <c:pt idx="3">
                  <c:v>0.91964413521126764</c:v>
                </c:pt>
                <c:pt idx="4">
                  <c:v>0.47761194029850745</c:v>
                </c:pt>
                <c:pt idx="5">
                  <c:v>0.84813828732394358</c:v>
                </c:pt>
                <c:pt idx="6">
                  <c:v>0.84813828732394358</c:v>
                </c:pt>
                <c:pt idx="7">
                  <c:v>0.84813828732394358</c:v>
                </c:pt>
                <c:pt idx="8">
                  <c:v>0.84813828732394358</c:v>
                </c:pt>
                <c:pt idx="9">
                  <c:v>0.47761194029850745</c:v>
                </c:pt>
                <c:pt idx="10">
                  <c:v>0.35149360434782612</c:v>
                </c:pt>
                <c:pt idx="11">
                  <c:v>0.35149360434782612</c:v>
                </c:pt>
                <c:pt idx="12">
                  <c:v>0.35149360434782612</c:v>
                </c:pt>
                <c:pt idx="13">
                  <c:v>0.35149360434782612</c:v>
                </c:pt>
                <c:pt idx="14">
                  <c:v>0.58454106280193241</c:v>
                </c:pt>
                <c:pt idx="15">
                  <c:v>0.30749103120059285</c:v>
                </c:pt>
                <c:pt idx="16">
                  <c:v>0.30749103120059285</c:v>
                </c:pt>
                <c:pt idx="17">
                  <c:v>0.30843152722332012</c:v>
                </c:pt>
                <c:pt idx="18">
                  <c:v>0.30890177551877468</c:v>
                </c:pt>
                <c:pt idx="19">
                  <c:v>0.37499999999999994</c:v>
                </c:pt>
                <c:pt idx="20">
                  <c:v>0.20715254395604393</c:v>
                </c:pt>
                <c:pt idx="21">
                  <c:v>0.20715254395604393</c:v>
                </c:pt>
                <c:pt idx="22">
                  <c:v>0.20751864175824175</c:v>
                </c:pt>
                <c:pt idx="23">
                  <c:v>0.20770169065934066</c:v>
                </c:pt>
                <c:pt idx="24">
                  <c:v>0.2087912087912088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2D4-2F48-8D03-959054D8D0F1}"/>
            </c:ext>
          </c:extLst>
        </c:ser>
        <c:ser>
          <c:idx val="12"/>
          <c:order val="12"/>
          <c:tx>
            <c:strRef>
              <c:f>Building_MI_original_baseline!$S$5</c:f>
              <c:strCache>
                <c:ptCount val="1"/>
                <c:pt idx="0">
                  <c:v>Kunststoffen (kg/m2)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Building_MI_original_baseline!$S$6:$S$30</c:f>
              <c:numCache>
                <c:formatCode>0.00</c:formatCode>
                <c:ptCount val="25"/>
                <c:pt idx="0">
                  <c:v>1.3289144064788729</c:v>
                </c:pt>
                <c:pt idx="1">
                  <c:v>1.575594152957746</c:v>
                </c:pt>
                <c:pt idx="2">
                  <c:v>1.7965501529577459</c:v>
                </c:pt>
                <c:pt idx="3">
                  <c:v>1.7965501529577459</c:v>
                </c:pt>
                <c:pt idx="4">
                  <c:v>2.4029850746268657</c:v>
                </c:pt>
                <c:pt idx="5">
                  <c:v>1.2349096312676042</c:v>
                </c:pt>
                <c:pt idx="6">
                  <c:v>1.5494636326760549</c:v>
                </c:pt>
                <c:pt idx="7">
                  <c:v>1.8044713045070404</c:v>
                </c:pt>
                <c:pt idx="8">
                  <c:v>1.8044713045070404</c:v>
                </c:pt>
                <c:pt idx="9">
                  <c:v>2.4029850746268657</c:v>
                </c:pt>
                <c:pt idx="10">
                  <c:v>0.81826993999999875</c:v>
                </c:pt>
                <c:pt idx="11">
                  <c:v>1.1453851689855061</c:v>
                </c:pt>
                <c:pt idx="12">
                  <c:v>1.8714109544927526</c:v>
                </c:pt>
                <c:pt idx="13">
                  <c:v>1.8714109544927526</c:v>
                </c:pt>
                <c:pt idx="14">
                  <c:v>2.8743961352657008</c:v>
                </c:pt>
                <c:pt idx="15">
                  <c:v>0.99483573656126456</c:v>
                </c:pt>
                <c:pt idx="16">
                  <c:v>1.2289766862154146</c:v>
                </c:pt>
                <c:pt idx="17">
                  <c:v>1.8854805530879433</c:v>
                </c:pt>
                <c:pt idx="18">
                  <c:v>1.8877069491106706</c:v>
                </c:pt>
                <c:pt idx="19">
                  <c:v>2.5054347826086953</c:v>
                </c:pt>
                <c:pt idx="20">
                  <c:v>1.4989690769230766</c:v>
                </c:pt>
                <c:pt idx="21">
                  <c:v>1.7718148934065934</c:v>
                </c:pt>
                <c:pt idx="22">
                  <c:v>1.8114522395604398</c:v>
                </c:pt>
                <c:pt idx="23">
                  <c:v>1.8127363142857145</c:v>
                </c:pt>
                <c:pt idx="24">
                  <c:v>1.813186813186813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D4-2F48-8D03-959054D8D0F1}"/>
            </c:ext>
          </c:extLst>
        </c:ser>
        <c:ser>
          <c:idx val="13"/>
          <c:order val="13"/>
          <c:tx>
            <c:strRef>
              <c:f>Building_MI_original_baseline!$T$5</c:f>
              <c:strCache>
                <c:ptCount val="1"/>
                <c:pt idx="0">
                  <c:v>Lijm en verf (kg/m2)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Building_MI_original_baseline!$T$6:$T$30</c:f>
              <c:numCache>
                <c:formatCode>0.00</c:formatCode>
                <c:ptCount val="25"/>
                <c:pt idx="0">
                  <c:v>1.5227198140845066</c:v>
                </c:pt>
                <c:pt idx="1">
                  <c:v>1.5071151830985914</c:v>
                </c:pt>
                <c:pt idx="2">
                  <c:v>1.4728023140845068</c:v>
                </c:pt>
                <c:pt idx="3">
                  <c:v>1.5506930957746479</c:v>
                </c:pt>
                <c:pt idx="4">
                  <c:v>0.9253731343283581</c:v>
                </c:pt>
                <c:pt idx="5">
                  <c:v>1.6288591619718307</c:v>
                </c:pt>
                <c:pt idx="6">
                  <c:v>1.7200033676056337</c:v>
                </c:pt>
                <c:pt idx="7">
                  <c:v>1.7337557619718309</c:v>
                </c:pt>
                <c:pt idx="8">
                  <c:v>1.8392071225352109</c:v>
                </c:pt>
                <c:pt idx="9">
                  <c:v>0.9253731343283581</c:v>
                </c:pt>
                <c:pt idx="10">
                  <c:v>1.3552014608695648</c:v>
                </c:pt>
                <c:pt idx="11">
                  <c:v>1.464410814492753</c:v>
                </c:pt>
                <c:pt idx="12">
                  <c:v>1.4601666637681157</c:v>
                </c:pt>
                <c:pt idx="13">
                  <c:v>1.5566010376811577</c:v>
                </c:pt>
                <c:pt idx="14">
                  <c:v>0.7874396135265701</c:v>
                </c:pt>
                <c:pt idx="15">
                  <c:v>2.0525547885968374</c:v>
                </c:pt>
                <c:pt idx="16">
                  <c:v>5.6162211183152166</c:v>
                </c:pt>
                <c:pt idx="17">
                  <c:v>5.616245234298419</c:v>
                </c:pt>
                <c:pt idx="18">
                  <c:v>5.554137688621541</c:v>
                </c:pt>
                <c:pt idx="19">
                  <c:v>0.99456521739130421</c:v>
                </c:pt>
                <c:pt idx="20">
                  <c:v>1.9742970098901096</c:v>
                </c:pt>
                <c:pt idx="21">
                  <c:v>2.7024723384615381</c:v>
                </c:pt>
                <c:pt idx="22">
                  <c:v>2.663679708791209</c:v>
                </c:pt>
                <c:pt idx="23">
                  <c:v>2.6451737923076921</c:v>
                </c:pt>
                <c:pt idx="24">
                  <c:v>2.6483516483516483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2D4-2F48-8D03-959054D8D0F1}"/>
            </c:ext>
          </c:extLst>
        </c:ser>
        <c:ser>
          <c:idx val="14"/>
          <c:order val="14"/>
          <c:tx>
            <c:strRef>
              <c:f>Building_MI_original_baseline!$U$5</c:f>
              <c:strCache>
                <c:ptCount val="1"/>
                <c:pt idx="0">
                  <c:v>Mortel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Building_MI_original_baseline!$U$6:$U$30</c:f>
              <c:numCache>
                <c:formatCode>0.00</c:formatCode>
                <c:ptCount val="25"/>
                <c:pt idx="4">
                  <c:v>82.910447761194021</c:v>
                </c:pt>
                <c:pt idx="9">
                  <c:v>82.910447761194021</c:v>
                </c:pt>
                <c:pt idx="14">
                  <c:v>63.603864734299513</c:v>
                </c:pt>
                <c:pt idx="19">
                  <c:v>61.532608695652172</c:v>
                </c:pt>
                <c:pt idx="24">
                  <c:v>30.505494505494507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2D4-2F48-8D03-959054D8D0F1}"/>
            </c:ext>
          </c:extLst>
        </c:ser>
        <c:ser>
          <c:idx val="15"/>
          <c:order val="15"/>
          <c:tx>
            <c:strRef>
              <c:f>Building_MI_original_baseline!$V$5</c:f>
              <c:strCache>
                <c:ptCount val="1"/>
                <c:pt idx="0">
                  <c:v>Overig biobased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Building_MI_original_baseline!$V$6:$V$30</c:f>
              <c:numCache>
                <c:formatCode>0.00</c:formatCode>
                <c:ptCount val="25"/>
                <c:pt idx="4">
                  <c:v>0</c:v>
                </c:pt>
                <c:pt idx="9">
                  <c:v>0</c:v>
                </c:pt>
                <c:pt idx="14">
                  <c:v>0</c:v>
                </c:pt>
                <c:pt idx="19">
                  <c:v>0</c:v>
                </c:pt>
                <c:pt idx="24">
                  <c:v>1.2307692307692308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2D4-2F48-8D03-959054D8D0F1}"/>
            </c:ext>
          </c:extLst>
        </c:ser>
        <c:ser>
          <c:idx val="16"/>
          <c:order val="16"/>
          <c:tx>
            <c:strRef>
              <c:f>Building_MI_original_baseline!$W$5</c:f>
              <c:strCache>
                <c:ptCount val="1"/>
                <c:pt idx="0">
                  <c:v>Overige metalen (kg/m2)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Building_MI_original_baseline!$W$6:$W$30</c:f>
              <c:numCache>
                <c:formatCode>0.00</c:formatCode>
                <c:ptCount val="25"/>
                <c:pt idx="0">
                  <c:v>3.9420607408450712</c:v>
                </c:pt>
                <c:pt idx="1">
                  <c:v>3.945169339436621</c:v>
                </c:pt>
                <c:pt idx="2">
                  <c:v>3.945169339436621</c:v>
                </c:pt>
                <c:pt idx="3">
                  <c:v>3.945169339436621</c:v>
                </c:pt>
                <c:pt idx="4">
                  <c:v>0.11940298507462686</c:v>
                </c:pt>
                <c:pt idx="5">
                  <c:v>1.3351705873239421</c:v>
                </c:pt>
                <c:pt idx="6">
                  <c:v>1.3770228845070407</c:v>
                </c:pt>
                <c:pt idx="7">
                  <c:v>1.3770228845070407</c:v>
                </c:pt>
                <c:pt idx="8">
                  <c:v>1.3770228845070407</c:v>
                </c:pt>
                <c:pt idx="9">
                  <c:v>0.11940298507462686</c:v>
                </c:pt>
                <c:pt idx="10">
                  <c:v>1.4697139710144911</c:v>
                </c:pt>
                <c:pt idx="11">
                  <c:v>1.5202924623188392</c:v>
                </c:pt>
                <c:pt idx="12">
                  <c:v>1.5202924623188392</c:v>
                </c:pt>
                <c:pt idx="13">
                  <c:v>1.5202924623188392</c:v>
                </c:pt>
                <c:pt idx="14">
                  <c:v>0.12077294685990339</c:v>
                </c:pt>
                <c:pt idx="15">
                  <c:v>0.72710811603260872</c:v>
                </c:pt>
                <c:pt idx="16">
                  <c:v>0.74015650410079059</c:v>
                </c:pt>
                <c:pt idx="17">
                  <c:v>0.74692466405632407</c:v>
                </c:pt>
                <c:pt idx="18">
                  <c:v>0.74699402201086951</c:v>
                </c:pt>
                <c:pt idx="19">
                  <c:v>0.12499999999999999</c:v>
                </c:pt>
                <c:pt idx="20">
                  <c:v>0.46113914505494502</c:v>
                </c:pt>
                <c:pt idx="21">
                  <c:v>0.49499219999999994</c:v>
                </c:pt>
                <c:pt idx="22">
                  <c:v>0.49499219999999994</c:v>
                </c:pt>
                <c:pt idx="23">
                  <c:v>0.49499219999999994</c:v>
                </c:pt>
                <c:pt idx="24">
                  <c:v>0.49450549450549453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2D4-2F48-8D03-959054D8D0F1}"/>
            </c:ext>
          </c:extLst>
        </c:ser>
        <c:ser>
          <c:idx val="17"/>
          <c:order val="17"/>
          <c:tx>
            <c:strRef>
              <c:f>Building_MI_original_baseline!$X$5</c:f>
              <c:strCache>
                <c:ptCount val="1"/>
                <c:pt idx="0">
                  <c:v>Papier (kg/m2)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Building_MI_original_baseline!$X$6:$X$30</c:f>
              <c:numCache>
                <c:formatCode>0.00</c:formatCode>
                <c:ptCount val="25"/>
                <c:pt idx="0">
                  <c:v>0</c:v>
                </c:pt>
                <c:pt idx="1">
                  <c:v>0.2419382957746479</c:v>
                </c:pt>
                <c:pt idx="2">
                  <c:v>0.2419382957746479</c:v>
                </c:pt>
                <c:pt idx="3">
                  <c:v>0.2419382957746479</c:v>
                </c:pt>
                <c:pt idx="4">
                  <c:v>1.3731343283582089</c:v>
                </c:pt>
                <c:pt idx="5">
                  <c:v>0</c:v>
                </c:pt>
                <c:pt idx="6">
                  <c:v>0.36854849295774644</c:v>
                </c:pt>
                <c:pt idx="7">
                  <c:v>0.36854849295774644</c:v>
                </c:pt>
                <c:pt idx="8">
                  <c:v>0.36854849295774644</c:v>
                </c:pt>
                <c:pt idx="9">
                  <c:v>1.3731343283582089</c:v>
                </c:pt>
                <c:pt idx="10">
                  <c:v>0</c:v>
                </c:pt>
                <c:pt idx="11">
                  <c:v>0.47785589275362322</c:v>
                </c:pt>
                <c:pt idx="12">
                  <c:v>0.47785589275362322</c:v>
                </c:pt>
                <c:pt idx="13">
                  <c:v>0.47785589275362322</c:v>
                </c:pt>
                <c:pt idx="14">
                  <c:v>0.58454106280193241</c:v>
                </c:pt>
                <c:pt idx="15">
                  <c:v>0</c:v>
                </c:pt>
                <c:pt idx="16">
                  <c:v>0.35798067065217387</c:v>
                </c:pt>
                <c:pt idx="17">
                  <c:v>0.35798067065217387</c:v>
                </c:pt>
                <c:pt idx="18">
                  <c:v>0.35798067065217387</c:v>
                </c:pt>
                <c:pt idx="19">
                  <c:v>0.27173913043478259</c:v>
                </c:pt>
                <c:pt idx="20">
                  <c:v>0</c:v>
                </c:pt>
                <c:pt idx="21">
                  <c:v>0.43177825824175825</c:v>
                </c:pt>
                <c:pt idx="22">
                  <c:v>0.43177825824175825</c:v>
                </c:pt>
                <c:pt idx="23">
                  <c:v>0.43177825824175825</c:v>
                </c:pt>
                <c:pt idx="24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2D4-2F48-8D03-959054D8D0F1}"/>
            </c:ext>
          </c:extLst>
        </c:ser>
        <c:ser>
          <c:idx val="18"/>
          <c:order val="18"/>
          <c:tx>
            <c:strRef>
              <c:f>Building_MI_original_baseline!$Y$5</c:f>
              <c:strCache>
                <c:ptCount val="1"/>
                <c:pt idx="0">
                  <c:v>Staal &amp; IJzer (kg/m2)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Building_MI_original_baseline!$Y$6:$Y$30</c:f>
              <c:numCache>
                <c:formatCode>0.00</c:formatCode>
                <c:ptCount val="25"/>
                <c:pt idx="0">
                  <c:v>69.751482257746474</c:v>
                </c:pt>
                <c:pt idx="1">
                  <c:v>56.706148863380278</c:v>
                </c:pt>
                <c:pt idx="2">
                  <c:v>44.199920694366185</c:v>
                </c:pt>
                <c:pt idx="3">
                  <c:v>44.186520899999984</c:v>
                </c:pt>
                <c:pt idx="4">
                  <c:v>25.686567164179102</c:v>
                </c:pt>
                <c:pt idx="5">
                  <c:v>59.321162621126753</c:v>
                </c:pt>
                <c:pt idx="6">
                  <c:v>61.458932929577458</c:v>
                </c:pt>
                <c:pt idx="7">
                  <c:v>63.325573736619717</c:v>
                </c:pt>
                <c:pt idx="8">
                  <c:v>63.308935043661968</c:v>
                </c:pt>
                <c:pt idx="9">
                  <c:v>25.686567164179102</c:v>
                </c:pt>
                <c:pt idx="10">
                  <c:v>51.236411047826117</c:v>
                </c:pt>
                <c:pt idx="11">
                  <c:v>53.185350868115947</c:v>
                </c:pt>
                <c:pt idx="12">
                  <c:v>54.825078604347844</c:v>
                </c:pt>
                <c:pt idx="13">
                  <c:v>54.810216828985524</c:v>
                </c:pt>
                <c:pt idx="14">
                  <c:v>29.855072463768114</c:v>
                </c:pt>
                <c:pt idx="15">
                  <c:v>69.102116075667027</c:v>
                </c:pt>
                <c:pt idx="16">
                  <c:v>68.586460476753956</c:v>
                </c:pt>
                <c:pt idx="17">
                  <c:v>70.662753874555364</c:v>
                </c:pt>
                <c:pt idx="18">
                  <c:v>70.647256890612667</c:v>
                </c:pt>
                <c:pt idx="19">
                  <c:v>21.673913043478258</c:v>
                </c:pt>
                <c:pt idx="20">
                  <c:v>46.466515152747249</c:v>
                </c:pt>
                <c:pt idx="21">
                  <c:v>46.565791712087908</c:v>
                </c:pt>
                <c:pt idx="22">
                  <c:v>48.054900825274721</c:v>
                </c:pt>
                <c:pt idx="23">
                  <c:v>48.049122736813182</c:v>
                </c:pt>
                <c:pt idx="24">
                  <c:v>48.065934065934066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2D4-2F48-8D03-959054D8D0F1}"/>
            </c:ext>
          </c:extLst>
        </c:ser>
        <c:ser>
          <c:idx val="19"/>
          <c:order val="19"/>
          <c:tx>
            <c:strRef>
              <c:f>Building_MI_original_baseline!$Z$5</c:f>
              <c:strCache>
                <c:ptCount val="1"/>
                <c:pt idx="0">
                  <c:v>Steen (kg/m2)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Building_MI_original_baseline!$Z$6:$Z$30</c:f>
              <c:numCache>
                <c:formatCode>0.00</c:formatCode>
                <c:ptCount val="25"/>
                <c:pt idx="0">
                  <c:v>22.052394916901395</c:v>
                </c:pt>
                <c:pt idx="1">
                  <c:v>22.052394916901395</c:v>
                </c:pt>
                <c:pt idx="2">
                  <c:v>23.182847473239423</c:v>
                </c:pt>
                <c:pt idx="3">
                  <c:v>23.182847473239423</c:v>
                </c:pt>
                <c:pt idx="4">
                  <c:v>4.4776119402985072E-2</c:v>
                </c:pt>
                <c:pt idx="5">
                  <c:v>0.47078741830985782</c:v>
                </c:pt>
                <c:pt idx="6">
                  <c:v>0.47078741830985782</c:v>
                </c:pt>
                <c:pt idx="7">
                  <c:v>1.3004658338028157</c:v>
                </c:pt>
                <c:pt idx="8">
                  <c:v>1.3004658338028157</c:v>
                </c:pt>
                <c:pt idx="9">
                  <c:v>4.4776119402985072E-2</c:v>
                </c:pt>
                <c:pt idx="10">
                  <c:v>0.43873775797101455</c:v>
                </c:pt>
                <c:pt idx="11">
                  <c:v>0.43873775797101455</c:v>
                </c:pt>
                <c:pt idx="12">
                  <c:v>1.2235306173913045</c:v>
                </c:pt>
                <c:pt idx="13">
                  <c:v>1.2235306173913045</c:v>
                </c:pt>
                <c:pt idx="14">
                  <c:v>9.6618357487922718E-2</c:v>
                </c:pt>
                <c:pt idx="15">
                  <c:v>0.83496118913043471</c:v>
                </c:pt>
                <c:pt idx="16">
                  <c:v>0.70400742663043481</c:v>
                </c:pt>
                <c:pt idx="17">
                  <c:v>0.88796920642292487</c:v>
                </c:pt>
                <c:pt idx="18">
                  <c:v>0.88796920642292487</c:v>
                </c:pt>
                <c:pt idx="19">
                  <c:v>0.53260869565217395</c:v>
                </c:pt>
                <c:pt idx="20">
                  <c:v>5.0542406593406593E-2</c:v>
                </c:pt>
                <c:pt idx="21">
                  <c:v>0</c:v>
                </c:pt>
                <c:pt idx="22">
                  <c:v>9.2764159340659333E-2</c:v>
                </c:pt>
                <c:pt idx="23">
                  <c:v>9.2764159340659333E-2</c:v>
                </c:pt>
                <c:pt idx="24">
                  <c:v>8.7912087912087905E-2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2D4-2F48-8D03-959054D8D0F1}"/>
            </c:ext>
          </c:extLst>
        </c:ser>
        <c:ser>
          <c:idx val="20"/>
          <c:order val="20"/>
          <c:tx>
            <c:strRef>
              <c:f>Building_MI_original_baseline!$AA$5</c:f>
              <c:strCache>
                <c:ptCount val="1"/>
                <c:pt idx="0">
                  <c:v>Zand (kg/m2)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Building_MI_original_baseline!$A$6:$B$30</c:f>
              <c:multiLvlStrCache>
                <c:ptCount val="25"/>
                <c:lvl>
                  <c:pt idx="0">
                    <c:v>pre 1945</c:v>
                  </c:pt>
                  <c:pt idx="1">
                    <c:v>1945-1970</c:v>
                  </c:pt>
                  <c:pt idx="2">
                    <c:v>1970-2000</c:v>
                  </c:pt>
                  <c:pt idx="3">
                    <c:v>2000-2018</c:v>
                  </c:pt>
                  <c:pt idx="4">
                    <c:v>2018-2050</c:v>
                  </c:pt>
                  <c:pt idx="5">
                    <c:v>pre 1945</c:v>
                  </c:pt>
                  <c:pt idx="6">
                    <c:v>1945-1970</c:v>
                  </c:pt>
                  <c:pt idx="7">
                    <c:v>1970-2000</c:v>
                  </c:pt>
                  <c:pt idx="8">
                    <c:v>2000-2018</c:v>
                  </c:pt>
                  <c:pt idx="9">
                    <c:v>2018-2050</c:v>
                  </c:pt>
                  <c:pt idx="10">
                    <c:v>pre 1945</c:v>
                  </c:pt>
                  <c:pt idx="11">
                    <c:v>1945-1970</c:v>
                  </c:pt>
                  <c:pt idx="12">
                    <c:v>1970-2000</c:v>
                  </c:pt>
                  <c:pt idx="13">
                    <c:v>2000-2018</c:v>
                  </c:pt>
                  <c:pt idx="14">
                    <c:v>2018-2050</c:v>
                  </c:pt>
                  <c:pt idx="15">
                    <c:v>pre 1945</c:v>
                  </c:pt>
                  <c:pt idx="16">
                    <c:v>1945-1970</c:v>
                  </c:pt>
                  <c:pt idx="17">
                    <c:v>1970-2000</c:v>
                  </c:pt>
                  <c:pt idx="18">
                    <c:v>2000-2018</c:v>
                  </c:pt>
                  <c:pt idx="19">
                    <c:v>2018-2050</c:v>
                  </c:pt>
                  <c:pt idx="20">
                    <c:v>pre 1945</c:v>
                  </c:pt>
                  <c:pt idx="21">
                    <c:v>1945-1970</c:v>
                  </c:pt>
                  <c:pt idx="22">
                    <c:v>1970-2000</c:v>
                  </c:pt>
                  <c:pt idx="23">
                    <c:v>2000-2018</c:v>
                  </c:pt>
                  <c:pt idx="24">
                    <c:v>2018-2050</c:v>
                  </c:pt>
                </c:lvl>
                <c:lvl>
                  <c:pt idx="0">
                    <c:v>Detached</c:v>
                  </c:pt>
                  <c:pt idx="5">
                    <c:v>Semi-Detached</c:v>
                  </c:pt>
                  <c:pt idx="10">
                    <c:v>Terraced</c:v>
                  </c:pt>
                  <c:pt idx="15">
                    <c:v>Apartment building</c:v>
                  </c:pt>
                  <c:pt idx="20">
                    <c:v>Mixed-Use</c:v>
                  </c:pt>
                </c:lvl>
              </c:multiLvlStrCache>
            </c:multiLvlStrRef>
          </c:cat>
          <c:val>
            <c:numRef>
              <c:f>Building_MI_original_baseline!$AA$6:$AA$30</c:f>
              <c:numCache>
                <c:formatCode>0.00</c:formatCode>
                <c:ptCount val="25"/>
                <c:pt idx="0">
                  <c:v>25.486250845070423</c:v>
                </c:pt>
                <c:pt idx="1">
                  <c:v>25.486250845070423</c:v>
                </c:pt>
                <c:pt idx="2">
                  <c:v>25.486250845070423</c:v>
                </c:pt>
                <c:pt idx="3">
                  <c:v>25.486250845070423</c:v>
                </c:pt>
                <c:pt idx="4">
                  <c:v>99.507462686567166</c:v>
                </c:pt>
                <c:pt idx="5">
                  <c:v>20.141574830985917</c:v>
                </c:pt>
                <c:pt idx="6">
                  <c:v>20.141574830985917</c:v>
                </c:pt>
                <c:pt idx="7">
                  <c:v>20.141574830985917</c:v>
                </c:pt>
                <c:pt idx="8">
                  <c:v>20.141574830985917</c:v>
                </c:pt>
                <c:pt idx="9">
                  <c:v>99.507462686567166</c:v>
                </c:pt>
                <c:pt idx="10">
                  <c:v>25.673779000000003</c:v>
                </c:pt>
                <c:pt idx="11">
                  <c:v>25.673779000000003</c:v>
                </c:pt>
                <c:pt idx="12">
                  <c:v>25.673779000000003</c:v>
                </c:pt>
                <c:pt idx="13">
                  <c:v>25.673779000000003</c:v>
                </c:pt>
                <c:pt idx="14">
                  <c:v>128.72946859903382</c:v>
                </c:pt>
                <c:pt idx="15">
                  <c:v>16.468138358448616</c:v>
                </c:pt>
                <c:pt idx="16">
                  <c:v>16.468138358448616</c:v>
                </c:pt>
                <c:pt idx="17">
                  <c:v>16.468138358448616</c:v>
                </c:pt>
                <c:pt idx="18">
                  <c:v>16.468138358448616</c:v>
                </c:pt>
                <c:pt idx="19">
                  <c:v>30.114130434782606</c:v>
                </c:pt>
                <c:pt idx="20">
                  <c:v>13.502395043956044</c:v>
                </c:pt>
                <c:pt idx="21">
                  <c:v>13.502395043956044</c:v>
                </c:pt>
                <c:pt idx="22">
                  <c:v>13.502395043956044</c:v>
                </c:pt>
                <c:pt idx="23">
                  <c:v>13.502395043956044</c:v>
                </c:pt>
                <c:pt idx="24">
                  <c:v>13.505494505494504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2D4-2F48-8D03-959054D8D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73344"/>
        <c:axId val="23535408"/>
      </c:barChart>
      <c:catAx>
        <c:axId val="2377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5408"/>
        <c:crosses val="autoZero"/>
        <c:auto val="1"/>
        <c:lblAlgn val="ctr"/>
        <c:lblOffset val="100"/>
        <c:noMultiLvlLbl val="0"/>
      </c:catAx>
      <c:valAx>
        <c:axId val="2353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810831</xdr:colOff>
      <xdr:row>1</xdr:row>
      <xdr:rowOff>152762</xdr:rowOff>
    </xdr:from>
    <xdr:to>
      <xdr:col>46</xdr:col>
      <xdr:colOff>197186</xdr:colOff>
      <xdr:row>38</xdr:row>
      <xdr:rowOff>50819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B508A-598E-9147-8885-FCD50E7E4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760031</xdr:colOff>
      <xdr:row>42</xdr:row>
      <xdr:rowOff>101962</xdr:rowOff>
    </xdr:from>
    <xdr:to>
      <xdr:col>47</xdr:col>
      <xdr:colOff>146385</xdr:colOff>
      <xdr:row>79</xdr:row>
      <xdr:rowOff>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D6103-381C-0A42-8ADC-36A226523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760031</xdr:colOff>
      <xdr:row>42</xdr:row>
      <xdr:rowOff>101962</xdr:rowOff>
    </xdr:from>
    <xdr:to>
      <xdr:col>47</xdr:col>
      <xdr:colOff>146385</xdr:colOff>
      <xdr:row>79</xdr:row>
      <xdr:rowOff>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F0829-0A5B-93DE-6B82-062A09884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B8E24-CF0B-EB4B-BD7B-2D1BFA23DA40}" name="Table1" displayName="Table1" ref="A2:B23" totalsRowShown="0">
  <autoFilter ref="A2:B23" xr:uid="{5BFB8E24-CF0B-EB4B-BD7B-2D1BFA23DA40}"/>
  <sortState xmlns:xlrd2="http://schemas.microsoft.com/office/spreadsheetml/2017/richdata2" ref="A3:B23">
    <sortCondition ref="A2:A23"/>
  </sortState>
  <tableColumns count="2">
    <tableColumn id="1" xr3:uid="{518B9C7F-F6A3-E14A-AE0B-9D83976E4EC6}" name="BONSAI"/>
    <tableColumn id="2" xr3:uid="{2BDE2033-47F4-394E-8753-F51B9A4E3C99}" name="MP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5543-77FF-B74F-953F-F4D8ABEC5354}">
  <dimension ref="A1:AG51"/>
  <sheetViews>
    <sheetView tabSelected="1" zoomScale="75" zoomScaleNormal="44" workbookViewId="0">
      <selection activeCell="AB22" sqref="AB22"/>
    </sheetView>
  </sheetViews>
  <sheetFormatPr baseColWidth="10" defaultRowHeight="16" x14ac:dyDescent="0.2"/>
  <sheetData>
    <row r="1" spans="1:28" x14ac:dyDescent="0.2">
      <c r="B1" t="s">
        <v>162</v>
      </c>
      <c r="C1" t="s">
        <v>22</v>
      </c>
      <c r="D1" t="s">
        <v>22</v>
      </c>
      <c r="E1" t="s">
        <v>22</v>
      </c>
      <c r="F1" t="s">
        <v>22</v>
      </c>
      <c r="G1" t="s">
        <v>22</v>
      </c>
      <c r="H1" t="s">
        <v>22</v>
      </c>
      <c r="I1" t="s">
        <v>22</v>
      </c>
      <c r="J1" t="s">
        <v>22</v>
      </c>
      <c r="K1" t="s">
        <v>22</v>
      </c>
      <c r="L1" t="s">
        <v>22</v>
      </c>
      <c r="M1" t="s">
        <v>22</v>
      </c>
      <c r="N1" t="s">
        <v>22</v>
      </c>
      <c r="O1" t="s">
        <v>22</v>
      </c>
      <c r="P1" t="s">
        <v>22</v>
      </c>
      <c r="Q1" t="s">
        <v>22</v>
      </c>
      <c r="R1" t="s">
        <v>22</v>
      </c>
      <c r="S1" t="s">
        <v>22</v>
      </c>
      <c r="T1" t="s">
        <v>22</v>
      </c>
      <c r="U1" t="s">
        <v>22</v>
      </c>
      <c r="V1" t="s">
        <v>22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</row>
    <row r="2" spans="1:28" x14ac:dyDescent="0.2">
      <c r="B2" t="s">
        <v>163</v>
      </c>
      <c r="C2" t="s">
        <v>91</v>
      </c>
      <c r="D2" t="s">
        <v>96</v>
      </c>
      <c r="E2" t="s">
        <v>96</v>
      </c>
      <c r="F2" t="s">
        <v>96</v>
      </c>
      <c r="G2" t="s">
        <v>95</v>
      </c>
      <c r="H2" t="s">
        <v>96</v>
      </c>
      <c r="I2" t="s">
        <v>88</v>
      </c>
      <c r="J2" t="s">
        <v>92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90</v>
      </c>
      <c r="S2" t="s">
        <v>89</v>
      </c>
      <c r="T2" t="s">
        <v>96</v>
      </c>
      <c r="U2" t="s">
        <v>96</v>
      </c>
      <c r="V2" t="s">
        <v>92</v>
      </c>
      <c r="W2" t="s">
        <v>93</v>
      </c>
      <c r="X2" t="s">
        <v>94</v>
      </c>
      <c r="Y2" t="s">
        <v>87</v>
      </c>
      <c r="Z2" t="s">
        <v>96</v>
      </c>
      <c r="AA2" t="s">
        <v>96</v>
      </c>
    </row>
    <row r="3" spans="1:28" x14ac:dyDescent="0.2">
      <c r="B3" t="s">
        <v>73</v>
      </c>
      <c r="F3" t="s">
        <v>75</v>
      </c>
      <c r="Q3" t="s">
        <v>77</v>
      </c>
      <c r="S3" t="s">
        <v>63</v>
      </c>
      <c r="W3" t="s">
        <v>72</v>
      </c>
      <c r="Y3" t="s">
        <v>71</v>
      </c>
    </row>
    <row r="4" spans="1:28" x14ac:dyDescent="0.2">
      <c r="B4" t="s">
        <v>59</v>
      </c>
      <c r="C4" t="s">
        <v>67</v>
      </c>
      <c r="D4" t="s">
        <v>66</v>
      </c>
      <c r="E4" t="s">
        <v>74</v>
      </c>
      <c r="F4" t="s">
        <v>135</v>
      </c>
      <c r="G4" t="s">
        <v>76</v>
      </c>
      <c r="H4" t="s">
        <v>66</v>
      </c>
      <c r="I4" t="s">
        <v>65</v>
      </c>
      <c r="J4" t="s">
        <v>60</v>
      </c>
      <c r="K4" t="s">
        <v>65</v>
      </c>
      <c r="L4" t="s">
        <v>64</v>
      </c>
      <c r="M4" t="s">
        <v>123</v>
      </c>
      <c r="N4" t="s">
        <v>64</v>
      </c>
      <c r="O4" t="s">
        <v>64</v>
      </c>
      <c r="P4" t="s">
        <v>66</v>
      </c>
      <c r="Q4" t="s">
        <v>66</v>
      </c>
      <c r="R4" t="s">
        <v>69</v>
      </c>
      <c r="S4" t="s">
        <v>64</v>
      </c>
      <c r="T4" t="s">
        <v>85</v>
      </c>
      <c r="U4" t="s">
        <v>66</v>
      </c>
      <c r="V4" t="s">
        <v>60</v>
      </c>
      <c r="W4" t="s">
        <v>68</v>
      </c>
      <c r="X4" t="s">
        <v>83</v>
      </c>
      <c r="Y4" t="s">
        <v>70</v>
      </c>
      <c r="Z4" t="s">
        <v>62</v>
      </c>
      <c r="AA4" t="s">
        <v>61</v>
      </c>
    </row>
    <row r="5" spans="1:28" x14ac:dyDescent="0.2">
      <c r="A5" t="s">
        <v>0</v>
      </c>
      <c r="B5" t="s">
        <v>14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49</v>
      </c>
      <c r="V5" t="s">
        <v>50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</row>
    <row r="6" spans="1:28" x14ac:dyDescent="0.2">
      <c r="A6" s="21" t="s">
        <v>160</v>
      </c>
      <c r="B6" t="s">
        <v>164</v>
      </c>
      <c r="C6" s="2">
        <v>0.1123081338028169</v>
      </c>
      <c r="D6" s="2">
        <v>290.13365908450703</v>
      </c>
      <c r="E6" s="2">
        <v>1376.7648660647862</v>
      </c>
      <c r="F6" s="2">
        <v>0</v>
      </c>
      <c r="G6" s="2">
        <v>1.4084507042253521E-2</v>
      </c>
      <c r="H6" s="2">
        <v>9.3222154816901419</v>
      </c>
      <c r="I6" s="2">
        <v>0</v>
      </c>
      <c r="J6" s="2">
        <v>181.00586869013947</v>
      </c>
      <c r="K6" s="2">
        <f t="shared" ref="K6:O6" si="0">$AG6*AI$35</f>
        <v>0</v>
      </c>
      <c r="L6" s="2">
        <f t="shared" si="0"/>
        <v>0</v>
      </c>
      <c r="M6" s="2">
        <f t="shared" si="0"/>
        <v>0</v>
      </c>
      <c r="N6" s="2">
        <f t="shared" si="0"/>
        <v>0</v>
      </c>
      <c r="O6" s="2">
        <f t="shared" si="0"/>
        <v>0</v>
      </c>
      <c r="P6" s="2">
        <v>307.73567974647892</v>
      </c>
      <c r="Q6" s="2">
        <v>33.736131078873242</v>
      </c>
      <c r="R6" s="2">
        <v>0.91964413521126764</v>
      </c>
      <c r="S6" s="2">
        <v>1.3289144064788729</v>
      </c>
      <c r="T6" s="2">
        <v>1.5227198140845066</v>
      </c>
      <c r="U6" s="2"/>
      <c r="V6" s="2"/>
      <c r="W6" s="2">
        <v>3.9420607408450712</v>
      </c>
      <c r="X6" s="2">
        <v>0</v>
      </c>
      <c r="Y6" s="2">
        <v>69.751482257746474</v>
      </c>
      <c r="Z6" s="2">
        <v>22.052394916901395</v>
      </c>
      <c r="AA6" s="2">
        <v>25.486250845070423</v>
      </c>
      <c r="AB6" s="2"/>
    </row>
    <row r="7" spans="1:28" x14ac:dyDescent="0.2">
      <c r="B7" t="s">
        <v>17</v>
      </c>
      <c r="C7" s="2" cm="1">
        <f t="array" ref="C7:AA7">(25/30)*Building_MI_original_baseline!C7:AA7+(5/30)*Building_MI_original_baseline!C8:AA8</f>
        <v>0.20493010845070422</v>
      </c>
      <c r="D7" s="2">
        <v>261.12029317605635</v>
      </c>
      <c r="E7" s="2">
        <v>1365.0111757302793</v>
      </c>
      <c r="F7" s="2">
        <v>3.8644565727699531E-2</v>
      </c>
      <c r="G7" s="2">
        <v>1.4084507042253523E-2</v>
      </c>
      <c r="H7" s="2">
        <v>31.41036341126761</v>
      </c>
      <c r="I7" s="2">
        <v>3.7677497319248827</v>
      </c>
      <c r="J7" s="2">
        <v>86.203568756572793</v>
      </c>
      <c r="K7" s="2">
        <v>5.2300490445704222</v>
      </c>
      <c r="L7" s="2">
        <v>3.8165222757676056</v>
      </c>
      <c r="M7" s="2">
        <v>3.1097588913661967</v>
      </c>
      <c r="N7" s="2">
        <v>1.1308214150422535</v>
      </c>
      <c r="O7" s="2">
        <v>0.84811606128169004</v>
      </c>
      <c r="P7" s="2">
        <v>365.67702160328599</v>
      </c>
      <c r="Q7" s="2">
        <v>28.504742747887327</v>
      </c>
      <c r="R7" s="2">
        <v>0.91964413521126764</v>
      </c>
      <c r="S7" s="2">
        <v>1.612420152957746</v>
      </c>
      <c r="T7" s="2">
        <v>1.501396371596244</v>
      </c>
      <c r="U7" s="2">
        <v>0</v>
      </c>
      <c r="V7" s="2">
        <v>0</v>
      </c>
      <c r="W7" s="2">
        <v>3.945169339436621</v>
      </c>
      <c r="X7" s="2">
        <v>0.2419382957746479</v>
      </c>
      <c r="Y7" s="2">
        <v>54.621777501877936</v>
      </c>
      <c r="Z7" s="2">
        <v>22.240803676291069</v>
      </c>
      <c r="AA7" s="2">
        <v>25.486250845070423</v>
      </c>
      <c r="AB7" s="2"/>
    </row>
    <row r="8" spans="1:28" x14ac:dyDescent="0.2">
      <c r="B8" t="s">
        <v>18</v>
      </c>
      <c r="C8" s="2" cm="1">
        <f t="array" ref="C8:AA8">(25/30)*Building_MI_original_baseline!C8:AA8+(5/30)*Building_MI_original_baseline!C9:AA9</f>
        <v>0.19397868591549297</v>
      </c>
      <c r="D8" s="2">
        <v>116.05346363380283</v>
      </c>
      <c r="E8" s="2">
        <v>1310.8140770859131</v>
      </c>
      <c r="F8" s="2">
        <v>0.23186739436619719</v>
      </c>
      <c r="G8" s="2">
        <v>1.4084507042253523E-2</v>
      </c>
      <c r="H8" s="2">
        <v>31.41036341126761</v>
      </c>
      <c r="I8" s="2">
        <v>6.4589995394366202</v>
      </c>
      <c r="J8" s="2">
        <v>26.884628526760565</v>
      </c>
      <c r="K8" s="2">
        <v>5.5319406813779306</v>
      </c>
      <c r="L8" s="2">
        <v>4.0368215783028143</v>
      </c>
      <c r="M8" s="2">
        <v>3.2892620267652561</v>
      </c>
      <c r="N8" s="2">
        <v>1.196095282460093</v>
      </c>
      <c r="O8" s="2">
        <v>0.89707146184506981</v>
      </c>
      <c r="P8" s="2">
        <v>655.38373088732124</v>
      </c>
      <c r="Q8" s="2">
        <v>2.3478010929577464</v>
      </c>
      <c r="R8" s="2">
        <v>0.91964413521126764</v>
      </c>
      <c r="S8" s="2">
        <v>1.7965501529577459</v>
      </c>
      <c r="T8" s="2">
        <v>1.4857841110328636</v>
      </c>
      <c r="U8" s="2">
        <v>0</v>
      </c>
      <c r="V8" s="2">
        <v>0</v>
      </c>
      <c r="W8" s="2">
        <v>3.945169339436621</v>
      </c>
      <c r="X8" s="2">
        <v>0.2419382957746479</v>
      </c>
      <c r="Y8" s="2">
        <v>44.197687395305152</v>
      </c>
      <c r="Z8" s="2">
        <v>23.182847473239423</v>
      </c>
      <c r="AA8" s="2">
        <v>25.486250845070423</v>
      </c>
      <c r="AB8" s="2"/>
    </row>
    <row r="9" spans="1:28" x14ac:dyDescent="0.2">
      <c r="B9" t="s">
        <v>58</v>
      </c>
      <c r="C9" s="2">
        <v>0.19397868591549297</v>
      </c>
      <c r="D9" s="2">
        <v>116.05346363380282</v>
      </c>
      <c r="E9" s="2">
        <v>1310.8140770859129</v>
      </c>
      <c r="F9" s="2">
        <v>0.23186739436619719</v>
      </c>
      <c r="G9" s="2">
        <v>1.4084507042253521E-2</v>
      </c>
      <c r="H9" s="2">
        <v>31.41036341126761</v>
      </c>
      <c r="I9" s="2">
        <v>6.4589995394366193</v>
      </c>
      <c r="J9" s="2">
        <v>35.690020400000002</v>
      </c>
      <c r="K9" s="2">
        <f t="shared" ref="K9:O11" si="1">$AG9*AI$35</f>
        <v>0</v>
      </c>
      <c r="L9" s="2">
        <f t="shared" si="1"/>
        <v>0</v>
      </c>
      <c r="M9" s="2">
        <f t="shared" si="1"/>
        <v>0</v>
      </c>
      <c r="N9" s="2">
        <f t="shared" si="1"/>
        <v>0</v>
      </c>
      <c r="O9" s="2">
        <f t="shared" si="1"/>
        <v>0</v>
      </c>
      <c r="P9" s="2">
        <v>655.38373088732124</v>
      </c>
      <c r="Q9" s="2">
        <v>2.3478010929577464</v>
      </c>
      <c r="R9" s="2">
        <v>0.91964413521126764</v>
      </c>
      <c r="S9" s="2">
        <v>1.7965501529577459</v>
      </c>
      <c r="T9" s="2">
        <v>1.5506930957746479</v>
      </c>
      <c r="U9" s="2"/>
      <c r="V9" s="2"/>
      <c r="W9" s="2">
        <v>3.945169339436621</v>
      </c>
      <c r="X9" s="2">
        <v>0.2419382957746479</v>
      </c>
      <c r="Y9" s="2">
        <v>44.186520899999984</v>
      </c>
      <c r="Z9" s="2">
        <v>23.182847473239423</v>
      </c>
      <c r="AA9" s="2">
        <v>25.486250845070423</v>
      </c>
      <c r="AB9" s="2"/>
    </row>
    <row r="10" spans="1:28" x14ac:dyDescent="0.2">
      <c r="B10" t="s">
        <v>21</v>
      </c>
      <c r="C10" s="2">
        <v>1.8059701492537312</v>
      </c>
      <c r="D10" s="2">
        <v>218.41791044776119</v>
      </c>
      <c r="E10" s="2">
        <v>1190.3880597014925</v>
      </c>
      <c r="F10" s="2">
        <v>0.10447761194029852</v>
      </c>
      <c r="G10" s="2">
        <v>0.62686567164179097</v>
      </c>
      <c r="H10" s="2">
        <v>15.820895522388058</v>
      </c>
      <c r="I10" s="2">
        <v>11.134328358208954</v>
      </c>
      <c r="J10" s="2">
        <v>34.328358208955223</v>
      </c>
      <c r="K10" s="2">
        <f t="shared" si="1"/>
        <v>0</v>
      </c>
      <c r="L10" s="2">
        <f t="shared" si="1"/>
        <v>0</v>
      </c>
      <c r="M10" s="2">
        <f t="shared" si="1"/>
        <v>0</v>
      </c>
      <c r="N10" s="2">
        <f t="shared" si="1"/>
        <v>0</v>
      </c>
      <c r="O10" s="2">
        <f t="shared" si="1"/>
        <v>0</v>
      </c>
      <c r="P10" s="2">
        <v>0</v>
      </c>
      <c r="Q10" s="2">
        <v>5.3582089552238799</v>
      </c>
      <c r="R10" s="2">
        <v>0.47761194029850745</v>
      </c>
      <c r="S10" s="2">
        <v>2.4029850746268657</v>
      </c>
      <c r="T10" s="2">
        <v>0.9253731343283581</v>
      </c>
      <c r="U10" s="2">
        <v>82.910447761194021</v>
      </c>
      <c r="V10" s="2">
        <v>0</v>
      </c>
      <c r="W10" s="2">
        <v>0.11940298507462686</v>
      </c>
      <c r="X10" s="2">
        <v>1.3731343283582089</v>
      </c>
      <c r="Y10" s="2">
        <v>25.686567164179102</v>
      </c>
      <c r="Z10" s="2">
        <v>4.4776119402985072E-2</v>
      </c>
      <c r="AA10" s="2">
        <v>99.507462686567166</v>
      </c>
      <c r="AB10" s="2"/>
    </row>
    <row r="11" spans="1:28" x14ac:dyDescent="0.2">
      <c r="A11" s="21" t="s">
        <v>165</v>
      </c>
      <c r="B11" t="s">
        <v>164</v>
      </c>
      <c r="C11" s="2">
        <v>0.18886813098591554</v>
      </c>
      <c r="D11" s="2">
        <v>322.16941545070426</v>
      </c>
      <c r="E11" s="2">
        <v>1388.6241446239421</v>
      </c>
      <c r="F11" s="2">
        <v>0</v>
      </c>
      <c r="G11" s="2">
        <v>7.0422535211267607E-3</v>
      </c>
      <c r="H11" s="2">
        <v>10.021588338028154</v>
      </c>
      <c r="I11" s="2">
        <v>0.18055071267605635</v>
      </c>
      <c r="J11" s="2">
        <v>88.17859265915493</v>
      </c>
      <c r="K11" s="2">
        <f t="shared" si="1"/>
        <v>0</v>
      </c>
      <c r="L11" s="2">
        <f t="shared" si="1"/>
        <v>0</v>
      </c>
      <c r="M11" s="2">
        <f t="shared" si="1"/>
        <v>0</v>
      </c>
      <c r="N11" s="2">
        <f t="shared" si="1"/>
        <v>0</v>
      </c>
      <c r="O11" s="2">
        <f t="shared" si="1"/>
        <v>0</v>
      </c>
      <c r="P11" s="2">
        <v>327.72170992957751</v>
      </c>
      <c r="Q11" s="2">
        <v>3.3205046464788595</v>
      </c>
      <c r="R11" s="2">
        <v>0.84813828732394358</v>
      </c>
      <c r="S11" s="2">
        <v>1.2349096312676042</v>
      </c>
      <c r="T11" s="2">
        <v>1.6288591619718307</v>
      </c>
      <c r="U11" s="2"/>
      <c r="V11" s="2"/>
      <c r="W11" s="2">
        <v>1.3351705873239421</v>
      </c>
      <c r="X11" s="2">
        <v>0</v>
      </c>
      <c r="Y11" s="2">
        <v>59.321162621126753</v>
      </c>
      <c r="Z11" s="2">
        <v>0.47078741830985782</v>
      </c>
      <c r="AA11" s="2">
        <v>20.141574830985917</v>
      </c>
      <c r="AB11" s="2"/>
    </row>
    <row r="12" spans="1:28" x14ac:dyDescent="0.2">
      <c r="B12" t="s">
        <v>17</v>
      </c>
      <c r="C12" s="2" cm="1">
        <f t="array" ref="C12:AA12">(25/30)*Building_MI_original_baseline!C12:AA12+(5/30)*Building_MI_original_baseline!C13:AA13</f>
        <v>0.28178136220657279</v>
      </c>
      <c r="D12" s="2">
        <v>289.95247390610336</v>
      </c>
      <c r="E12" s="2">
        <v>1521.8742804915478</v>
      </c>
      <c r="F12" s="2">
        <v>0</v>
      </c>
      <c r="G12" s="2">
        <v>7.0422535211267616E-3</v>
      </c>
      <c r="H12" s="2">
        <v>46.677546563380268</v>
      </c>
      <c r="I12" s="2">
        <v>2.8769816441314555</v>
      </c>
      <c r="J12" s="2">
        <v>48.554709943896711</v>
      </c>
      <c r="K12" s="2">
        <v>5.5396760193262908</v>
      </c>
      <c r="L12" s="2">
        <v>4.0424662843732397</v>
      </c>
      <c r="M12" s="2">
        <v>3.2938614168967133</v>
      </c>
      <c r="N12" s="2">
        <v>1.1977677879624411</v>
      </c>
      <c r="O12" s="2">
        <v>0.89832584097183088</v>
      </c>
      <c r="P12" s="2">
        <v>394.5217951760564</v>
      </c>
      <c r="Q12" s="2">
        <v>3.3205046464788595</v>
      </c>
      <c r="R12" s="2">
        <v>0.84813828732394358</v>
      </c>
      <c r="S12" s="2">
        <v>1.5919649113145524</v>
      </c>
      <c r="T12" s="2">
        <v>1.7222954333333333</v>
      </c>
      <c r="U12" s="2">
        <v>0</v>
      </c>
      <c r="V12" s="2">
        <v>0</v>
      </c>
      <c r="W12" s="2">
        <v>1.3770228845070407</v>
      </c>
      <c r="X12" s="2">
        <v>0.36854849295774644</v>
      </c>
      <c r="Y12" s="2">
        <v>61.770039730751165</v>
      </c>
      <c r="Z12" s="2">
        <v>0.60906715422535074</v>
      </c>
      <c r="AA12" s="2">
        <v>20.141574830985917</v>
      </c>
      <c r="AB12" s="2"/>
    </row>
    <row r="13" spans="1:28" x14ac:dyDescent="0.2">
      <c r="B13" t="s">
        <v>18</v>
      </c>
      <c r="C13" s="2" cm="1">
        <f t="array" ref="C13:AA13">(25/30)*Building_MI_original_baseline!C13:AA13+(5/30)*Building_MI_original_baseline!C14:AA14</f>
        <v>0.25258702535211269</v>
      </c>
      <c r="D13" s="2">
        <v>128.86776618309858</v>
      </c>
      <c r="E13" s="2">
        <v>1589.920186801407</v>
      </c>
      <c r="F13" s="2">
        <v>0</v>
      </c>
      <c r="G13" s="2">
        <v>7.0422535211267616E-3</v>
      </c>
      <c r="H13" s="2">
        <v>46.677546563380268</v>
      </c>
      <c r="I13" s="2">
        <v>4.8030037380281687</v>
      </c>
      <c r="J13" s="2">
        <v>30.892644531220654</v>
      </c>
      <c r="K13" s="2">
        <v>5.7969504054659611</v>
      </c>
      <c r="L13" s="2">
        <v>4.2302070526373239</v>
      </c>
      <c r="M13" s="2">
        <v>3.446835376223004</v>
      </c>
      <c r="N13" s="2">
        <v>1.2533946822629107</v>
      </c>
      <c r="O13" s="2">
        <v>0.94004601169718272</v>
      </c>
      <c r="P13" s="2">
        <v>728.52222140845072</v>
      </c>
      <c r="Q13" s="2">
        <v>3.3205046464788595</v>
      </c>
      <c r="R13" s="2">
        <v>0.84813828732394358</v>
      </c>
      <c r="S13" s="2">
        <v>1.8044713045070404</v>
      </c>
      <c r="T13" s="2">
        <v>1.7513309887323942</v>
      </c>
      <c r="U13" s="2">
        <v>0</v>
      </c>
      <c r="V13" s="2">
        <v>0</v>
      </c>
      <c r="W13" s="2">
        <v>1.3770228845070407</v>
      </c>
      <c r="X13" s="2">
        <v>0.36854849295774644</v>
      </c>
      <c r="Y13" s="2">
        <v>63.32280062112676</v>
      </c>
      <c r="Z13" s="2">
        <v>1.3004658338028157</v>
      </c>
      <c r="AA13" s="2">
        <v>20.141574830985917</v>
      </c>
      <c r="AB13" s="2"/>
    </row>
    <row r="14" spans="1:28" x14ac:dyDescent="0.2">
      <c r="B14" t="s">
        <v>58</v>
      </c>
      <c r="C14" s="2">
        <v>0.25258702535211269</v>
      </c>
      <c r="D14" s="2">
        <v>128.86776618309858</v>
      </c>
      <c r="E14" s="2">
        <v>1589.920186801407</v>
      </c>
      <c r="F14" s="2">
        <v>0</v>
      </c>
      <c r="G14" s="2">
        <v>7.0422535211267607E-3</v>
      </c>
      <c r="H14" s="2">
        <v>46.677546563380261</v>
      </c>
      <c r="I14" s="2">
        <v>4.8030037380281687</v>
      </c>
      <c r="J14" s="2">
        <v>42.414406792957749</v>
      </c>
      <c r="K14" s="2">
        <f t="shared" ref="K14:O16" si="2">$AG14*AI$35</f>
        <v>0</v>
      </c>
      <c r="L14" s="2">
        <f t="shared" si="2"/>
        <v>0</v>
      </c>
      <c r="M14" s="2">
        <f t="shared" si="2"/>
        <v>0</v>
      </c>
      <c r="N14" s="2">
        <f t="shared" si="2"/>
        <v>0</v>
      </c>
      <c r="O14" s="2">
        <f t="shared" si="2"/>
        <v>0</v>
      </c>
      <c r="P14" s="2">
        <v>728.52222140845072</v>
      </c>
      <c r="Q14" s="2">
        <v>3.3205046464788595</v>
      </c>
      <c r="R14" s="2">
        <v>0.84813828732394358</v>
      </c>
      <c r="S14" s="2">
        <v>1.8044713045070404</v>
      </c>
      <c r="T14" s="2">
        <v>1.8392071225352109</v>
      </c>
      <c r="U14" s="2"/>
      <c r="V14" s="2"/>
      <c r="W14" s="2">
        <v>1.3770228845070407</v>
      </c>
      <c r="X14" s="2">
        <v>0.36854849295774644</v>
      </c>
      <c r="Y14" s="2">
        <v>63.308935043661968</v>
      </c>
      <c r="Z14" s="2">
        <v>1.3004658338028157</v>
      </c>
      <c r="AA14" s="2">
        <v>20.141574830985917</v>
      </c>
      <c r="AB14" s="2"/>
    </row>
    <row r="15" spans="1:28" x14ac:dyDescent="0.2">
      <c r="B15" t="s">
        <v>21</v>
      </c>
      <c r="C15" s="2">
        <v>1.8059701492537312</v>
      </c>
      <c r="D15" s="2">
        <v>218.41791044776119</v>
      </c>
      <c r="E15" s="2">
        <v>1190.3880597014925</v>
      </c>
      <c r="F15" s="2">
        <v>0.10447761194029852</v>
      </c>
      <c r="G15" s="2">
        <v>0.62686567164179097</v>
      </c>
      <c r="H15" s="2">
        <v>15.820895522388058</v>
      </c>
      <c r="I15" s="2">
        <v>11.134328358208954</v>
      </c>
      <c r="J15" s="2">
        <v>34.328358208955223</v>
      </c>
      <c r="K15" s="2">
        <f t="shared" si="2"/>
        <v>0</v>
      </c>
      <c r="L15" s="2">
        <f t="shared" si="2"/>
        <v>0</v>
      </c>
      <c r="M15" s="2">
        <f t="shared" si="2"/>
        <v>0</v>
      </c>
      <c r="N15" s="2">
        <f t="shared" si="2"/>
        <v>0</v>
      </c>
      <c r="O15" s="2">
        <f t="shared" si="2"/>
        <v>0</v>
      </c>
      <c r="P15" s="2">
        <v>0</v>
      </c>
      <c r="Q15" s="2">
        <v>5.3582089552238799</v>
      </c>
      <c r="R15" s="2">
        <v>0.47761194029850745</v>
      </c>
      <c r="S15" s="2">
        <v>2.4029850746268657</v>
      </c>
      <c r="T15" s="2">
        <v>0.9253731343283581</v>
      </c>
      <c r="U15" s="2">
        <v>82.910447761194021</v>
      </c>
      <c r="V15" s="2">
        <v>0</v>
      </c>
      <c r="W15" s="2">
        <v>0.11940298507462686</v>
      </c>
      <c r="X15" s="2">
        <v>1.3731343283582089</v>
      </c>
      <c r="Y15" s="2">
        <v>25.686567164179102</v>
      </c>
      <c r="Z15" s="2">
        <v>4.4776119402985072E-2</v>
      </c>
      <c r="AA15" s="2">
        <v>99.507462686567166</v>
      </c>
      <c r="AB15" s="2"/>
    </row>
    <row r="16" spans="1:28" x14ac:dyDescent="0.2">
      <c r="A16" s="21" t="s">
        <v>159</v>
      </c>
      <c r="B16" t="s">
        <v>164</v>
      </c>
      <c r="C16" s="2">
        <v>0.37854946376811599</v>
      </c>
      <c r="D16" s="2">
        <v>162.86606424637682</v>
      </c>
      <c r="E16" s="2">
        <v>1144.3172885652173</v>
      </c>
      <c r="F16" s="2">
        <v>0</v>
      </c>
      <c r="G16" s="2">
        <v>1.8924160869565217E-2</v>
      </c>
      <c r="H16" s="2">
        <v>7.6938449159420292</v>
      </c>
      <c r="I16" s="2">
        <v>0.23043419420289715</v>
      </c>
      <c r="J16" s="2">
        <v>64.768413495652169</v>
      </c>
      <c r="K16" s="2">
        <f t="shared" si="2"/>
        <v>0</v>
      </c>
      <c r="L16" s="2">
        <f t="shared" si="2"/>
        <v>0</v>
      </c>
      <c r="M16" s="2">
        <f t="shared" si="2"/>
        <v>0</v>
      </c>
      <c r="N16" s="2">
        <f t="shared" si="2"/>
        <v>0</v>
      </c>
      <c r="O16" s="2">
        <f t="shared" si="2"/>
        <v>0</v>
      </c>
      <c r="P16" s="2">
        <v>263.36174559420294</v>
      </c>
      <c r="Q16" s="2">
        <v>2.7625526971014498</v>
      </c>
      <c r="R16" s="2">
        <v>0.35149360434782612</v>
      </c>
      <c r="S16" s="2">
        <v>0.81826993999999875</v>
      </c>
      <c r="T16" s="2">
        <v>1.3552014608695648</v>
      </c>
      <c r="U16" s="2"/>
      <c r="V16" s="2"/>
      <c r="W16" s="2">
        <v>1.4697139710144911</v>
      </c>
      <c r="X16" s="2">
        <v>0</v>
      </c>
      <c r="Y16" s="2">
        <v>51.236411047826117</v>
      </c>
      <c r="Z16" s="2">
        <v>0.43873775797101455</v>
      </c>
      <c r="AA16" s="2">
        <v>25.673779000000003</v>
      </c>
      <c r="AB16" s="2"/>
    </row>
    <row r="17" spans="1:28" x14ac:dyDescent="0.2">
      <c r="B17" t="s">
        <v>17</v>
      </c>
      <c r="C17" s="2" cm="1">
        <f t="array" ref="C17:AA17">(25/30)*Building_MI_original_baseline!C17:AA17+(5/30)*Building_MI_original_baseline!C18:AA18</f>
        <v>0.45919950893719808</v>
      </c>
      <c r="D17" s="2">
        <v>146.57945782125606</v>
      </c>
      <c r="E17" s="2">
        <v>1238.7900545992754</v>
      </c>
      <c r="F17" s="2">
        <v>0</v>
      </c>
      <c r="G17" s="2">
        <v>1.8924160869565217E-2</v>
      </c>
      <c r="H17" s="2">
        <v>16.722916946376813</v>
      </c>
      <c r="I17" s="2">
        <v>2.6610480983091773</v>
      </c>
      <c r="J17" s="2">
        <v>37.434904464734288</v>
      </c>
      <c r="K17" s="2">
        <v>5.0091719964975852</v>
      </c>
      <c r="L17" s="2">
        <v>3.6553417271739135</v>
      </c>
      <c r="M17" s="2">
        <v>2.9784265925120779</v>
      </c>
      <c r="N17" s="2">
        <v>1.0830642154589376</v>
      </c>
      <c r="O17" s="2">
        <v>0.81229816159420298</v>
      </c>
      <c r="P17" s="2">
        <v>290.68926591787442</v>
      </c>
      <c r="Q17" s="2">
        <v>2.7625526971014502</v>
      </c>
      <c r="R17" s="2">
        <v>0.35149360434782612</v>
      </c>
      <c r="S17" s="2">
        <v>1.2663894665700473</v>
      </c>
      <c r="T17" s="2">
        <v>1.4637034560386468</v>
      </c>
      <c r="U17" s="2">
        <v>0</v>
      </c>
      <c r="V17" s="2">
        <v>0</v>
      </c>
      <c r="W17" s="2">
        <v>1.5202924623188392</v>
      </c>
      <c r="X17" s="2">
        <v>0.47785589275362328</v>
      </c>
      <c r="Y17" s="2">
        <v>53.458638824154598</v>
      </c>
      <c r="Z17" s="2">
        <v>0.56953656787439622</v>
      </c>
      <c r="AA17" s="2">
        <v>25.673779000000003</v>
      </c>
      <c r="AB17" s="2"/>
    </row>
    <row r="18" spans="1:28" x14ac:dyDescent="0.2">
      <c r="B18" t="s">
        <v>18</v>
      </c>
      <c r="C18" s="2" cm="1">
        <f t="array" ref="C18:AA18">(25/30)*Building_MI_original_baseline!C18:AA18+(5/30)*Building_MI_original_baseline!C19:AA19</f>
        <v>0.37808582173913052</v>
      </c>
      <c r="D18" s="2">
        <v>65.146425695652184</v>
      </c>
      <c r="E18" s="2">
        <v>1304.4812254217393</v>
      </c>
      <c r="F18" s="2">
        <v>0</v>
      </c>
      <c r="G18" s="2">
        <v>1.8924160869565217E-2</v>
      </c>
      <c r="H18" s="2">
        <v>16.722916946376813</v>
      </c>
      <c r="I18" s="2">
        <v>4.3972008869565204</v>
      </c>
      <c r="J18" s="2">
        <v>22.392486746859905</v>
      </c>
      <c r="K18" s="2">
        <v>5.1915102164975844</v>
      </c>
      <c r="L18" s="2">
        <v>3.7883993471739137</v>
      </c>
      <c r="M18" s="2">
        <v>3.0868439125120779</v>
      </c>
      <c r="N18" s="2">
        <v>1.1224886954589375</v>
      </c>
      <c r="O18" s="2">
        <v>0.84186652159420294</v>
      </c>
      <c r="P18" s="2">
        <v>427.32686753623187</v>
      </c>
      <c r="Q18" s="2">
        <v>2.7625526971014502</v>
      </c>
      <c r="R18" s="2">
        <v>0.35149360434782612</v>
      </c>
      <c r="S18" s="2">
        <v>1.8714109544927529</v>
      </c>
      <c r="T18" s="2">
        <v>1.4762390594202894</v>
      </c>
      <c r="U18" s="2">
        <v>0</v>
      </c>
      <c r="V18" s="2">
        <v>0</v>
      </c>
      <c r="W18" s="2">
        <v>1.5202924623188392</v>
      </c>
      <c r="X18" s="2">
        <v>0.47785589275362328</v>
      </c>
      <c r="Y18" s="2">
        <v>54.822601641787458</v>
      </c>
      <c r="Z18" s="2">
        <v>1.2235306173913045</v>
      </c>
      <c r="AA18" s="2">
        <v>25.673779000000003</v>
      </c>
      <c r="AB18" s="2"/>
    </row>
    <row r="19" spans="1:28" x14ac:dyDescent="0.2">
      <c r="B19" t="s">
        <v>58</v>
      </c>
      <c r="C19" s="2">
        <v>0.37808582173913047</v>
      </c>
      <c r="D19" s="2">
        <v>65.146425695652184</v>
      </c>
      <c r="E19" s="2">
        <v>1304.4812254217391</v>
      </c>
      <c r="F19" s="2">
        <v>0</v>
      </c>
      <c r="G19" s="2">
        <v>1.8924160869565217E-2</v>
      </c>
      <c r="H19" s="2">
        <v>16.722916946376813</v>
      </c>
      <c r="I19" s="2">
        <v>4.3972008869565204</v>
      </c>
      <c r="J19" s="2">
        <v>32.834914582608697</v>
      </c>
      <c r="K19" s="2">
        <f t="shared" ref="K19:O20" si="3">$AG19*AI$35</f>
        <v>0</v>
      </c>
      <c r="L19" s="2">
        <f t="shared" si="3"/>
        <v>0</v>
      </c>
      <c r="M19" s="2">
        <f t="shared" si="3"/>
        <v>0</v>
      </c>
      <c r="N19" s="2">
        <f t="shared" si="3"/>
        <v>0</v>
      </c>
      <c r="O19" s="2">
        <f t="shared" si="3"/>
        <v>0</v>
      </c>
      <c r="P19" s="2">
        <v>427.32686753623187</v>
      </c>
      <c r="Q19" s="2">
        <v>2.7625526971014498</v>
      </c>
      <c r="R19" s="2">
        <v>0.35149360434782612</v>
      </c>
      <c r="S19" s="2">
        <v>1.8714109544927526</v>
      </c>
      <c r="T19" s="2">
        <v>1.5566010376811577</v>
      </c>
      <c r="U19" s="2"/>
      <c r="V19" s="2"/>
      <c r="W19" s="2">
        <v>1.5202924623188392</v>
      </c>
      <c r="X19" s="2">
        <v>0.47785589275362322</v>
      </c>
      <c r="Y19" s="2">
        <v>54.810216828985524</v>
      </c>
      <c r="Z19" s="2">
        <v>1.2235306173913045</v>
      </c>
      <c r="AA19" s="2">
        <v>25.673779000000003</v>
      </c>
      <c r="AB19" s="2"/>
    </row>
    <row r="20" spans="1:28" x14ac:dyDescent="0.2">
      <c r="B20" t="s">
        <v>21</v>
      </c>
      <c r="C20" s="2">
        <v>1.1980676328502415</v>
      </c>
      <c r="D20" s="2">
        <v>179.96618357487924</v>
      </c>
      <c r="E20" s="2">
        <v>1662.6231884057972</v>
      </c>
      <c r="F20" s="2">
        <v>0.64251207729468607</v>
      </c>
      <c r="G20" s="2">
        <v>0.89855072463768126</v>
      </c>
      <c r="H20" s="2">
        <v>13.54106280193237</v>
      </c>
      <c r="I20" s="2">
        <v>7.5458937198067639</v>
      </c>
      <c r="J20" s="2">
        <v>24.90338164251208</v>
      </c>
      <c r="K20" s="2">
        <f t="shared" si="3"/>
        <v>0</v>
      </c>
      <c r="L20" s="2">
        <f t="shared" si="3"/>
        <v>0</v>
      </c>
      <c r="M20" s="2">
        <f t="shared" si="3"/>
        <v>0</v>
      </c>
      <c r="N20" s="2">
        <f t="shared" si="3"/>
        <v>0</v>
      </c>
      <c r="O20" s="2">
        <f t="shared" si="3"/>
        <v>0</v>
      </c>
      <c r="P20" s="2">
        <v>0</v>
      </c>
      <c r="Q20" s="2">
        <v>6.57487922705314</v>
      </c>
      <c r="R20" s="2">
        <v>0.58454106280193241</v>
      </c>
      <c r="S20" s="2">
        <v>2.8743961352657008</v>
      </c>
      <c r="T20" s="2">
        <v>0.7874396135265701</v>
      </c>
      <c r="U20" s="2">
        <v>63.603864734299513</v>
      </c>
      <c r="V20" s="2">
        <v>0</v>
      </c>
      <c r="W20" s="2">
        <v>0.12077294685990339</v>
      </c>
      <c r="X20" s="2">
        <v>0.58454106280193241</v>
      </c>
      <c r="Y20" s="2">
        <v>29.855072463768114</v>
      </c>
      <c r="Z20" s="2">
        <v>9.6618357487922718E-2</v>
      </c>
      <c r="AA20" s="2">
        <v>128.72946859903382</v>
      </c>
      <c r="AB20" s="2"/>
    </row>
    <row r="21" spans="1:28" x14ac:dyDescent="0.2">
      <c r="A21" s="21" t="s">
        <v>161</v>
      </c>
      <c r="B21" t="s">
        <v>164</v>
      </c>
      <c r="C21" s="2">
        <v>0.20221829725790513</v>
      </c>
      <c r="D21" s="2">
        <v>169.93780449011857</v>
      </c>
      <c r="E21" s="2">
        <v>1421.6139480039028</v>
      </c>
      <c r="F21" s="2">
        <v>0</v>
      </c>
      <c r="G21" s="2">
        <v>3.2032279496047429E-2</v>
      </c>
      <c r="H21" s="2">
        <v>13.986688577099798</v>
      </c>
      <c r="I21" s="2">
        <v>0.23152289397233203</v>
      </c>
      <c r="J21" s="2">
        <v>33.943422969713424</v>
      </c>
      <c r="K21" s="2">
        <f>$AG21*AI$35</f>
        <v>0</v>
      </c>
      <c r="L21" s="2">
        <f>$AG21*AJ$35</f>
        <v>0</v>
      </c>
      <c r="M21" s="2">
        <f>$AG21*AK$35</f>
        <v>0</v>
      </c>
      <c r="N21" s="2">
        <f>$AG21*AL$35</f>
        <v>0</v>
      </c>
      <c r="O21" s="2">
        <f>$AG21*AM$35</f>
        <v>0</v>
      </c>
      <c r="P21" s="2">
        <v>224.76978087598758</v>
      </c>
      <c r="Q21" s="2">
        <v>12.270727132905126</v>
      </c>
      <c r="R21" s="2">
        <v>0.30749103120059285</v>
      </c>
      <c r="S21" s="2">
        <v>0.99483573656126456</v>
      </c>
      <c r="T21" s="2">
        <v>2.0525547885968374</v>
      </c>
      <c r="U21" s="2"/>
      <c r="V21" s="2"/>
      <c r="W21" s="2">
        <v>0.72710811603260872</v>
      </c>
      <c r="X21" s="2">
        <v>0</v>
      </c>
      <c r="Y21" s="2">
        <v>69.102116075667027</v>
      </c>
      <c r="Z21" s="2">
        <v>0.83496118913043471</v>
      </c>
      <c r="AA21" s="2">
        <v>16.468138358448616</v>
      </c>
      <c r="AB21" s="2"/>
    </row>
    <row r="22" spans="1:28" x14ac:dyDescent="0.2">
      <c r="B22" t="s">
        <v>17</v>
      </c>
      <c r="C22" s="2" cm="1">
        <f t="array" ref="C22:AA22">(25/30)*Building_MI_original_baseline!C22:AA22+(5/30)*Building_MI_original_baseline!C23:AA23</f>
        <v>0.30659409121376718</v>
      </c>
      <c r="D22" s="2">
        <v>150.70739824798255</v>
      </c>
      <c r="E22" s="2">
        <v>1514.6210843366187</v>
      </c>
      <c r="F22" s="2">
        <v>0.13764470016057295</v>
      </c>
      <c r="G22" s="2">
        <v>3.2032279496047429E-2</v>
      </c>
      <c r="H22" s="2">
        <v>13.822343876152829</v>
      </c>
      <c r="I22" s="2">
        <v>2.9457613399785858</v>
      </c>
      <c r="J22" s="2">
        <v>21.144124247640807</v>
      </c>
      <c r="K22" s="2">
        <v>6.7453931001493723</v>
      </c>
      <c r="L22" s="2">
        <v>4.9223138838927856</v>
      </c>
      <c r="M22" s="2">
        <v>4.0107742757644917</v>
      </c>
      <c r="N22" s="2">
        <v>1.4584633730052698</v>
      </c>
      <c r="O22" s="2">
        <v>1.0938475297539523</v>
      </c>
      <c r="P22" s="2">
        <v>241.4403946610667</v>
      </c>
      <c r="Q22" s="2">
        <v>11.175228011281281</v>
      </c>
      <c r="R22" s="2">
        <v>0.30764778053771408</v>
      </c>
      <c r="S22" s="2">
        <v>1.3383939973608361</v>
      </c>
      <c r="T22" s="2">
        <v>5.6162251376457508</v>
      </c>
      <c r="U22" s="2">
        <v>0</v>
      </c>
      <c r="V22" s="2">
        <v>0</v>
      </c>
      <c r="W22" s="2">
        <v>0.74128453076004619</v>
      </c>
      <c r="X22" s="2">
        <v>0.35798067065217387</v>
      </c>
      <c r="Y22" s="2">
        <v>68.932509376387529</v>
      </c>
      <c r="Z22" s="2">
        <v>0.7346677232625165</v>
      </c>
      <c r="AA22" s="2">
        <v>16.468138358448616</v>
      </c>
      <c r="AB22" s="2"/>
    </row>
    <row r="23" spans="1:28" x14ac:dyDescent="0.2">
      <c r="B23" t="s">
        <v>18</v>
      </c>
      <c r="C23" s="2" cm="1">
        <f t="array" ref="C23:AA23">(25/30)*Building_MI_original_baseline!C23:AA23+(5/30)*Building_MI_original_baseline!C24:AA24</f>
        <v>0.78220971588438193</v>
      </c>
      <c r="D23" s="2">
        <v>54.555367037302368</v>
      </c>
      <c r="E23" s="2">
        <v>1526.4957120451579</v>
      </c>
      <c r="F23" s="2">
        <v>0.82586820096343772</v>
      </c>
      <c r="G23" s="2">
        <v>3.2032279496047429E-2</v>
      </c>
      <c r="H23" s="2">
        <v>13.000620371417984</v>
      </c>
      <c r="I23" s="2">
        <v>4.8845030879199598</v>
      </c>
      <c r="J23" s="2">
        <v>12.026846123756583</v>
      </c>
      <c r="K23" s="2">
        <v>4.835505887246395</v>
      </c>
      <c r="L23" s="2">
        <v>3.5286124042068292</v>
      </c>
      <c r="M23" s="2">
        <v>2.8751656626870461</v>
      </c>
      <c r="N23" s="2">
        <v>1.0455147864316532</v>
      </c>
      <c r="O23" s="2">
        <v>0.78413608982373983</v>
      </c>
      <c r="P23" s="2">
        <v>324.79346358646245</v>
      </c>
      <c r="Q23" s="2">
        <v>5.6977324031620453</v>
      </c>
      <c r="R23" s="2">
        <v>0.30850990193922923</v>
      </c>
      <c r="S23" s="2">
        <v>1.8858516190917312</v>
      </c>
      <c r="T23" s="2">
        <v>5.6058939766856062</v>
      </c>
      <c r="U23" s="2">
        <v>0</v>
      </c>
      <c r="V23" s="2">
        <v>0</v>
      </c>
      <c r="W23" s="2">
        <v>0.74693622371541502</v>
      </c>
      <c r="X23" s="2">
        <v>0.35798067065217387</v>
      </c>
      <c r="Y23" s="2">
        <v>70.660171043898245</v>
      </c>
      <c r="Z23" s="2">
        <v>0.88796920642292498</v>
      </c>
      <c r="AA23" s="2">
        <v>16.468138358448616</v>
      </c>
      <c r="AB23" s="2"/>
    </row>
    <row r="24" spans="1:28" x14ac:dyDescent="0.2">
      <c r="B24" t="s">
        <v>58</v>
      </c>
      <c r="C24" s="2">
        <v>0.78220971588438182</v>
      </c>
      <c r="D24" s="2">
        <v>54.555367037302368</v>
      </c>
      <c r="E24" s="2">
        <v>1526.4957120451579</v>
      </c>
      <c r="F24" s="2">
        <v>0.82586820096343772</v>
      </c>
      <c r="G24" s="2">
        <v>3.2032279496047429E-2</v>
      </c>
      <c r="H24" s="2">
        <v>13.000620371417984</v>
      </c>
      <c r="I24" s="2">
        <v>4.8845030879199598</v>
      </c>
      <c r="J24" s="2">
        <v>13.125159888908099</v>
      </c>
      <c r="K24" s="2">
        <f>$AG24*AI$35</f>
        <v>0</v>
      </c>
      <c r="L24" s="2">
        <f>$AG24*AJ$35</f>
        <v>0</v>
      </c>
      <c r="M24" s="2">
        <f>$AG24*AK$35</f>
        <v>0</v>
      </c>
      <c r="N24" s="2">
        <f>$AG24*AL$35</f>
        <v>0</v>
      </c>
      <c r="O24" s="2">
        <f>$AG24*AM$35</f>
        <v>0</v>
      </c>
      <c r="P24" s="2">
        <v>324.79346358646245</v>
      </c>
      <c r="Q24" s="2">
        <v>5.6977324031620444</v>
      </c>
      <c r="R24" s="2">
        <v>0.30890177551877468</v>
      </c>
      <c r="S24" s="2">
        <v>1.8877069491106706</v>
      </c>
      <c r="T24" s="2">
        <v>5.554137688621541</v>
      </c>
      <c r="U24" s="2"/>
      <c r="V24" s="2"/>
      <c r="W24" s="2">
        <v>0.74699402201086951</v>
      </c>
      <c r="X24" s="2">
        <v>0.35798067065217387</v>
      </c>
      <c r="Y24" s="2">
        <v>70.647256890612667</v>
      </c>
      <c r="Z24" s="2">
        <v>0.88796920642292487</v>
      </c>
      <c r="AA24" s="2">
        <v>16.468138358448616</v>
      </c>
      <c r="AB24" s="2"/>
    </row>
    <row r="25" spans="1:28" x14ac:dyDescent="0.2">
      <c r="B25" t="s">
        <v>21</v>
      </c>
      <c r="C25" s="2">
        <v>1.5489130434782608</v>
      </c>
      <c r="D25" s="2">
        <v>237.06521739130437</v>
      </c>
      <c r="E25" s="2">
        <v>1107.9076086956522</v>
      </c>
      <c r="F25" s="2">
        <v>0.31521739130434784</v>
      </c>
      <c r="G25" s="2">
        <v>1.2880434782608696</v>
      </c>
      <c r="H25" s="2">
        <v>30.874999999999996</v>
      </c>
      <c r="I25" s="2">
        <v>5.8913043478260869</v>
      </c>
      <c r="J25" s="2">
        <v>2.206521739130435</v>
      </c>
      <c r="K25" s="2">
        <f>$AG25*AI$35</f>
        <v>0</v>
      </c>
      <c r="L25" s="2">
        <f>$AG25*AJ$35</f>
        <v>0</v>
      </c>
      <c r="M25" s="2">
        <f>$AG25*AK$35</f>
        <v>0</v>
      </c>
      <c r="N25" s="2">
        <f>$AG25*AL$35</f>
        <v>0</v>
      </c>
      <c r="O25" s="2">
        <f>$AG25*AM$35</f>
        <v>0</v>
      </c>
      <c r="P25" s="2">
        <v>0</v>
      </c>
      <c r="Q25" s="2">
        <v>12.581521739130434</v>
      </c>
      <c r="R25" s="2">
        <v>0.37499999999999994</v>
      </c>
      <c r="S25" s="2">
        <v>2.5054347826086953</v>
      </c>
      <c r="T25" s="2">
        <v>0.99456521739130421</v>
      </c>
      <c r="U25" s="2">
        <v>61.532608695652172</v>
      </c>
      <c r="V25" s="2">
        <v>0</v>
      </c>
      <c r="W25" s="2">
        <v>0.12499999999999999</v>
      </c>
      <c r="X25" s="2">
        <v>0.27173913043478259</v>
      </c>
      <c r="Y25" s="2">
        <v>21.673913043478258</v>
      </c>
      <c r="Z25" s="2">
        <v>0.53260869565217395</v>
      </c>
      <c r="AA25" s="2">
        <v>30.114130434782606</v>
      </c>
      <c r="AB25" s="2"/>
    </row>
    <row r="36" spans="1:33" x14ac:dyDescent="0.2">
      <c r="AG36" s="23"/>
    </row>
    <row r="37" spans="1:33" x14ac:dyDescent="0.2">
      <c r="AG37" s="23"/>
    </row>
    <row r="38" spans="1:33" x14ac:dyDescent="0.2">
      <c r="AG38" s="23"/>
    </row>
    <row r="42" spans="1:33" x14ac:dyDescent="0.2">
      <c r="M42" s="2"/>
    </row>
    <row r="45" spans="1:33" x14ac:dyDescent="0.2">
      <c r="A45" s="1"/>
      <c r="D45" s="1"/>
    </row>
    <row r="51" spans="3:2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</sheetData>
  <mergeCells count="1">
    <mergeCell ref="AG36:AG38"/>
  </mergeCells>
  <conditionalFormatting sqref="C6:C10 C21:C25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B10 AB21:AB25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10 AG16:AG25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10 D21:D25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10 E21:E25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10 F21:F25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10 G21:G25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H10 H21:H25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:I10 I21:I25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10 J21:J25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10 K21:K25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10 L21:L25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10 M21:M25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10 N21:N25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:O10 O21:O25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P10 P21:P25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Q10 Q21:Q25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10 R21:R25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:S10 S21:S2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10 T21:T25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10 U21:U25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:V10 V21:V25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10 W21:W25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X10 X21:X25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10 Y21:Y25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10 Z21:Z25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10 AA21:AA2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C1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D15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E15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:F1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G15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H15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1:I1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:J1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1:K1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:L1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:M15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:N1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1:O15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:P1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:Q15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:R1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1:S1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:T1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1:U1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:V15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1:W15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:X1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1:Y15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:Z15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:AA1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:AB1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C2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:D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:E2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6:F2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:G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:H2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6:I2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J2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6:K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:L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:M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:N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6:O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:P2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:Q2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6:R2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6:S2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6:T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:U2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:V2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6:W2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:X2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6:Y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:Z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:AA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:AB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01B3-F5A3-1345-A63B-AFC8DC4E2639}">
  <dimension ref="A1:F4"/>
  <sheetViews>
    <sheetView workbookViewId="0">
      <selection sqref="A1:F4"/>
    </sheetView>
  </sheetViews>
  <sheetFormatPr baseColWidth="10" defaultRowHeight="16" x14ac:dyDescent="0.2"/>
  <sheetData>
    <row r="1" spans="1:6" x14ac:dyDescent="0.2">
      <c r="A1" s="22" t="s">
        <v>45</v>
      </c>
      <c r="B1" s="20"/>
      <c r="C1" s="20"/>
      <c r="D1" s="22" t="s">
        <v>57</v>
      </c>
      <c r="E1" s="20"/>
      <c r="F1" s="20"/>
    </row>
    <row r="2" spans="1:6" x14ac:dyDescent="0.2">
      <c r="A2" s="20" t="s">
        <v>46</v>
      </c>
      <c r="B2" s="20" t="s">
        <v>1</v>
      </c>
      <c r="C2" s="20"/>
      <c r="D2" s="20"/>
      <c r="E2" s="20"/>
      <c r="F2" s="20"/>
    </row>
    <row r="3" spans="1:6" x14ac:dyDescent="0.2">
      <c r="A3" s="20" t="s">
        <v>51</v>
      </c>
      <c r="B3" s="20" t="s">
        <v>47</v>
      </c>
      <c r="C3" s="20" t="s">
        <v>54</v>
      </c>
      <c r="D3" s="20" t="s">
        <v>56</v>
      </c>
      <c r="E3" s="20"/>
      <c r="F3" s="20"/>
    </row>
    <row r="4" spans="1:6" x14ac:dyDescent="0.2">
      <c r="A4" s="20" t="s">
        <v>52</v>
      </c>
      <c r="B4" s="20" t="s">
        <v>48</v>
      </c>
      <c r="C4" s="20" t="s">
        <v>53</v>
      </c>
      <c r="D4" s="20" t="s">
        <v>55</v>
      </c>
      <c r="E4" s="20"/>
      <c r="F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347C-2DA5-2547-8F72-FB5225524569}">
  <dimension ref="A1:AN51"/>
  <sheetViews>
    <sheetView zoomScale="89" zoomScaleNormal="44" workbookViewId="0">
      <selection activeCell="C16" sqref="C16:AB20"/>
    </sheetView>
  </sheetViews>
  <sheetFormatPr baseColWidth="10" defaultRowHeight="16" x14ac:dyDescent="0.2"/>
  <sheetData>
    <row r="1" spans="1:33" x14ac:dyDescent="0.2">
      <c r="C1" t="s">
        <v>22</v>
      </c>
      <c r="D1" t="s">
        <v>22</v>
      </c>
      <c r="E1" t="s">
        <v>22</v>
      </c>
      <c r="F1" t="s">
        <v>22</v>
      </c>
      <c r="G1" t="s">
        <v>22</v>
      </c>
      <c r="H1" t="s">
        <v>22</v>
      </c>
      <c r="I1" t="s">
        <v>22</v>
      </c>
      <c r="J1" t="s">
        <v>22</v>
      </c>
      <c r="K1" t="s">
        <v>22</v>
      </c>
      <c r="L1" t="s">
        <v>22</v>
      </c>
      <c r="M1" t="s">
        <v>22</v>
      </c>
      <c r="N1" t="s">
        <v>22</v>
      </c>
      <c r="O1" t="s">
        <v>22</v>
      </c>
      <c r="P1" t="s">
        <v>22</v>
      </c>
      <c r="Q1" t="s">
        <v>22</v>
      </c>
      <c r="R1" t="s">
        <v>22</v>
      </c>
      <c r="S1" t="s">
        <v>22</v>
      </c>
      <c r="T1" t="s">
        <v>22</v>
      </c>
      <c r="U1" t="s">
        <v>22</v>
      </c>
      <c r="V1" t="s">
        <v>22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G1" t="s">
        <v>22</v>
      </c>
    </row>
    <row r="2" spans="1:33" x14ac:dyDescent="0.2">
      <c r="A2" t="s">
        <v>133</v>
      </c>
      <c r="B2" t="s">
        <v>86</v>
      </c>
      <c r="C2" t="s">
        <v>91</v>
      </c>
      <c r="D2" t="s">
        <v>96</v>
      </c>
      <c r="E2" t="s">
        <v>96</v>
      </c>
      <c r="F2" t="s">
        <v>96</v>
      </c>
      <c r="G2" t="s">
        <v>95</v>
      </c>
      <c r="H2" t="s">
        <v>96</v>
      </c>
      <c r="I2" t="s">
        <v>88</v>
      </c>
      <c r="J2" t="s">
        <v>92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90</v>
      </c>
      <c r="S2" t="s">
        <v>89</v>
      </c>
      <c r="T2" t="s">
        <v>96</v>
      </c>
      <c r="U2" t="s">
        <v>96</v>
      </c>
      <c r="V2" t="s">
        <v>92</v>
      </c>
      <c r="W2" t="s">
        <v>93</v>
      </c>
      <c r="X2" t="s">
        <v>94</v>
      </c>
      <c r="Y2" t="s">
        <v>87</v>
      </c>
      <c r="Z2" t="s">
        <v>96</v>
      </c>
      <c r="AA2" t="s">
        <v>96</v>
      </c>
    </row>
    <row r="3" spans="1:33" x14ac:dyDescent="0.2">
      <c r="B3" t="s">
        <v>73</v>
      </c>
      <c r="F3" t="s">
        <v>75</v>
      </c>
      <c r="Q3" t="s">
        <v>77</v>
      </c>
      <c r="S3" t="s">
        <v>63</v>
      </c>
      <c r="W3" t="s">
        <v>72</v>
      </c>
      <c r="Y3" t="s">
        <v>71</v>
      </c>
    </row>
    <row r="4" spans="1:33" x14ac:dyDescent="0.2">
      <c r="A4" t="s">
        <v>132</v>
      </c>
      <c r="B4" t="s">
        <v>59</v>
      </c>
      <c r="C4" t="s">
        <v>67</v>
      </c>
      <c r="D4" t="s">
        <v>66</v>
      </c>
      <c r="E4" t="s">
        <v>74</v>
      </c>
      <c r="F4" t="s">
        <v>135</v>
      </c>
      <c r="G4" t="s">
        <v>76</v>
      </c>
      <c r="H4" t="s">
        <v>66</v>
      </c>
      <c r="I4" t="s">
        <v>65</v>
      </c>
      <c r="J4" t="s">
        <v>60</v>
      </c>
      <c r="K4" t="s">
        <v>65</v>
      </c>
      <c r="L4" t="s">
        <v>64</v>
      </c>
      <c r="M4" t="s">
        <v>123</v>
      </c>
      <c r="N4" t="s">
        <v>64</v>
      </c>
      <c r="O4" t="s">
        <v>64</v>
      </c>
      <c r="P4" t="s">
        <v>66</v>
      </c>
      <c r="Q4" t="s">
        <v>66</v>
      </c>
      <c r="R4" t="s">
        <v>69</v>
      </c>
      <c r="S4" t="s">
        <v>64</v>
      </c>
      <c r="T4" t="s">
        <v>85</v>
      </c>
      <c r="U4" t="s">
        <v>66</v>
      </c>
      <c r="V4" t="s">
        <v>60</v>
      </c>
      <c r="W4" t="s">
        <v>68</v>
      </c>
      <c r="X4" t="s">
        <v>83</v>
      </c>
      <c r="Y4" t="s">
        <v>70</v>
      </c>
      <c r="Z4" t="s">
        <v>62</v>
      </c>
      <c r="AA4" t="s">
        <v>61</v>
      </c>
    </row>
    <row r="5" spans="1:33" x14ac:dyDescent="0.2">
      <c r="A5" t="s">
        <v>0</v>
      </c>
      <c r="B5" t="s">
        <v>14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49</v>
      </c>
      <c r="V5" t="s">
        <v>50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G5" t="s">
        <v>31</v>
      </c>
    </row>
    <row r="6" spans="1:33" x14ac:dyDescent="0.2">
      <c r="A6" t="s">
        <v>9</v>
      </c>
      <c r="B6" t="s">
        <v>16</v>
      </c>
      <c r="C6" s="2">
        <v>0.1123081338028169</v>
      </c>
      <c r="D6" s="2">
        <v>290.13365908450703</v>
      </c>
      <c r="E6" s="2">
        <v>1376.7648660647862</v>
      </c>
      <c r="F6" s="2">
        <v>0</v>
      </c>
      <c r="G6" s="2">
        <v>1.4084507042253521E-2</v>
      </c>
      <c r="H6" s="2">
        <v>9.3222154816901419</v>
      </c>
      <c r="I6" s="2">
        <v>0</v>
      </c>
      <c r="J6" s="2">
        <v>181.00586869013947</v>
      </c>
      <c r="K6" s="2">
        <f t="shared" ref="K6:O30" si="0">$AG6*AI$35</f>
        <v>5.0229685120985916</v>
      </c>
      <c r="L6" s="2">
        <f t="shared" si="0"/>
        <v>3.6654094547746485</v>
      </c>
      <c r="M6" s="2">
        <f t="shared" si="0"/>
        <v>2.9866299261126765</v>
      </c>
      <c r="N6" s="2">
        <f t="shared" si="0"/>
        <v>1.086047245859155</v>
      </c>
      <c r="O6" s="2">
        <f t="shared" si="0"/>
        <v>0.81453543439436626</v>
      </c>
      <c r="P6" s="2">
        <v>307.73567974647892</v>
      </c>
      <c r="Q6" s="2">
        <v>33.736131078873242</v>
      </c>
      <c r="R6" s="2">
        <v>0.91964413521126764</v>
      </c>
      <c r="S6" s="2">
        <v>1.3289144064788729</v>
      </c>
      <c r="T6" s="2">
        <v>1.5227198140845066</v>
      </c>
      <c r="U6" s="2"/>
      <c r="V6" s="2"/>
      <c r="W6" s="2">
        <v>3.9420607408450712</v>
      </c>
      <c r="X6" s="2">
        <v>0</v>
      </c>
      <c r="Y6" s="2">
        <v>69.751482257746474</v>
      </c>
      <c r="Z6" s="2">
        <v>22.052394916901395</v>
      </c>
      <c r="AA6" s="2">
        <v>25.486250845070423</v>
      </c>
      <c r="AB6" s="2">
        <f>SUM(C6:AA6)</f>
        <v>2337.4038704768982</v>
      </c>
      <c r="AG6" s="2">
        <v>13.575590573239438</v>
      </c>
    </row>
    <row r="7" spans="1:33" x14ac:dyDescent="0.2">
      <c r="B7" t="s">
        <v>156</v>
      </c>
      <c r="C7" s="2" cm="1">
        <f t="array" ref="C7:AA7">(25/30)*Building_MI_original_baseline!C7:AA7+(5/30)*Building_MI_original_baseline!C8:AA8</f>
        <v>0.20493010845070422</v>
      </c>
      <c r="D7" s="2">
        <v>261.12029317605635</v>
      </c>
      <c r="E7" s="2">
        <v>1365.0111757302793</v>
      </c>
      <c r="F7" s="2">
        <v>3.8644565727699531E-2</v>
      </c>
      <c r="G7" s="2">
        <v>1.4084507042253523E-2</v>
      </c>
      <c r="H7" s="2">
        <v>31.41036341126761</v>
      </c>
      <c r="I7" s="2">
        <v>3.7677497319248827</v>
      </c>
      <c r="J7" s="2">
        <v>86.203568756572793</v>
      </c>
      <c r="K7" s="2">
        <v>5.2300490445704222</v>
      </c>
      <c r="L7" s="2">
        <v>3.8165222757676056</v>
      </c>
      <c r="M7" s="2">
        <v>3.1097588913661967</v>
      </c>
      <c r="N7" s="2">
        <v>1.1308214150422535</v>
      </c>
      <c r="O7" s="2">
        <v>0.84811606128169004</v>
      </c>
      <c r="P7" s="2">
        <v>365.67702160328599</v>
      </c>
      <c r="Q7" s="2">
        <v>28.504742747887327</v>
      </c>
      <c r="R7" s="2">
        <v>0.91964413521126764</v>
      </c>
      <c r="S7" s="2">
        <v>1.612420152957746</v>
      </c>
      <c r="T7" s="2">
        <v>1.501396371596244</v>
      </c>
      <c r="U7" s="2">
        <v>0</v>
      </c>
      <c r="V7" s="2">
        <v>0</v>
      </c>
      <c r="W7" s="2">
        <v>3.945169339436621</v>
      </c>
      <c r="X7" s="2">
        <v>0.2419382957746479</v>
      </c>
      <c r="Y7" s="2">
        <v>54.621777501877936</v>
      </c>
      <c r="Z7" s="2">
        <v>22.240803676291069</v>
      </c>
      <c r="AA7" s="2">
        <v>25.486250845070423</v>
      </c>
      <c r="AB7" s="2">
        <f t="shared" ref="AB7:AB30" si="1">SUM(C7:AA7)</f>
        <v>2266.6572423447396</v>
      </c>
      <c r="AG7" s="2">
        <v>14.033810794366198</v>
      </c>
    </row>
    <row r="8" spans="1:33" x14ac:dyDescent="0.2">
      <c r="B8" t="s">
        <v>157</v>
      </c>
      <c r="C8" s="2" cm="1">
        <f t="array" ref="C8:AA8">(25/30)*Building_MI_original_baseline!C8:AA8+(5/30)*Building_MI_original_baseline!C9:AA9</f>
        <v>0.19397868591549297</v>
      </c>
      <c r="D8" s="2">
        <v>116.05346363380283</v>
      </c>
      <c r="E8" s="2">
        <v>1310.8140770859131</v>
      </c>
      <c r="F8" s="2">
        <v>0.23186739436619719</v>
      </c>
      <c r="G8" s="2">
        <v>1.4084507042253523E-2</v>
      </c>
      <c r="H8" s="2">
        <v>31.41036341126761</v>
      </c>
      <c r="I8" s="2">
        <v>6.4589995394366202</v>
      </c>
      <c r="J8" s="2">
        <v>26.884628526760565</v>
      </c>
      <c r="K8" s="2">
        <v>5.5319406813779306</v>
      </c>
      <c r="L8" s="2">
        <v>4.0368215783028143</v>
      </c>
      <c r="M8" s="2">
        <v>3.2892620267652561</v>
      </c>
      <c r="N8" s="2">
        <v>1.196095282460093</v>
      </c>
      <c r="O8" s="2">
        <v>0.89707146184506981</v>
      </c>
      <c r="P8" s="2">
        <v>655.38373088732124</v>
      </c>
      <c r="Q8" s="2">
        <v>2.3478010929577464</v>
      </c>
      <c r="R8" s="2">
        <v>0.91964413521126764</v>
      </c>
      <c r="S8" s="2">
        <v>1.7965501529577459</v>
      </c>
      <c r="T8" s="2">
        <v>1.4857841110328636</v>
      </c>
      <c r="U8" s="2">
        <v>0</v>
      </c>
      <c r="V8" s="2">
        <v>0</v>
      </c>
      <c r="W8" s="2">
        <v>3.945169339436621</v>
      </c>
      <c r="X8" s="2">
        <v>0.2419382957746479</v>
      </c>
      <c r="Y8" s="2">
        <v>44.197687395305152</v>
      </c>
      <c r="Z8" s="2">
        <v>23.182847473239423</v>
      </c>
      <c r="AA8" s="2">
        <v>25.486250845070423</v>
      </c>
      <c r="AB8" s="2">
        <f t="shared" si="1"/>
        <v>2266.0000575435633</v>
      </c>
      <c r="AG8" s="2">
        <v>14.642552156338013</v>
      </c>
    </row>
    <row r="9" spans="1:33" x14ac:dyDescent="0.2">
      <c r="B9" t="s">
        <v>158</v>
      </c>
      <c r="C9" s="2">
        <v>0.19397868591549297</v>
      </c>
      <c r="D9" s="2">
        <v>116.05346363380282</v>
      </c>
      <c r="E9" s="2">
        <v>1310.8140770859129</v>
      </c>
      <c r="F9" s="2">
        <v>0.23186739436619719</v>
      </c>
      <c r="G9" s="2">
        <v>1.4084507042253521E-2</v>
      </c>
      <c r="H9" s="2">
        <v>31.41036341126761</v>
      </c>
      <c r="I9" s="2">
        <v>6.4589995394366193</v>
      </c>
      <c r="J9" s="2">
        <v>35.690020400000002</v>
      </c>
      <c r="K9" s="2">
        <f t="shared" si="0"/>
        <v>6.1029225990422589</v>
      </c>
      <c r="L9" s="2">
        <f t="shared" si="0"/>
        <v>4.4534840587605675</v>
      </c>
      <c r="M9" s="2">
        <f t="shared" si="0"/>
        <v>3.6287647886197218</v>
      </c>
      <c r="N9" s="2">
        <f t="shared" si="0"/>
        <v>1.3195508322253533</v>
      </c>
      <c r="O9" s="2">
        <f t="shared" si="0"/>
        <v>0.98966312416901503</v>
      </c>
      <c r="P9" s="2">
        <v>655.38373088732124</v>
      </c>
      <c r="Q9" s="2">
        <v>2.3478010929577464</v>
      </c>
      <c r="R9" s="2">
        <v>0.91964413521126764</v>
      </c>
      <c r="S9" s="2">
        <v>1.7965501529577459</v>
      </c>
      <c r="T9" s="2">
        <v>1.5506930957746479</v>
      </c>
      <c r="U9" s="2"/>
      <c r="V9" s="2"/>
      <c r="W9" s="2">
        <v>3.945169339436621</v>
      </c>
      <c r="X9" s="2">
        <v>0.2419382957746479</v>
      </c>
      <c r="Y9" s="2">
        <v>44.186520899999984</v>
      </c>
      <c r="Z9" s="2">
        <v>23.182847473239423</v>
      </c>
      <c r="AA9" s="2">
        <v>25.486250845070423</v>
      </c>
      <c r="AB9" s="2">
        <f t="shared" si="1"/>
        <v>2276.4023862783047</v>
      </c>
      <c r="AG9" s="2">
        <v>16.494385402816917</v>
      </c>
    </row>
    <row r="10" spans="1:33" x14ac:dyDescent="0.2">
      <c r="B10" t="s">
        <v>21</v>
      </c>
      <c r="C10" s="2">
        <v>1.8059701492537312</v>
      </c>
      <c r="D10" s="2">
        <v>218.41791044776119</v>
      </c>
      <c r="E10" s="2">
        <v>1190.3880597014925</v>
      </c>
      <c r="F10" s="2">
        <v>0.10447761194029852</v>
      </c>
      <c r="G10" s="2">
        <v>0.62686567164179097</v>
      </c>
      <c r="H10" s="2">
        <v>15.820895522388058</v>
      </c>
      <c r="I10" s="2">
        <v>11.134328358208954</v>
      </c>
      <c r="J10" s="2">
        <v>34.328358208955223</v>
      </c>
      <c r="K10" s="2">
        <f t="shared" si="0"/>
        <v>12.61865671641791</v>
      </c>
      <c r="L10" s="2">
        <f t="shared" si="0"/>
        <v>9.2082089552238813</v>
      </c>
      <c r="M10" s="2">
        <f t="shared" si="0"/>
        <v>7.5029850746268654</v>
      </c>
      <c r="N10" s="2">
        <f t="shared" si="0"/>
        <v>2.7283582089552239</v>
      </c>
      <c r="O10" s="2">
        <f t="shared" si="0"/>
        <v>2.0462686567164177</v>
      </c>
      <c r="P10" s="2">
        <v>0</v>
      </c>
      <c r="Q10" s="2">
        <v>5.3582089552238799</v>
      </c>
      <c r="R10" s="2">
        <v>0.47761194029850745</v>
      </c>
      <c r="S10" s="2">
        <v>2.4029850746268657</v>
      </c>
      <c r="T10" s="2">
        <v>0.9253731343283581</v>
      </c>
      <c r="U10" s="2">
        <v>82.910447761194021</v>
      </c>
      <c r="V10" s="2">
        <v>0</v>
      </c>
      <c r="W10" s="2">
        <v>0.11940298507462686</v>
      </c>
      <c r="X10" s="2">
        <v>1.3731343283582089</v>
      </c>
      <c r="Y10" s="2">
        <v>25.686567164179102</v>
      </c>
      <c r="Z10" s="2">
        <v>4.4776119402985072E-2</v>
      </c>
      <c r="AA10" s="2">
        <v>99.507462686567166</v>
      </c>
      <c r="AB10" s="2">
        <f t="shared" si="1"/>
        <v>1725.5373134328356</v>
      </c>
      <c r="AG10" s="2">
        <v>34.104477611940297</v>
      </c>
    </row>
    <row r="11" spans="1:33" x14ac:dyDescent="0.2">
      <c r="A11" t="s">
        <v>43</v>
      </c>
      <c r="B11" t="s">
        <v>16</v>
      </c>
      <c r="C11" s="2">
        <v>0.18886813098591554</v>
      </c>
      <c r="D11" s="2">
        <v>322.16941545070426</v>
      </c>
      <c r="E11" s="2">
        <v>1388.6241446239421</v>
      </c>
      <c r="F11" s="2">
        <v>0</v>
      </c>
      <c r="G11" s="2">
        <v>7.0422535211267607E-3</v>
      </c>
      <c r="H11" s="2">
        <v>10.021588338028154</v>
      </c>
      <c r="I11" s="2">
        <v>0.18055071267605635</v>
      </c>
      <c r="J11" s="2">
        <v>88.17859265915493</v>
      </c>
      <c r="K11" s="2">
        <f t="shared" si="0"/>
        <v>5.3200696925492945</v>
      </c>
      <c r="L11" s="2">
        <f t="shared" si="0"/>
        <v>3.8822130188873234</v>
      </c>
      <c r="M11" s="2">
        <f t="shared" si="0"/>
        <v>3.1632846820563376</v>
      </c>
      <c r="N11" s="2">
        <f t="shared" si="0"/>
        <v>1.1502853389295773</v>
      </c>
      <c r="O11" s="2">
        <f t="shared" si="0"/>
        <v>0.86271400419718292</v>
      </c>
      <c r="P11" s="2">
        <v>327.72170992957751</v>
      </c>
      <c r="Q11" s="2">
        <v>3.3205046464788595</v>
      </c>
      <c r="R11" s="2">
        <v>0.84813828732394358</v>
      </c>
      <c r="S11" s="2">
        <v>1.2349096312676042</v>
      </c>
      <c r="T11" s="2">
        <v>1.6288591619718307</v>
      </c>
      <c r="U11" s="2"/>
      <c r="V11" s="2"/>
      <c r="W11" s="2">
        <v>1.3351705873239421</v>
      </c>
      <c r="X11" s="2">
        <v>0</v>
      </c>
      <c r="Y11" s="2">
        <v>59.321162621126753</v>
      </c>
      <c r="Z11" s="2">
        <v>0.47078741830985782</v>
      </c>
      <c r="AA11" s="2">
        <v>20.141574830985917</v>
      </c>
      <c r="AB11" s="2">
        <f t="shared" si="1"/>
        <v>2239.7715860199983</v>
      </c>
      <c r="AG11" s="2">
        <v>14.378566736619716</v>
      </c>
    </row>
    <row r="12" spans="1:33" x14ac:dyDescent="0.2">
      <c r="B12" t="s">
        <v>156</v>
      </c>
      <c r="C12" s="2" cm="1">
        <f t="array" ref="C12:AA12">(25/30)*Building_MI_original_baseline!C12:AA12+(5/30)*Building_MI_original_baseline!C13:AA13</f>
        <v>0.28178136220657279</v>
      </c>
      <c r="D12" s="2">
        <v>289.95247390610336</v>
      </c>
      <c r="E12" s="2">
        <v>1521.8742804915478</v>
      </c>
      <c r="F12" s="2">
        <v>0</v>
      </c>
      <c r="G12" s="2">
        <v>7.0422535211267616E-3</v>
      </c>
      <c r="H12" s="2">
        <v>46.677546563380268</v>
      </c>
      <c r="I12" s="2">
        <v>2.8769816441314555</v>
      </c>
      <c r="J12" s="2">
        <v>48.554709943896711</v>
      </c>
      <c r="K12" s="2">
        <v>5.5396760193262908</v>
      </c>
      <c r="L12" s="2">
        <v>4.0424662843732397</v>
      </c>
      <c r="M12" s="2">
        <v>3.2938614168967133</v>
      </c>
      <c r="N12" s="2">
        <v>1.1977677879624411</v>
      </c>
      <c r="O12" s="2">
        <v>0.89832584097183088</v>
      </c>
      <c r="P12" s="2">
        <v>394.5217951760564</v>
      </c>
      <c r="Q12" s="2">
        <v>3.3205046464788595</v>
      </c>
      <c r="R12" s="2">
        <v>0.84813828732394358</v>
      </c>
      <c r="S12" s="2">
        <v>1.5919649113145524</v>
      </c>
      <c r="T12" s="2">
        <v>1.7222954333333333</v>
      </c>
      <c r="U12" s="2">
        <v>0</v>
      </c>
      <c r="V12" s="2">
        <v>0</v>
      </c>
      <c r="W12" s="2">
        <v>1.3770228845070407</v>
      </c>
      <c r="X12" s="2">
        <v>0.36854849295774644</v>
      </c>
      <c r="Y12" s="2">
        <v>61.770039730751165</v>
      </c>
      <c r="Z12" s="2">
        <v>0.60906715422535074</v>
      </c>
      <c r="AA12" s="2">
        <v>20.141574830985917</v>
      </c>
      <c r="AB12" s="2">
        <f t="shared" si="1"/>
        <v>2411.4678650622513</v>
      </c>
      <c r="AG12" s="2">
        <v>14.886732830985913</v>
      </c>
    </row>
    <row r="13" spans="1:33" x14ac:dyDescent="0.2">
      <c r="B13" t="s">
        <v>157</v>
      </c>
      <c r="C13" s="2" cm="1">
        <f t="array" ref="C13:AA13">(25/30)*Building_MI_original_baseline!C13:AA13+(5/30)*Building_MI_original_baseline!C14:AA14</f>
        <v>0.25258702535211269</v>
      </c>
      <c r="D13" s="2">
        <v>128.86776618309858</v>
      </c>
      <c r="E13" s="2">
        <v>1589.920186801407</v>
      </c>
      <c r="F13" s="2">
        <v>0</v>
      </c>
      <c r="G13" s="2">
        <v>7.0422535211267616E-3</v>
      </c>
      <c r="H13" s="2">
        <v>46.677546563380268</v>
      </c>
      <c r="I13" s="2">
        <v>4.8030037380281687</v>
      </c>
      <c r="J13" s="2">
        <v>30.892644531220654</v>
      </c>
      <c r="K13" s="2">
        <v>5.7969504054659611</v>
      </c>
      <c r="L13" s="2">
        <v>4.2302070526373239</v>
      </c>
      <c r="M13" s="2">
        <v>3.446835376223004</v>
      </c>
      <c r="N13" s="2">
        <v>1.2533946822629107</v>
      </c>
      <c r="O13" s="2">
        <v>0.94004601169718272</v>
      </c>
      <c r="P13" s="2">
        <v>728.52222140845072</v>
      </c>
      <c r="Q13" s="2">
        <v>3.3205046464788595</v>
      </c>
      <c r="R13" s="2">
        <v>0.84813828732394358</v>
      </c>
      <c r="S13" s="2">
        <v>1.8044713045070404</v>
      </c>
      <c r="T13" s="2">
        <v>1.7513309887323942</v>
      </c>
      <c r="U13" s="2">
        <v>0</v>
      </c>
      <c r="V13" s="2">
        <v>0</v>
      </c>
      <c r="W13" s="2">
        <v>1.3770228845070407</v>
      </c>
      <c r="X13" s="2">
        <v>0.36854849295774644</v>
      </c>
      <c r="Y13" s="2">
        <v>63.32280062112676</v>
      </c>
      <c r="Z13" s="2">
        <v>1.3004658338028157</v>
      </c>
      <c r="AA13" s="2">
        <v>20.141574830985917</v>
      </c>
      <c r="AB13" s="2">
        <f t="shared" si="1"/>
        <v>2639.8452899231665</v>
      </c>
      <c r="AG13" s="2">
        <v>15.398919942253519</v>
      </c>
    </row>
    <row r="14" spans="1:33" x14ac:dyDescent="0.2">
      <c r="B14" t="s">
        <v>158</v>
      </c>
      <c r="C14" s="2">
        <v>0.25258702535211269</v>
      </c>
      <c r="D14" s="2">
        <v>128.86776618309858</v>
      </c>
      <c r="E14" s="2">
        <v>1589.920186801407</v>
      </c>
      <c r="F14" s="2">
        <v>0</v>
      </c>
      <c r="G14" s="2">
        <v>7.0422535211267607E-3</v>
      </c>
      <c r="H14" s="2">
        <v>46.677546563380261</v>
      </c>
      <c r="I14" s="2">
        <v>4.8030037380281687</v>
      </c>
      <c r="J14" s="2">
        <v>42.414406792957749</v>
      </c>
      <c r="K14" s="2">
        <f t="shared" si="0"/>
        <v>6.2937005396267569</v>
      </c>
      <c r="L14" s="2">
        <f t="shared" si="0"/>
        <v>4.5927003937816879</v>
      </c>
      <c r="M14" s="2">
        <f t="shared" si="0"/>
        <v>3.742200320859153</v>
      </c>
      <c r="N14" s="2">
        <f t="shared" si="0"/>
        <v>1.3608001166760557</v>
      </c>
      <c r="O14" s="2">
        <f t="shared" si="0"/>
        <v>1.0206000875070416</v>
      </c>
      <c r="P14" s="2">
        <v>728.52222140845072</v>
      </c>
      <c r="Q14" s="2">
        <v>3.3205046464788595</v>
      </c>
      <c r="R14" s="2">
        <v>0.84813828732394358</v>
      </c>
      <c r="S14" s="2">
        <v>1.8044713045070404</v>
      </c>
      <c r="T14" s="2">
        <v>1.8392071225352109</v>
      </c>
      <c r="U14" s="2"/>
      <c r="V14" s="2"/>
      <c r="W14" s="2">
        <v>1.3770228845070407</v>
      </c>
      <c r="X14" s="2">
        <v>0.36854849295774644</v>
      </c>
      <c r="Y14" s="2">
        <v>63.308935043661968</v>
      </c>
      <c r="Z14" s="2">
        <v>1.3004658338028157</v>
      </c>
      <c r="AA14" s="2">
        <v>20.141574830985917</v>
      </c>
      <c r="AB14" s="2">
        <f t="shared" si="1"/>
        <v>2652.7836306714071</v>
      </c>
      <c r="AG14" s="2">
        <v>17.010001458450695</v>
      </c>
    </row>
    <row r="15" spans="1:33" x14ac:dyDescent="0.2">
      <c r="B15" t="s">
        <v>21</v>
      </c>
      <c r="C15" s="2">
        <v>1.8059701492537312</v>
      </c>
      <c r="D15" s="2">
        <v>218.41791044776119</v>
      </c>
      <c r="E15" s="2">
        <v>1190.3880597014925</v>
      </c>
      <c r="F15" s="2">
        <v>0.10447761194029852</v>
      </c>
      <c r="G15" s="2">
        <v>0.62686567164179097</v>
      </c>
      <c r="H15" s="2">
        <v>15.820895522388058</v>
      </c>
      <c r="I15" s="2">
        <v>11.134328358208954</v>
      </c>
      <c r="J15" s="2">
        <v>34.328358208955223</v>
      </c>
      <c r="K15" s="2">
        <f t="shared" si="0"/>
        <v>12.61865671641791</v>
      </c>
      <c r="L15" s="2">
        <f t="shared" si="0"/>
        <v>9.2082089552238813</v>
      </c>
      <c r="M15" s="2">
        <f t="shared" si="0"/>
        <v>7.5029850746268654</v>
      </c>
      <c r="N15" s="2">
        <f t="shared" si="0"/>
        <v>2.7283582089552239</v>
      </c>
      <c r="O15" s="2">
        <f t="shared" si="0"/>
        <v>2.0462686567164177</v>
      </c>
      <c r="P15" s="2">
        <v>0</v>
      </c>
      <c r="Q15" s="2">
        <v>5.3582089552238799</v>
      </c>
      <c r="R15" s="2">
        <v>0.47761194029850745</v>
      </c>
      <c r="S15" s="2">
        <v>2.4029850746268657</v>
      </c>
      <c r="T15" s="2">
        <v>0.9253731343283581</v>
      </c>
      <c r="U15" s="2">
        <v>82.910447761194021</v>
      </c>
      <c r="V15" s="2">
        <v>0</v>
      </c>
      <c r="W15" s="2">
        <v>0.11940298507462686</v>
      </c>
      <c r="X15" s="2">
        <v>1.3731343283582089</v>
      </c>
      <c r="Y15" s="2">
        <v>25.686567164179102</v>
      </c>
      <c r="Z15" s="2">
        <v>4.4776119402985072E-2</v>
      </c>
      <c r="AA15" s="2">
        <v>99.507462686567166</v>
      </c>
      <c r="AB15" s="2">
        <f t="shared" si="1"/>
        <v>1725.5373134328356</v>
      </c>
      <c r="AG15" s="2">
        <v>34.104477611940297</v>
      </c>
    </row>
    <row r="16" spans="1:33" x14ac:dyDescent="0.2">
      <c r="A16" t="s">
        <v>11</v>
      </c>
      <c r="B16" t="s">
        <v>16</v>
      </c>
      <c r="C16" s="2">
        <v>0.37854946376811599</v>
      </c>
      <c r="D16" s="2">
        <v>162.86606424637682</v>
      </c>
      <c r="E16" s="2">
        <v>1144.3172885652173</v>
      </c>
      <c r="F16" s="2">
        <v>0</v>
      </c>
      <c r="G16" s="2">
        <v>1.8924160869565217E-2</v>
      </c>
      <c r="H16" s="2">
        <v>7.6938449159420292</v>
      </c>
      <c r="I16" s="2">
        <v>0.23043419420289715</v>
      </c>
      <c r="J16" s="2">
        <v>64.768413495652169</v>
      </c>
      <c r="K16" s="2">
        <f t="shared" si="0"/>
        <v>4.8911125378840588</v>
      </c>
      <c r="L16" s="2">
        <f t="shared" si="0"/>
        <v>3.5691902303478269</v>
      </c>
      <c r="M16" s="2">
        <f t="shared" si="0"/>
        <v>2.9082290765797105</v>
      </c>
      <c r="N16" s="2">
        <f t="shared" si="0"/>
        <v>1.0575378460289857</v>
      </c>
      <c r="O16" s="2">
        <f t="shared" si="0"/>
        <v>0.79315338452173922</v>
      </c>
      <c r="P16" s="2">
        <v>263.36174559420294</v>
      </c>
      <c r="Q16" s="2">
        <v>2.7625526971014498</v>
      </c>
      <c r="R16" s="2">
        <v>0.35149360434782612</v>
      </c>
      <c r="S16" s="2">
        <v>0.81826993999999875</v>
      </c>
      <c r="T16" s="2">
        <v>1.3552014608695648</v>
      </c>
      <c r="U16" s="2"/>
      <c r="V16" s="2"/>
      <c r="W16" s="2">
        <v>1.4697139710144911</v>
      </c>
      <c r="X16" s="2">
        <v>0</v>
      </c>
      <c r="Y16" s="2">
        <v>51.236411047826117</v>
      </c>
      <c r="Z16" s="2">
        <v>0.43873775797101455</v>
      </c>
      <c r="AA16" s="2">
        <v>25.673779000000003</v>
      </c>
      <c r="AB16" s="2">
        <f t="shared" si="1"/>
        <v>1740.9606471907243</v>
      </c>
      <c r="AG16" s="2">
        <v>13.21922307536232</v>
      </c>
    </row>
    <row r="17" spans="1:33" x14ac:dyDescent="0.2">
      <c r="B17" t="s">
        <v>156</v>
      </c>
      <c r="C17" s="2" cm="1">
        <f t="array" ref="C17:AA17">(25/30)*Building_MI_original_baseline!C17:AA17+(5/30)*Building_MI_original_baseline!C18:AA18</f>
        <v>0.45919950893719808</v>
      </c>
      <c r="D17" s="2">
        <v>146.57945782125606</v>
      </c>
      <c r="E17" s="2">
        <v>1238.7900545992754</v>
      </c>
      <c r="F17" s="2">
        <v>0</v>
      </c>
      <c r="G17" s="2">
        <v>1.8924160869565217E-2</v>
      </c>
      <c r="H17" s="2">
        <v>16.722916946376813</v>
      </c>
      <c r="I17" s="2">
        <v>2.6610480983091773</v>
      </c>
      <c r="J17" s="2">
        <v>37.434904464734288</v>
      </c>
      <c r="K17" s="2">
        <v>5.0091719964975852</v>
      </c>
      <c r="L17" s="2">
        <v>3.6553417271739135</v>
      </c>
      <c r="M17" s="2">
        <v>2.9784265925120779</v>
      </c>
      <c r="N17" s="2">
        <v>1.0830642154589376</v>
      </c>
      <c r="O17" s="2">
        <v>0.81229816159420298</v>
      </c>
      <c r="P17" s="2">
        <v>290.68926591787442</v>
      </c>
      <c r="Q17" s="2">
        <v>2.7625526971014502</v>
      </c>
      <c r="R17" s="2">
        <v>0.35149360434782612</v>
      </c>
      <c r="S17" s="2">
        <v>1.2663894665700473</v>
      </c>
      <c r="T17" s="2">
        <v>1.4637034560386468</v>
      </c>
      <c r="U17" s="2">
        <v>0</v>
      </c>
      <c r="V17" s="2">
        <v>0</v>
      </c>
      <c r="W17" s="2">
        <v>1.5202924623188392</v>
      </c>
      <c r="X17" s="2">
        <v>0.47785589275362328</v>
      </c>
      <c r="Y17" s="2">
        <v>53.458638824154598</v>
      </c>
      <c r="Z17" s="2">
        <v>0.56953656787439622</v>
      </c>
      <c r="AA17" s="2">
        <v>25.673779000000003</v>
      </c>
      <c r="AB17" s="2">
        <f t="shared" si="1"/>
        <v>1834.4383161820292</v>
      </c>
      <c r="AG17" s="2">
        <v>13.477310789855075</v>
      </c>
    </row>
    <row r="18" spans="1:33" x14ac:dyDescent="0.2">
      <c r="B18" t="s">
        <v>157</v>
      </c>
      <c r="C18" s="2" cm="1">
        <f t="array" ref="C18:AA18">(25/30)*Building_MI_original_baseline!C18:AA18+(5/30)*Building_MI_original_baseline!C19:AA19</f>
        <v>0.37808582173913052</v>
      </c>
      <c r="D18" s="2">
        <v>65.146425695652184</v>
      </c>
      <c r="E18" s="2">
        <v>1304.4812254217393</v>
      </c>
      <c r="F18" s="2">
        <v>0</v>
      </c>
      <c r="G18" s="2">
        <v>1.8924160869565217E-2</v>
      </c>
      <c r="H18" s="2">
        <v>16.722916946376813</v>
      </c>
      <c r="I18" s="2">
        <v>4.3972008869565204</v>
      </c>
      <c r="J18" s="2">
        <v>22.392486746859905</v>
      </c>
      <c r="K18" s="2">
        <v>5.1915102164975844</v>
      </c>
      <c r="L18" s="2">
        <v>3.7883993471739137</v>
      </c>
      <c r="M18" s="2">
        <v>3.0868439125120779</v>
      </c>
      <c r="N18" s="2">
        <v>1.1224886954589375</v>
      </c>
      <c r="O18" s="2">
        <v>0.84186652159420294</v>
      </c>
      <c r="P18" s="2">
        <v>427.32686753623187</v>
      </c>
      <c r="Q18" s="2">
        <v>2.7625526971014502</v>
      </c>
      <c r="R18" s="2">
        <v>0.35149360434782612</v>
      </c>
      <c r="S18" s="2">
        <v>1.8714109544927529</v>
      </c>
      <c r="T18" s="2">
        <v>1.4762390594202894</v>
      </c>
      <c r="U18" s="2">
        <v>0</v>
      </c>
      <c r="V18" s="2">
        <v>0</v>
      </c>
      <c r="W18" s="2">
        <v>1.5202924623188392</v>
      </c>
      <c r="X18" s="2">
        <v>0.47785589275362328</v>
      </c>
      <c r="Y18" s="2">
        <v>54.822601641787458</v>
      </c>
      <c r="Z18" s="2">
        <v>1.2235306173913045</v>
      </c>
      <c r="AA18" s="2">
        <v>25.673779000000003</v>
      </c>
      <c r="AB18" s="2">
        <f t="shared" si="1"/>
        <v>1945.074997839276</v>
      </c>
      <c r="AG18" s="2">
        <v>13.843262210144928</v>
      </c>
    </row>
    <row r="19" spans="1:33" x14ac:dyDescent="0.2">
      <c r="B19" t="s">
        <v>158</v>
      </c>
      <c r="C19" s="2">
        <v>0.37808582173913047</v>
      </c>
      <c r="D19" s="2">
        <v>65.146425695652184</v>
      </c>
      <c r="E19" s="2">
        <v>1304.4812254217391</v>
      </c>
      <c r="F19" s="2">
        <v>0</v>
      </c>
      <c r="G19" s="2">
        <v>1.8924160869565217E-2</v>
      </c>
      <c r="H19" s="2">
        <v>16.722916946376813</v>
      </c>
      <c r="I19" s="2">
        <v>4.3972008869565204</v>
      </c>
      <c r="J19" s="2">
        <v>32.834914582608697</v>
      </c>
      <c r="K19" s="2">
        <f t="shared" si="0"/>
        <v>5.5390262102173917</v>
      </c>
      <c r="L19" s="2">
        <f t="shared" si="0"/>
        <v>4.0419920993478273</v>
      </c>
      <c r="M19" s="2">
        <f t="shared" si="0"/>
        <v>3.2934750439130442</v>
      </c>
      <c r="N19" s="2">
        <f t="shared" si="0"/>
        <v>1.1976272886956525</v>
      </c>
      <c r="O19" s="2">
        <f t="shared" si="0"/>
        <v>0.89822046652173926</v>
      </c>
      <c r="P19" s="2">
        <v>427.32686753623187</v>
      </c>
      <c r="Q19" s="2">
        <v>2.7625526971014498</v>
      </c>
      <c r="R19" s="2">
        <v>0.35149360434782612</v>
      </c>
      <c r="S19" s="2">
        <v>1.8714109544927526</v>
      </c>
      <c r="T19" s="2">
        <v>1.5566010376811577</v>
      </c>
      <c r="U19" s="2"/>
      <c r="V19" s="2"/>
      <c r="W19" s="2">
        <v>1.5202924623188392</v>
      </c>
      <c r="X19" s="2">
        <v>0.47785589275362322</v>
      </c>
      <c r="Y19" s="2">
        <v>54.810216828985524</v>
      </c>
      <c r="Z19" s="2">
        <v>1.2235306173913045</v>
      </c>
      <c r="AA19" s="2">
        <v>25.673779000000003</v>
      </c>
      <c r="AB19" s="2">
        <f t="shared" si="1"/>
        <v>1956.5246352559425</v>
      </c>
      <c r="AG19" s="2">
        <v>14.970341108695655</v>
      </c>
    </row>
    <row r="20" spans="1:33" x14ac:dyDescent="0.2">
      <c r="B20" t="s">
        <v>21</v>
      </c>
      <c r="C20" s="2">
        <v>1.1980676328502415</v>
      </c>
      <c r="D20" s="2">
        <v>179.96618357487924</v>
      </c>
      <c r="E20" s="2">
        <v>1662.6231884057972</v>
      </c>
      <c r="F20" s="2">
        <v>0.64251207729468607</v>
      </c>
      <c r="G20" s="2">
        <v>0.89855072463768126</v>
      </c>
      <c r="H20" s="2">
        <v>13.54106280193237</v>
      </c>
      <c r="I20" s="2">
        <v>7.5458937198067639</v>
      </c>
      <c r="J20" s="2">
        <v>24.90338164251208</v>
      </c>
      <c r="K20" s="2">
        <f t="shared" si="0"/>
        <v>9.7737198067632871</v>
      </c>
      <c r="L20" s="2">
        <f t="shared" si="0"/>
        <v>7.1321739130434798</v>
      </c>
      <c r="M20" s="2">
        <f t="shared" si="0"/>
        <v>5.8114009661835757</v>
      </c>
      <c r="N20" s="2">
        <f t="shared" si="0"/>
        <v>2.1132367149758458</v>
      </c>
      <c r="O20" s="2">
        <f t="shared" si="0"/>
        <v>1.5849275362318842</v>
      </c>
      <c r="P20" s="2">
        <v>0</v>
      </c>
      <c r="Q20" s="2">
        <v>6.57487922705314</v>
      </c>
      <c r="R20" s="2">
        <v>0.58454106280193241</v>
      </c>
      <c r="S20" s="2">
        <v>2.8743961352657008</v>
      </c>
      <c r="T20" s="2">
        <v>0.7874396135265701</v>
      </c>
      <c r="U20" s="2">
        <v>63.603864734299513</v>
      </c>
      <c r="V20" s="2">
        <v>0</v>
      </c>
      <c r="W20" s="2">
        <v>0.12077294685990339</v>
      </c>
      <c r="X20" s="2">
        <v>0.58454106280193241</v>
      </c>
      <c r="Y20" s="2">
        <v>29.855072463768114</v>
      </c>
      <c r="Z20" s="2">
        <v>9.6618357487922718E-2</v>
      </c>
      <c r="AA20" s="2">
        <v>128.72946859903382</v>
      </c>
      <c r="AB20" s="2">
        <f t="shared" si="1"/>
        <v>2151.5458937198068</v>
      </c>
      <c r="AG20" s="2">
        <v>26.415458937198071</v>
      </c>
    </row>
    <row r="21" spans="1:33" x14ac:dyDescent="0.2">
      <c r="A21" t="s">
        <v>12</v>
      </c>
      <c r="B21" t="s">
        <v>16</v>
      </c>
      <c r="C21" s="2">
        <v>0.20221829725790513</v>
      </c>
      <c r="D21" s="2">
        <v>169.93780449011857</v>
      </c>
      <c r="E21" s="2">
        <v>1421.6139480039028</v>
      </c>
      <c r="F21" s="2">
        <v>0</v>
      </c>
      <c r="G21" s="2">
        <v>3.2032279496047429E-2</v>
      </c>
      <c r="H21" s="2">
        <v>13.986688577099798</v>
      </c>
      <c r="I21" s="2">
        <v>0.23152289397233203</v>
      </c>
      <c r="J21" s="2">
        <v>33.943422969713424</v>
      </c>
      <c r="K21" s="2">
        <f t="shared" si="0"/>
        <v>6.8289593353866085</v>
      </c>
      <c r="L21" s="2">
        <f t="shared" si="0"/>
        <v>4.983294650146985</v>
      </c>
      <c r="M21" s="2">
        <f t="shared" si="0"/>
        <v>4.0604623075271729</v>
      </c>
      <c r="N21" s="2">
        <f t="shared" si="0"/>
        <v>1.4765317481916993</v>
      </c>
      <c r="O21" s="2">
        <f t="shared" si="0"/>
        <v>1.1073988111437743</v>
      </c>
      <c r="P21" s="2">
        <v>224.76978087598758</v>
      </c>
      <c r="Q21" s="2">
        <v>12.270727132905126</v>
      </c>
      <c r="R21" s="2">
        <v>0.30749103120059285</v>
      </c>
      <c r="S21" s="2">
        <v>0.99483573656126456</v>
      </c>
      <c r="T21" s="2">
        <v>2.0525547885968374</v>
      </c>
      <c r="U21" s="2"/>
      <c r="V21" s="2"/>
      <c r="W21" s="2">
        <v>0.72710811603260872</v>
      </c>
      <c r="X21" s="2">
        <v>0</v>
      </c>
      <c r="Y21" s="2">
        <v>69.102116075667027</v>
      </c>
      <c r="Z21" s="2">
        <v>0.83496118913043471</v>
      </c>
      <c r="AA21" s="2">
        <v>16.468138358448616</v>
      </c>
      <c r="AB21" s="2">
        <f t="shared" si="1"/>
        <v>1985.9319976684876</v>
      </c>
      <c r="AG21" s="2">
        <v>18.45664685239624</v>
      </c>
    </row>
    <row r="22" spans="1:33" x14ac:dyDescent="0.2">
      <c r="B22" t="s">
        <v>156</v>
      </c>
      <c r="C22" s="2" cm="1">
        <f t="array" ref="C22:AA22">(25/30)*Building_MI_original_baseline!C22:AA22+(5/30)*Building_MI_original_baseline!C23:AA23</f>
        <v>0.30659409121376718</v>
      </c>
      <c r="D22" s="2">
        <v>150.70739824798255</v>
      </c>
      <c r="E22" s="2">
        <v>1514.6210843366187</v>
      </c>
      <c r="F22" s="2">
        <v>0.13764470016057295</v>
      </c>
      <c r="G22" s="2">
        <v>3.2032279496047429E-2</v>
      </c>
      <c r="H22" s="2">
        <v>13.822343876152829</v>
      </c>
      <c r="I22" s="2">
        <v>2.9457613399785858</v>
      </c>
      <c r="J22" s="2">
        <v>21.144124247640807</v>
      </c>
      <c r="K22" s="2">
        <v>6.7453931001493723</v>
      </c>
      <c r="L22" s="2">
        <v>4.9223138838927856</v>
      </c>
      <c r="M22" s="2">
        <v>4.0107742757644917</v>
      </c>
      <c r="N22" s="2">
        <v>1.4584633730052698</v>
      </c>
      <c r="O22" s="2">
        <v>1.0938475297539523</v>
      </c>
      <c r="P22" s="2">
        <v>241.4403946610667</v>
      </c>
      <c r="Q22" s="2">
        <v>11.175228011281281</v>
      </c>
      <c r="R22" s="2">
        <v>0.30764778053771408</v>
      </c>
      <c r="S22" s="2">
        <v>1.3383939973608361</v>
      </c>
      <c r="T22" s="2">
        <v>5.6162251376457508</v>
      </c>
      <c r="U22" s="2">
        <v>0</v>
      </c>
      <c r="V22" s="2">
        <v>0</v>
      </c>
      <c r="W22" s="2">
        <v>0.74128453076004619</v>
      </c>
      <c r="X22" s="2">
        <v>0.35798067065217387</v>
      </c>
      <c r="Y22" s="2">
        <v>68.932509376387529</v>
      </c>
      <c r="Z22" s="2">
        <v>0.7346677232625165</v>
      </c>
      <c r="AA22" s="2">
        <v>16.468138358448616</v>
      </c>
      <c r="AB22" s="2">
        <f t="shared" si="1"/>
        <v>2069.0602455292124</v>
      </c>
      <c r="AG22" s="2">
        <v>19.158717388611656</v>
      </c>
    </row>
    <row r="23" spans="1:33" x14ac:dyDescent="0.2">
      <c r="B23" t="s">
        <v>157</v>
      </c>
      <c r="C23" s="2" cm="1">
        <f t="array" ref="C23:AA23">(25/30)*Building_MI_original_baseline!C23:AA23+(5/30)*Building_MI_original_baseline!C24:AA24</f>
        <v>0.78220971588438193</v>
      </c>
      <c r="D23" s="2">
        <v>54.555367037302368</v>
      </c>
      <c r="E23" s="2">
        <v>1526.4957120451579</v>
      </c>
      <c r="F23" s="2">
        <v>0.82586820096343772</v>
      </c>
      <c r="G23" s="2">
        <v>3.2032279496047429E-2</v>
      </c>
      <c r="H23" s="2">
        <v>13.000620371417984</v>
      </c>
      <c r="I23" s="2">
        <v>4.8845030879199598</v>
      </c>
      <c r="J23" s="2">
        <v>12.026846123756583</v>
      </c>
      <c r="K23" s="2">
        <v>4.835505887246395</v>
      </c>
      <c r="L23" s="2">
        <v>3.5286124042068292</v>
      </c>
      <c r="M23" s="2">
        <v>2.8751656626870461</v>
      </c>
      <c r="N23" s="2">
        <v>1.0455147864316532</v>
      </c>
      <c r="O23" s="2">
        <v>0.78413608982373983</v>
      </c>
      <c r="P23" s="2">
        <v>324.79346358646245</v>
      </c>
      <c r="Q23" s="2">
        <v>5.6977324031620453</v>
      </c>
      <c r="R23" s="2">
        <v>0.30850990193922923</v>
      </c>
      <c r="S23" s="2">
        <v>1.8858516190917312</v>
      </c>
      <c r="T23" s="2">
        <v>5.6058939766856062</v>
      </c>
      <c r="U23" s="2">
        <v>0</v>
      </c>
      <c r="V23" s="2">
        <v>0</v>
      </c>
      <c r="W23" s="2">
        <v>0.74693622371541502</v>
      </c>
      <c r="X23" s="2">
        <v>0.35798067065217387</v>
      </c>
      <c r="Y23" s="2">
        <v>70.660171043898245</v>
      </c>
      <c r="Z23" s="2">
        <v>0.88796920642292498</v>
      </c>
      <c r="AA23" s="2">
        <v>16.468138358448616</v>
      </c>
      <c r="AB23" s="2">
        <f t="shared" si="1"/>
        <v>2053.0847406827725</v>
      </c>
      <c r="AG23" s="2">
        <v>13.59116603233695</v>
      </c>
    </row>
    <row r="24" spans="1:33" x14ac:dyDescent="0.2">
      <c r="B24" t="s">
        <v>158</v>
      </c>
      <c r="C24" s="2">
        <v>0.78220971588438182</v>
      </c>
      <c r="D24" s="2">
        <v>54.555367037302368</v>
      </c>
      <c r="E24" s="2">
        <v>1526.4957120451579</v>
      </c>
      <c r="F24" s="2">
        <v>0.82586820096343772</v>
      </c>
      <c r="G24" s="2">
        <v>3.2032279496047429E-2</v>
      </c>
      <c r="H24" s="2">
        <v>13.000620371417984</v>
      </c>
      <c r="I24" s="2">
        <v>4.8845030879199598</v>
      </c>
      <c r="J24" s="2">
        <v>13.125159888908099</v>
      </c>
      <c r="K24" s="2">
        <f t="shared" si="0"/>
        <v>3.8693781636550129</v>
      </c>
      <c r="L24" s="2">
        <f t="shared" si="0"/>
        <v>2.8236002815860908</v>
      </c>
      <c r="M24" s="2">
        <f t="shared" si="0"/>
        <v>2.3007113405516293</v>
      </c>
      <c r="N24" s="2">
        <f t="shared" si="0"/>
        <v>0.83662230565513795</v>
      </c>
      <c r="O24" s="2">
        <f t="shared" si="0"/>
        <v>0.62746672924135349</v>
      </c>
      <c r="P24" s="2">
        <v>324.79346358646245</v>
      </c>
      <c r="Q24" s="2">
        <v>5.6977324031620444</v>
      </c>
      <c r="R24" s="2">
        <v>0.30890177551877468</v>
      </c>
      <c r="S24" s="2">
        <v>1.8877069491106706</v>
      </c>
      <c r="T24" s="2">
        <v>5.554137688621541</v>
      </c>
      <c r="U24" s="2"/>
      <c r="V24" s="2"/>
      <c r="W24" s="2">
        <v>0.74699402201086951</v>
      </c>
      <c r="X24" s="2">
        <v>0.35798067065217387</v>
      </c>
      <c r="Y24" s="2">
        <v>70.647256890612667</v>
      </c>
      <c r="Z24" s="2">
        <v>0.88796920642292487</v>
      </c>
      <c r="AA24" s="2">
        <v>16.468138358448616</v>
      </c>
      <c r="AB24" s="2">
        <f t="shared" si="1"/>
        <v>2051.5095329987616</v>
      </c>
      <c r="AG24" s="2">
        <v>10.457778820689224</v>
      </c>
    </row>
    <row r="25" spans="1:33" x14ac:dyDescent="0.2">
      <c r="B25" t="s">
        <v>21</v>
      </c>
      <c r="C25" s="2">
        <v>1.5489130434782608</v>
      </c>
      <c r="D25" s="2">
        <v>237.06521739130437</v>
      </c>
      <c r="E25" s="2">
        <v>1107.9076086956522</v>
      </c>
      <c r="F25" s="2">
        <v>0.31521739130434784</v>
      </c>
      <c r="G25" s="2">
        <v>1.2880434782608696</v>
      </c>
      <c r="H25" s="2">
        <v>30.874999999999996</v>
      </c>
      <c r="I25" s="2">
        <v>5.8913043478260869</v>
      </c>
      <c r="J25" s="2">
        <v>2.206521739130435</v>
      </c>
      <c r="K25" s="2">
        <f t="shared" si="0"/>
        <v>2.851413043478261</v>
      </c>
      <c r="L25" s="2">
        <f t="shared" si="0"/>
        <v>2.0807608695652173</v>
      </c>
      <c r="M25" s="2">
        <f t="shared" si="0"/>
        <v>1.6954347826086955</v>
      </c>
      <c r="N25" s="2">
        <f t="shared" si="0"/>
        <v>0.61652173913043473</v>
      </c>
      <c r="O25" s="2">
        <f t="shared" si="0"/>
        <v>0.46239130434782605</v>
      </c>
      <c r="P25" s="2">
        <v>0</v>
      </c>
      <c r="Q25" s="2">
        <v>12.581521739130434</v>
      </c>
      <c r="R25" s="2">
        <v>0.37499999999999994</v>
      </c>
      <c r="S25" s="2">
        <v>2.5054347826086953</v>
      </c>
      <c r="T25" s="2">
        <v>0.99456521739130421</v>
      </c>
      <c r="U25" s="2">
        <v>61.532608695652172</v>
      </c>
      <c r="V25" s="2">
        <v>0</v>
      </c>
      <c r="W25" s="2">
        <v>0.12499999999999999</v>
      </c>
      <c r="X25" s="2">
        <v>0.27173913043478259</v>
      </c>
      <c r="Y25" s="2">
        <v>21.673913043478258</v>
      </c>
      <c r="Z25" s="2">
        <v>0.53260869565217395</v>
      </c>
      <c r="AA25" s="2">
        <v>30.114130434782606</v>
      </c>
      <c r="AB25" s="2">
        <f t="shared" si="1"/>
        <v>1525.5108695652175</v>
      </c>
      <c r="AG25" s="2">
        <v>7.7065217391304346</v>
      </c>
    </row>
    <row r="26" spans="1:33" x14ac:dyDescent="0.2">
      <c r="A26" t="s">
        <v>44</v>
      </c>
      <c r="B26" t="s">
        <v>16</v>
      </c>
      <c r="C26" s="2">
        <v>0.11701019340659341</v>
      </c>
      <c r="D26" s="2">
        <v>171.36517329670332</v>
      </c>
      <c r="E26" s="2">
        <v>1097.8571164296693</v>
      </c>
      <c r="F26" s="2">
        <v>6.7692307692307691E-2</v>
      </c>
      <c r="G26" s="2">
        <v>3.663003626373626E-2</v>
      </c>
      <c r="H26" s="2">
        <v>9.5043092065934065</v>
      </c>
      <c r="I26" s="2">
        <v>11.018224612087911</v>
      </c>
      <c r="J26" s="2">
        <v>42.832492139560415</v>
      </c>
      <c r="K26" s="2">
        <f t="shared" si="0"/>
        <v>6.2467805061428585</v>
      </c>
      <c r="L26" s="2">
        <f t="shared" si="0"/>
        <v>4.558461450428573</v>
      </c>
      <c r="M26" s="2">
        <f t="shared" si="0"/>
        <v>3.7143019225714293</v>
      </c>
      <c r="N26" s="2">
        <f t="shared" si="0"/>
        <v>1.3506552445714288</v>
      </c>
      <c r="O26" s="2">
        <f t="shared" si="0"/>
        <v>1.0129914334285717</v>
      </c>
      <c r="P26" s="2">
        <v>252.87193786813185</v>
      </c>
      <c r="Q26" s="2">
        <v>18.81893665164834</v>
      </c>
      <c r="R26" s="2">
        <v>0.20715254395604393</v>
      </c>
      <c r="S26" s="2">
        <v>1.4989690769230766</v>
      </c>
      <c r="T26" s="2">
        <v>1.9742970098901096</v>
      </c>
      <c r="U26" s="2"/>
      <c r="V26" s="2"/>
      <c r="W26" s="2">
        <v>0.46113914505494502</v>
      </c>
      <c r="X26" s="2">
        <v>0</v>
      </c>
      <c r="Y26" s="2">
        <v>46.466515152747249</v>
      </c>
      <c r="Z26" s="2">
        <v>5.0542406593406593E-2</v>
      </c>
      <c r="AA26" s="2">
        <v>13.502395043956044</v>
      </c>
      <c r="AB26" s="2">
        <f t="shared" si="1"/>
        <v>1685.5337236780206</v>
      </c>
      <c r="AG26" s="2">
        <v>16.883190557142861</v>
      </c>
    </row>
    <row r="27" spans="1:33" x14ac:dyDescent="0.2">
      <c r="B27" t="s">
        <v>156</v>
      </c>
      <c r="C27" s="2" cm="1">
        <f t="array" ref="C27:AA27">(25/30)*Building_MI_original_baseline!C27:AA27+(5/30)*Building_MI_original_baseline!C28:AA28</f>
        <v>0.35430559652014637</v>
      </c>
      <c r="D27" s="2">
        <v>154.22865596703298</v>
      </c>
      <c r="E27" s="2">
        <v>1175.5814979241745</v>
      </c>
      <c r="F27" s="2">
        <v>5.6410256410256411E-2</v>
      </c>
      <c r="G27" s="2">
        <v>3.663003626373626E-2</v>
      </c>
      <c r="H27" s="2">
        <v>9.6854361554945054</v>
      </c>
      <c r="I27" s="2">
        <v>14.681625428754568</v>
      </c>
      <c r="J27" s="2">
        <v>21.92045452728938</v>
      </c>
      <c r="K27" s="2">
        <v>6.06727673348718</v>
      </c>
      <c r="L27" s="2">
        <v>4.427472210923078</v>
      </c>
      <c r="M27" s="2">
        <v>3.6075699496410261</v>
      </c>
      <c r="N27" s="2">
        <v>1.3118436180512822</v>
      </c>
      <c r="O27" s="2">
        <v>0.98388271353846157</v>
      </c>
      <c r="P27" s="2">
        <v>267.21638031135529</v>
      </c>
      <c r="Q27" s="2">
        <v>16.48994256923076</v>
      </c>
      <c r="R27" s="2">
        <v>0.20721356025641025</v>
      </c>
      <c r="S27" s="2">
        <v>1.7784211177655678</v>
      </c>
      <c r="T27" s="2">
        <v>2.6960069001831504</v>
      </c>
      <c r="U27" s="2">
        <v>0</v>
      </c>
      <c r="V27" s="2">
        <v>0</v>
      </c>
      <c r="W27" s="2">
        <v>0.49499219999999994</v>
      </c>
      <c r="X27" s="2">
        <v>0.43177825824175825</v>
      </c>
      <c r="Y27" s="2">
        <v>46.81397656428571</v>
      </c>
      <c r="Z27" s="2">
        <v>1.5460693223443222E-2</v>
      </c>
      <c r="AA27" s="2">
        <v>13.502395043956044</v>
      </c>
      <c r="AB27" s="2">
        <f t="shared" si="1"/>
        <v>1742.5896283360794</v>
      </c>
      <c r="AG27" s="2">
        <v>17.205952518681318</v>
      </c>
    </row>
    <row r="28" spans="1:33" x14ac:dyDescent="0.2">
      <c r="B28" t="s">
        <v>157</v>
      </c>
      <c r="C28" s="2" cm="1">
        <f t="array" ref="C28:AA28">(25/30)*Building_MI_original_baseline!C28:AA28+(5/30)*Building_MI_original_baseline!C29:AA29</f>
        <v>1.4720485727106225</v>
      </c>
      <c r="D28" s="2">
        <v>68.546069318681319</v>
      </c>
      <c r="E28" s="2">
        <v>1208.6320879021953</v>
      </c>
      <c r="F28" s="2">
        <v>0</v>
      </c>
      <c r="G28" s="2">
        <v>3.663003626373626E-2</v>
      </c>
      <c r="H28" s="2">
        <v>10.5910709</v>
      </c>
      <c r="I28" s="2">
        <v>17.298340297802184</v>
      </c>
      <c r="J28" s="2">
        <v>10.256355973626373</v>
      </c>
      <c r="K28" s="2">
        <v>4.3356496730357144</v>
      </c>
      <c r="L28" s="2">
        <v>3.1638524641071433</v>
      </c>
      <c r="M28" s="2">
        <v>2.5779538596428577</v>
      </c>
      <c r="N28" s="2">
        <v>0.9374377671428572</v>
      </c>
      <c r="O28" s="2">
        <v>0.70307832535714287</v>
      </c>
      <c r="P28" s="2">
        <v>338.93859252747251</v>
      </c>
      <c r="Q28" s="2">
        <v>4.8449721571428466</v>
      </c>
      <c r="R28" s="2">
        <v>0.20754914990842491</v>
      </c>
      <c r="S28" s="2">
        <v>1.8116662520146523</v>
      </c>
      <c r="T28" s="2">
        <v>2.6605953893772898</v>
      </c>
      <c r="U28" s="2">
        <v>0</v>
      </c>
      <c r="V28" s="2">
        <v>0</v>
      </c>
      <c r="W28" s="2">
        <v>0.49499219999999994</v>
      </c>
      <c r="X28" s="2">
        <v>0.43177825824175825</v>
      </c>
      <c r="Y28" s="2">
        <v>48.053937810531131</v>
      </c>
      <c r="Z28" s="2">
        <v>9.2764159340659333E-2</v>
      </c>
      <c r="AA28" s="2">
        <v>13.502395043956044</v>
      </c>
      <c r="AB28" s="2">
        <f t="shared" si="1"/>
        <v>1739.5898180385507</v>
      </c>
      <c r="AG28" s="2">
        <v>12.358508760439561</v>
      </c>
    </row>
    <row r="29" spans="1:33" x14ac:dyDescent="0.2">
      <c r="B29" t="s">
        <v>158</v>
      </c>
      <c r="C29" s="2">
        <v>1.4741659307692303</v>
      </c>
      <c r="D29" s="2">
        <v>68.546069318681319</v>
      </c>
      <c r="E29" s="2">
        <v>1208.6320879021953</v>
      </c>
      <c r="F29" s="2">
        <v>0</v>
      </c>
      <c r="G29" s="2">
        <v>3.663003626373626E-2</v>
      </c>
      <c r="H29" s="2">
        <v>10.5910709</v>
      </c>
      <c r="I29" s="2">
        <v>17.298340297802184</v>
      </c>
      <c r="J29" s="2">
        <v>14.176482770329667</v>
      </c>
      <c r="K29" s="2">
        <f t="shared" si="0"/>
        <v>3.1506568314010992</v>
      </c>
      <c r="L29" s="2">
        <f t="shared" si="0"/>
        <v>2.2991279580494512</v>
      </c>
      <c r="M29" s="2">
        <f t="shared" si="0"/>
        <v>1.8733635213736266</v>
      </c>
      <c r="N29" s="2">
        <f t="shared" si="0"/>
        <v>0.68122309868131881</v>
      </c>
      <c r="O29" s="2">
        <f t="shared" si="0"/>
        <v>0.5109173240109891</v>
      </c>
      <c r="P29" s="2">
        <v>338.93859252747251</v>
      </c>
      <c r="Q29" s="2">
        <v>4.8449721571428466</v>
      </c>
      <c r="R29" s="2">
        <v>0.20770169065934066</v>
      </c>
      <c r="S29" s="2">
        <v>1.8127363142857145</v>
      </c>
      <c r="T29" s="2">
        <v>2.6451737923076921</v>
      </c>
      <c r="U29" s="2"/>
      <c r="V29" s="2"/>
      <c r="W29" s="2">
        <v>0.49499219999999994</v>
      </c>
      <c r="X29" s="2">
        <v>0.43177825824175825</v>
      </c>
      <c r="Y29" s="2">
        <v>48.049122736813182</v>
      </c>
      <c r="Z29" s="2">
        <v>9.2764159340659333E-2</v>
      </c>
      <c r="AA29" s="2">
        <v>13.502395043956044</v>
      </c>
      <c r="AB29" s="2">
        <f t="shared" si="1"/>
        <v>1740.2903647697781</v>
      </c>
      <c r="AG29" s="2">
        <v>8.5152887335164849</v>
      </c>
    </row>
    <row r="30" spans="1:33" x14ac:dyDescent="0.2">
      <c r="B30" t="s">
        <v>21</v>
      </c>
      <c r="C30" s="2">
        <v>1.4725274725274726</v>
      </c>
      <c r="D30" s="2">
        <v>68.549450549450555</v>
      </c>
      <c r="E30" s="2">
        <v>1178.131868131868</v>
      </c>
      <c r="F30" s="2">
        <v>0</v>
      </c>
      <c r="G30" s="2">
        <v>3.2967032967032968E-2</v>
      </c>
      <c r="H30" s="2">
        <v>10.791208791208792</v>
      </c>
      <c r="I30" s="2">
        <v>17.296703296703296</v>
      </c>
      <c r="J30" s="2">
        <v>16</v>
      </c>
      <c r="K30" s="2">
        <f t="shared" si="0"/>
        <v>3.3991208791208787</v>
      </c>
      <c r="L30" s="2">
        <f t="shared" si="0"/>
        <v>2.4804395604395606</v>
      </c>
      <c r="M30" s="2">
        <f t="shared" si="0"/>
        <v>2.0210989010989011</v>
      </c>
      <c r="N30" s="2">
        <f t="shared" si="0"/>
        <v>0.73494505494505491</v>
      </c>
      <c r="O30" s="2">
        <f t="shared" si="0"/>
        <v>0.55120879120879118</v>
      </c>
      <c r="P30" s="2">
        <v>338.93406593406593</v>
      </c>
      <c r="Q30" s="2">
        <v>5.2527472527472527</v>
      </c>
      <c r="R30" s="2">
        <v>0.2087912087912088</v>
      </c>
      <c r="S30" s="2">
        <v>1.813186813186813</v>
      </c>
      <c r="T30" s="2">
        <v>2.6483516483516483</v>
      </c>
      <c r="U30" s="2">
        <v>30.505494505494507</v>
      </c>
      <c r="V30" s="2">
        <v>1.2307692307692308</v>
      </c>
      <c r="W30" s="2">
        <v>0.49450549450549453</v>
      </c>
      <c r="X30" s="2">
        <v>0.42857142857142855</v>
      </c>
      <c r="Y30" s="2">
        <v>48.065934065934066</v>
      </c>
      <c r="Z30" s="2">
        <v>8.7912087912087905E-2</v>
      </c>
      <c r="AA30" s="2">
        <v>13.505494505494504</v>
      </c>
      <c r="AB30" s="2">
        <f t="shared" si="1"/>
        <v>1744.6373626373622</v>
      </c>
      <c r="AG30" s="2">
        <v>9.1868131868131861</v>
      </c>
    </row>
    <row r="33" spans="1:40" ht="17" thickBot="1" x14ac:dyDescent="0.25"/>
    <row r="34" spans="1:40" ht="69" thickBot="1" x14ac:dyDescent="0.25">
      <c r="AG34" s="3"/>
      <c r="AH34" s="3"/>
      <c r="AI34" s="4" t="s">
        <v>110</v>
      </c>
      <c r="AJ34" s="5" t="s">
        <v>111</v>
      </c>
      <c r="AK34" s="5" t="s">
        <v>112</v>
      </c>
      <c r="AL34" s="5" t="s">
        <v>113</v>
      </c>
      <c r="AM34" s="5" t="s">
        <v>114</v>
      </c>
      <c r="AN34" s="6" t="s">
        <v>115</v>
      </c>
    </row>
    <row r="35" spans="1:40" ht="17" thickBot="1" x14ac:dyDescent="0.25">
      <c r="AG35" s="7" t="s">
        <v>116</v>
      </c>
      <c r="AH35" s="8"/>
      <c r="AI35" s="9">
        <v>0.37</v>
      </c>
      <c r="AJ35" s="10">
        <v>0.27</v>
      </c>
      <c r="AK35" s="10">
        <v>0.22</v>
      </c>
      <c r="AL35" s="10">
        <v>0.08</v>
      </c>
      <c r="AM35" s="10">
        <v>0.06</v>
      </c>
      <c r="AN35" s="11"/>
    </row>
    <row r="36" spans="1:40" x14ac:dyDescent="0.2">
      <c r="AG36" s="24" t="s">
        <v>117</v>
      </c>
      <c r="AH36" s="12" t="s">
        <v>118</v>
      </c>
      <c r="AI36" s="13">
        <v>0.37</v>
      </c>
      <c r="AJ36" s="14">
        <v>0.27</v>
      </c>
      <c r="AK36" s="14">
        <v>0.22</v>
      </c>
      <c r="AL36" s="14">
        <v>0.08</v>
      </c>
      <c r="AM36" s="14">
        <v>0.06</v>
      </c>
      <c r="AN36" s="15"/>
    </row>
    <row r="37" spans="1:40" x14ac:dyDescent="0.2">
      <c r="AG37" s="25"/>
      <c r="AH37" s="12" t="s">
        <v>119</v>
      </c>
      <c r="AI37" s="13">
        <v>0.37</v>
      </c>
      <c r="AJ37" s="14"/>
      <c r="AK37" s="14">
        <v>0.3</v>
      </c>
      <c r="AL37" s="14"/>
      <c r="AM37" s="14"/>
      <c r="AN37" s="15">
        <v>0.33</v>
      </c>
    </row>
    <row r="38" spans="1:40" ht="17" thickBot="1" x14ac:dyDescent="0.25">
      <c r="AG38" s="26"/>
      <c r="AH38" s="16" t="s">
        <v>120</v>
      </c>
      <c r="AI38" s="17">
        <v>0.37</v>
      </c>
      <c r="AJ38" s="18"/>
      <c r="AK38" s="18">
        <v>0.22</v>
      </c>
      <c r="AL38" s="18"/>
      <c r="AM38" s="18"/>
      <c r="AN38" s="19">
        <f>0.14+0.27</f>
        <v>0.41000000000000003</v>
      </c>
    </row>
    <row r="42" spans="1:40" x14ac:dyDescent="0.2">
      <c r="M42" s="2"/>
    </row>
    <row r="45" spans="1:40" x14ac:dyDescent="0.2">
      <c r="A45" s="1" t="s">
        <v>45</v>
      </c>
      <c r="D45" s="1" t="s">
        <v>57</v>
      </c>
    </row>
    <row r="46" spans="1:40" x14ac:dyDescent="0.2">
      <c r="A46" t="s">
        <v>46</v>
      </c>
      <c r="B46" t="s">
        <v>1</v>
      </c>
    </row>
    <row r="47" spans="1:40" x14ac:dyDescent="0.2">
      <c r="A47" t="s">
        <v>51</v>
      </c>
      <c r="B47" t="s">
        <v>47</v>
      </c>
      <c r="C47" t="s">
        <v>54</v>
      </c>
      <c r="D47" t="s">
        <v>56</v>
      </c>
    </row>
    <row r="48" spans="1:40" x14ac:dyDescent="0.2">
      <c r="A48" t="s">
        <v>52</v>
      </c>
      <c r="B48" t="s">
        <v>48</v>
      </c>
      <c r="C48" t="s">
        <v>53</v>
      </c>
      <c r="D48" t="s">
        <v>55</v>
      </c>
    </row>
    <row r="51" spans="3:2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</sheetData>
  <mergeCells count="1">
    <mergeCell ref="AG36:AG38"/>
  </mergeCells>
  <conditionalFormatting sqref="C6:C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3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H3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:I3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3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:O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P3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Q3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3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:S3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3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3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:V3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3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X3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3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3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3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B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3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7302-5D44-7749-821B-96E2BFAD92D3}">
  <dimension ref="A1:AN51"/>
  <sheetViews>
    <sheetView zoomScale="75" zoomScaleNormal="44" workbookViewId="0">
      <selection activeCell="B6" sqref="B6:B20"/>
    </sheetView>
  </sheetViews>
  <sheetFormatPr baseColWidth="10" defaultRowHeight="16" x14ac:dyDescent="0.2"/>
  <sheetData>
    <row r="1" spans="1:33" x14ac:dyDescent="0.2">
      <c r="C1" t="s">
        <v>22</v>
      </c>
      <c r="D1" t="s">
        <v>22</v>
      </c>
      <c r="E1" t="s">
        <v>22</v>
      </c>
      <c r="F1" t="s">
        <v>22</v>
      </c>
      <c r="G1" t="s">
        <v>22</v>
      </c>
      <c r="H1" t="s">
        <v>22</v>
      </c>
      <c r="I1" t="s">
        <v>22</v>
      </c>
      <c r="J1" t="s">
        <v>22</v>
      </c>
      <c r="K1" t="s">
        <v>22</v>
      </c>
      <c r="L1" t="s">
        <v>22</v>
      </c>
      <c r="M1" t="s">
        <v>22</v>
      </c>
      <c r="N1" t="s">
        <v>22</v>
      </c>
      <c r="O1" t="s">
        <v>22</v>
      </c>
      <c r="P1" t="s">
        <v>22</v>
      </c>
      <c r="Q1" t="s">
        <v>22</v>
      </c>
      <c r="R1" t="s">
        <v>22</v>
      </c>
      <c r="S1" t="s">
        <v>22</v>
      </c>
      <c r="T1" t="s">
        <v>22</v>
      </c>
      <c r="U1" t="s">
        <v>22</v>
      </c>
      <c r="V1" t="s">
        <v>22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G1" t="s">
        <v>22</v>
      </c>
    </row>
    <row r="2" spans="1:33" x14ac:dyDescent="0.2">
      <c r="A2" t="s">
        <v>133</v>
      </c>
      <c r="B2" t="s">
        <v>86</v>
      </c>
      <c r="C2" t="s">
        <v>91</v>
      </c>
      <c r="D2" t="s">
        <v>96</v>
      </c>
      <c r="E2" t="s">
        <v>96</v>
      </c>
      <c r="F2" t="s">
        <v>96</v>
      </c>
      <c r="G2" t="s">
        <v>95</v>
      </c>
      <c r="H2" t="s">
        <v>96</v>
      </c>
      <c r="I2" t="s">
        <v>88</v>
      </c>
      <c r="J2" t="s">
        <v>92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90</v>
      </c>
      <c r="S2" t="s">
        <v>89</v>
      </c>
      <c r="T2" t="s">
        <v>96</v>
      </c>
      <c r="U2" t="s">
        <v>96</v>
      </c>
      <c r="V2" t="s">
        <v>92</v>
      </c>
      <c r="W2" t="s">
        <v>93</v>
      </c>
      <c r="X2" t="s">
        <v>94</v>
      </c>
      <c r="Y2" t="s">
        <v>87</v>
      </c>
      <c r="Z2" t="s">
        <v>96</v>
      </c>
      <c r="AA2" t="s">
        <v>96</v>
      </c>
    </row>
    <row r="3" spans="1:33" x14ac:dyDescent="0.2">
      <c r="B3" t="s">
        <v>73</v>
      </c>
      <c r="F3" t="s">
        <v>75</v>
      </c>
      <c r="Q3" t="s">
        <v>77</v>
      </c>
      <c r="S3" t="s">
        <v>63</v>
      </c>
      <c r="W3" t="s">
        <v>72</v>
      </c>
      <c r="Y3" t="s">
        <v>71</v>
      </c>
    </row>
    <row r="4" spans="1:33" x14ac:dyDescent="0.2">
      <c r="A4" t="s">
        <v>132</v>
      </c>
      <c r="B4" t="s">
        <v>59</v>
      </c>
      <c r="C4" t="s">
        <v>67</v>
      </c>
      <c r="D4" t="s">
        <v>66</v>
      </c>
      <c r="E4" t="s">
        <v>74</v>
      </c>
      <c r="F4" t="s">
        <v>135</v>
      </c>
      <c r="G4" t="s">
        <v>76</v>
      </c>
      <c r="H4" t="s">
        <v>66</v>
      </c>
      <c r="I4" t="s">
        <v>65</v>
      </c>
      <c r="J4" t="s">
        <v>60</v>
      </c>
      <c r="K4" t="s">
        <v>65</v>
      </c>
      <c r="L4" t="s">
        <v>64</v>
      </c>
      <c r="M4" t="s">
        <v>123</v>
      </c>
      <c r="N4" t="s">
        <v>64</v>
      </c>
      <c r="O4" t="s">
        <v>64</v>
      </c>
      <c r="P4" t="s">
        <v>66</v>
      </c>
      <c r="Q4" t="s">
        <v>66</v>
      </c>
      <c r="R4" t="s">
        <v>69</v>
      </c>
      <c r="S4" t="s">
        <v>64</v>
      </c>
      <c r="T4" t="s">
        <v>85</v>
      </c>
      <c r="U4" t="s">
        <v>66</v>
      </c>
      <c r="V4" t="s">
        <v>60</v>
      </c>
      <c r="W4" t="s">
        <v>68</v>
      </c>
      <c r="X4" t="s">
        <v>83</v>
      </c>
      <c r="Y4" t="s">
        <v>70</v>
      </c>
      <c r="Z4" t="s">
        <v>62</v>
      </c>
      <c r="AA4" t="s">
        <v>61</v>
      </c>
    </row>
    <row r="5" spans="1:33" x14ac:dyDescent="0.2">
      <c r="A5" t="s">
        <v>0</v>
      </c>
      <c r="B5" t="s">
        <v>14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49</v>
      </c>
      <c r="V5" t="s">
        <v>50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G5" t="s">
        <v>31</v>
      </c>
    </row>
    <row r="6" spans="1:33" x14ac:dyDescent="0.2">
      <c r="A6" t="s">
        <v>9</v>
      </c>
      <c r="B6" t="s">
        <v>164</v>
      </c>
      <c r="C6" s="2">
        <v>0.1123081338028169</v>
      </c>
      <c r="D6" s="2">
        <v>290.13365908450703</v>
      </c>
      <c r="E6" s="2">
        <v>1376.7648660647862</v>
      </c>
      <c r="F6" s="2">
        <v>0</v>
      </c>
      <c r="G6" s="2">
        <v>1.4084507042253521E-2</v>
      </c>
      <c r="H6" s="2">
        <v>9.3222154816901419</v>
      </c>
      <c r="I6" s="2">
        <v>0</v>
      </c>
      <c r="J6" s="2">
        <v>181.00586869013947</v>
      </c>
      <c r="K6" s="2">
        <f t="shared" ref="K6:K30" si="0">$AG6*AI$35</f>
        <v>5.0229685120985916</v>
      </c>
      <c r="L6" s="2">
        <f t="shared" ref="L6:L30" si="1">$AG6*AJ$35</f>
        <v>3.6654094547746485</v>
      </c>
      <c r="M6" s="2">
        <f t="shared" ref="M6:M30" si="2">$AG6*AK$35</f>
        <v>2.9866299261126765</v>
      </c>
      <c r="N6" s="2">
        <f t="shared" ref="N6:N30" si="3">$AG6*AL$35</f>
        <v>1.086047245859155</v>
      </c>
      <c r="O6" s="2">
        <f t="shared" ref="O6:O30" si="4">$AG6*AM$35</f>
        <v>0.81453543439436626</v>
      </c>
      <c r="P6" s="2">
        <v>307.73567974647892</v>
      </c>
      <c r="Q6" s="2">
        <v>33.736131078873242</v>
      </c>
      <c r="R6" s="2">
        <v>0.91964413521126764</v>
      </c>
      <c r="S6" s="2">
        <v>1.3289144064788729</v>
      </c>
      <c r="T6" s="2">
        <v>1.5227198140845066</v>
      </c>
      <c r="U6" s="2"/>
      <c r="V6" s="2"/>
      <c r="W6" s="2">
        <v>3.9420607408450712</v>
      </c>
      <c r="X6" s="2">
        <v>0</v>
      </c>
      <c r="Y6" s="2">
        <v>69.751482257746474</v>
      </c>
      <c r="Z6" s="2">
        <v>22.052394916901395</v>
      </c>
      <c r="AA6" s="2">
        <v>25.486250845070423</v>
      </c>
      <c r="AB6" s="2">
        <f>SUM(C6:AA6)</f>
        <v>2337.4038704768982</v>
      </c>
      <c r="AG6" s="2">
        <v>13.575590573239438</v>
      </c>
    </row>
    <row r="7" spans="1:33" x14ac:dyDescent="0.2">
      <c r="B7" t="s">
        <v>17</v>
      </c>
      <c r="C7" s="2">
        <v>0.20712039295774648</v>
      </c>
      <c r="D7" s="2">
        <v>290.13365908450703</v>
      </c>
      <c r="E7" s="2">
        <v>1375.8505954591524</v>
      </c>
      <c r="F7" s="2">
        <v>0</v>
      </c>
      <c r="G7" s="2">
        <v>1.4084507042253521E-2</v>
      </c>
      <c r="H7" s="2">
        <v>31.41036341126761</v>
      </c>
      <c r="I7" s="2">
        <v>3.2294997704225352</v>
      </c>
      <c r="J7" s="2">
        <v>98.419572477464826</v>
      </c>
      <c r="K7" s="2">
        <f t="shared" si="0"/>
        <v>5.1925099939154933</v>
      </c>
      <c r="L7" s="2">
        <f t="shared" si="1"/>
        <v>3.7891289144788738</v>
      </c>
      <c r="M7" s="2">
        <f t="shared" si="2"/>
        <v>3.0874383747605636</v>
      </c>
      <c r="N7" s="2">
        <f t="shared" si="3"/>
        <v>1.122704863549296</v>
      </c>
      <c r="O7" s="2">
        <f t="shared" si="4"/>
        <v>0.84202864766197183</v>
      </c>
      <c r="P7" s="2">
        <v>307.73567974647892</v>
      </c>
      <c r="Q7" s="2">
        <v>33.736131078873242</v>
      </c>
      <c r="R7" s="2">
        <v>0.91964413521126764</v>
      </c>
      <c r="S7" s="2">
        <v>1.575594152957746</v>
      </c>
      <c r="T7" s="2">
        <v>1.5071151830985914</v>
      </c>
      <c r="U7" s="2"/>
      <c r="V7" s="2"/>
      <c r="W7" s="2">
        <v>3.945169339436621</v>
      </c>
      <c r="X7" s="2">
        <v>0.2419382957746479</v>
      </c>
      <c r="Y7" s="2">
        <v>56.706148863380278</v>
      </c>
      <c r="Z7" s="2">
        <v>22.052394916901395</v>
      </c>
      <c r="AA7" s="2">
        <v>25.486250845070423</v>
      </c>
      <c r="AB7" s="2">
        <f>SUM(C7:AA7)</f>
        <v>2267.204772454364</v>
      </c>
      <c r="AG7" s="2">
        <v>14.033810794366198</v>
      </c>
    </row>
    <row r="8" spans="1:33" x14ac:dyDescent="0.2">
      <c r="B8" t="s">
        <v>18</v>
      </c>
      <c r="C8" s="2">
        <v>0.19397868591549297</v>
      </c>
      <c r="D8" s="2">
        <v>116.05346363380282</v>
      </c>
      <c r="E8" s="2">
        <v>1310.8140770859129</v>
      </c>
      <c r="F8" s="2">
        <v>0.23186739436619719</v>
      </c>
      <c r="G8" s="2">
        <v>1.4084507042253521E-2</v>
      </c>
      <c r="H8" s="2">
        <v>31.41036341126761</v>
      </c>
      <c r="I8" s="2">
        <v>6.4589995394366193</v>
      </c>
      <c r="J8" s="2">
        <v>25.123550152112678</v>
      </c>
      <c r="K8" s="2">
        <f t="shared" si="0"/>
        <v>5.4177442978450649</v>
      </c>
      <c r="L8" s="2">
        <f t="shared" si="1"/>
        <v>3.9534890822112638</v>
      </c>
      <c r="M8" s="2">
        <f t="shared" si="2"/>
        <v>3.2213614743943628</v>
      </c>
      <c r="N8" s="2">
        <f t="shared" si="3"/>
        <v>1.171404172507041</v>
      </c>
      <c r="O8" s="2">
        <f t="shared" si="4"/>
        <v>0.87855312938028074</v>
      </c>
      <c r="P8" s="2">
        <v>655.38373088732124</v>
      </c>
      <c r="Q8" s="2">
        <v>2.3478010929577464</v>
      </c>
      <c r="R8" s="2">
        <v>0.91964413521126764</v>
      </c>
      <c r="S8" s="2">
        <v>1.7965501529577459</v>
      </c>
      <c r="T8" s="2">
        <v>1.4728023140845068</v>
      </c>
      <c r="U8" s="2"/>
      <c r="V8" s="2"/>
      <c r="W8" s="2">
        <v>3.945169339436621</v>
      </c>
      <c r="X8" s="2">
        <v>0.2419382957746479</v>
      </c>
      <c r="Y8" s="2">
        <v>44.199920694366185</v>
      </c>
      <c r="Z8" s="2">
        <v>23.182847473239423</v>
      </c>
      <c r="AA8" s="2">
        <v>25.486250845070423</v>
      </c>
      <c r="AB8" s="2">
        <f>SUM(C8:AA8)</f>
        <v>2263.9195917966149</v>
      </c>
      <c r="AG8" s="2">
        <v>14.642552156338013</v>
      </c>
    </row>
    <row r="9" spans="1:33" x14ac:dyDescent="0.2">
      <c r="B9" t="s">
        <v>58</v>
      </c>
      <c r="C9" s="2">
        <v>0.19397868591549297</v>
      </c>
      <c r="D9" s="2">
        <v>116.05346363380282</v>
      </c>
      <c r="E9" s="2">
        <v>1310.8140770859129</v>
      </c>
      <c r="F9" s="2">
        <v>0.23186739436619719</v>
      </c>
      <c r="G9" s="2">
        <v>1.4084507042253521E-2</v>
      </c>
      <c r="H9" s="2">
        <v>31.41036341126761</v>
      </c>
      <c r="I9" s="2">
        <v>6.4589995394366193</v>
      </c>
      <c r="J9" s="2">
        <v>35.690020400000002</v>
      </c>
      <c r="K9" s="2">
        <f t="shared" si="0"/>
        <v>6.1029225990422589</v>
      </c>
      <c r="L9" s="2">
        <f t="shared" si="1"/>
        <v>4.4534840587605675</v>
      </c>
      <c r="M9" s="2">
        <f t="shared" si="2"/>
        <v>3.6287647886197218</v>
      </c>
      <c r="N9" s="2">
        <f t="shared" si="3"/>
        <v>1.3195508322253533</v>
      </c>
      <c r="O9" s="2">
        <f t="shared" si="4"/>
        <v>0.98966312416901503</v>
      </c>
      <c r="P9" s="2">
        <v>655.38373088732124</v>
      </c>
      <c r="Q9" s="2">
        <v>2.3478010929577464</v>
      </c>
      <c r="R9" s="2">
        <v>0.91964413521126764</v>
      </c>
      <c r="S9" s="2">
        <v>1.7965501529577459</v>
      </c>
      <c r="T9" s="2">
        <v>1.5506930957746479</v>
      </c>
      <c r="U9" s="2"/>
      <c r="V9" s="2"/>
      <c r="W9" s="2">
        <v>3.945169339436621</v>
      </c>
      <c r="X9" s="2">
        <v>0.2419382957746479</v>
      </c>
      <c r="Y9" s="2">
        <v>44.186520899999984</v>
      </c>
      <c r="Z9" s="2">
        <v>23.182847473239423</v>
      </c>
      <c r="AA9" s="2">
        <v>25.486250845070423</v>
      </c>
      <c r="AB9" s="2">
        <v>2276.4023862783047</v>
      </c>
      <c r="AG9" s="2">
        <v>16.494385402816917</v>
      </c>
    </row>
    <row r="10" spans="1:33" x14ac:dyDescent="0.2">
      <c r="B10" t="s">
        <v>21</v>
      </c>
      <c r="C10" s="2">
        <v>1.8059701492537312</v>
      </c>
      <c r="D10" s="2">
        <v>218.41791044776119</v>
      </c>
      <c r="E10" s="2">
        <v>1190.3880597014925</v>
      </c>
      <c r="F10" s="2">
        <v>0.10447761194029852</v>
      </c>
      <c r="G10" s="2">
        <v>0.62686567164179097</v>
      </c>
      <c r="H10" s="2">
        <v>15.820895522388058</v>
      </c>
      <c r="I10" s="2">
        <v>11.134328358208954</v>
      </c>
      <c r="J10" s="2">
        <v>34.328358208955223</v>
      </c>
      <c r="K10" s="2">
        <f t="shared" si="0"/>
        <v>12.61865671641791</v>
      </c>
      <c r="L10" s="2">
        <f t="shared" si="1"/>
        <v>9.2082089552238813</v>
      </c>
      <c r="M10" s="2">
        <f t="shared" si="2"/>
        <v>7.5029850746268654</v>
      </c>
      <c r="N10" s="2">
        <f t="shared" si="3"/>
        <v>2.7283582089552239</v>
      </c>
      <c r="O10" s="2">
        <f t="shared" si="4"/>
        <v>2.0462686567164177</v>
      </c>
      <c r="P10" s="2">
        <v>0</v>
      </c>
      <c r="Q10" s="2">
        <v>5.3582089552238799</v>
      </c>
      <c r="R10" s="2">
        <v>0.47761194029850745</v>
      </c>
      <c r="S10" s="2">
        <v>2.4029850746268657</v>
      </c>
      <c r="T10" s="2">
        <v>0.9253731343283581</v>
      </c>
      <c r="U10" s="2">
        <v>82.910447761194021</v>
      </c>
      <c r="V10" s="2">
        <v>0</v>
      </c>
      <c r="W10" s="2">
        <v>0.11940298507462686</v>
      </c>
      <c r="X10" s="2">
        <v>1.3731343283582089</v>
      </c>
      <c r="Y10" s="2">
        <v>25.686567164179102</v>
      </c>
      <c r="Z10" s="2">
        <v>4.4776119402985072E-2</v>
      </c>
      <c r="AA10" s="2">
        <v>99.507462686567166</v>
      </c>
      <c r="AB10" s="2">
        <f>SUM(C10:AA10)</f>
        <v>1725.5373134328356</v>
      </c>
      <c r="AG10" s="2">
        <v>34.104477611940297</v>
      </c>
    </row>
    <row r="11" spans="1:33" x14ac:dyDescent="0.2">
      <c r="A11" t="s">
        <v>43</v>
      </c>
      <c r="B11" t="s">
        <v>164</v>
      </c>
      <c r="C11" s="2">
        <v>0.18886813098591554</v>
      </c>
      <c r="D11" s="2">
        <v>322.16941545070426</v>
      </c>
      <c r="E11" s="2">
        <v>1388.6241446239421</v>
      </c>
      <c r="F11" s="2">
        <v>0</v>
      </c>
      <c r="G11" s="2">
        <v>7.0422535211267607E-3</v>
      </c>
      <c r="H11" s="2">
        <v>10.021588338028154</v>
      </c>
      <c r="I11" s="2">
        <v>0.18055071267605635</v>
      </c>
      <c r="J11" s="2">
        <v>88.17859265915493</v>
      </c>
      <c r="K11" s="2">
        <f t="shared" si="0"/>
        <v>5.3200696925492945</v>
      </c>
      <c r="L11" s="2">
        <f t="shared" si="1"/>
        <v>3.8822130188873234</v>
      </c>
      <c r="M11" s="2">
        <f t="shared" si="2"/>
        <v>3.1632846820563376</v>
      </c>
      <c r="N11" s="2">
        <f t="shared" si="3"/>
        <v>1.1502853389295773</v>
      </c>
      <c r="O11" s="2">
        <f t="shared" si="4"/>
        <v>0.86271400419718292</v>
      </c>
      <c r="P11" s="2">
        <v>327.72170992957751</v>
      </c>
      <c r="Q11" s="2">
        <v>3.3205046464788595</v>
      </c>
      <c r="R11" s="2">
        <v>0.84813828732394358</v>
      </c>
      <c r="S11" s="2">
        <v>1.2349096312676042</v>
      </c>
      <c r="T11" s="2">
        <v>1.6288591619718307</v>
      </c>
      <c r="U11" s="2"/>
      <c r="V11" s="2"/>
      <c r="W11" s="2">
        <v>1.3351705873239421</v>
      </c>
      <c r="X11" s="2">
        <v>0</v>
      </c>
      <c r="Y11" s="2">
        <v>59.321162621126753</v>
      </c>
      <c r="Z11" s="2">
        <v>0.47078741830985782</v>
      </c>
      <c r="AA11" s="2">
        <v>20.141574830985917</v>
      </c>
      <c r="AB11" s="2">
        <f>SUM(C11:AA11)</f>
        <v>2239.7715860199983</v>
      </c>
      <c r="AG11" s="2">
        <v>14.378566736619716</v>
      </c>
    </row>
    <row r="12" spans="1:33" x14ac:dyDescent="0.2">
      <c r="B12" t="s">
        <v>17</v>
      </c>
      <c r="C12" s="2">
        <v>0.2876202295774648</v>
      </c>
      <c r="D12" s="2">
        <v>322.16941545070426</v>
      </c>
      <c r="E12" s="2">
        <v>1508.265099229576</v>
      </c>
      <c r="F12" s="2">
        <v>0</v>
      </c>
      <c r="G12" s="2">
        <v>7.0422535211267607E-3</v>
      </c>
      <c r="H12" s="2">
        <v>46.677546563380261</v>
      </c>
      <c r="I12" s="2">
        <v>2.4917772253521133</v>
      </c>
      <c r="J12" s="2">
        <v>52.5479935169014</v>
      </c>
      <c r="K12" s="2">
        <f t="shared" si="0"/>
        <v>5.5080911474647882</v>
      </c>
      <c r="L12" s="2">
        <f t="shared" si="1"/>
        <v>4.0194178643661971</v>
      </c>
      <c r="M12" s="2">
        <f t="shared" si="2"/>
        <v>3.2750812228169011</v>
      </c>
      <c r="N12" s="2">
        <f t="shared" si="3"/>
        <v>1.1909386264788731</v>
      </c>
      <c r="O12" s="2">
        <f t="shared" si="4"/>
        <v>0.89320396985915473</v>
      </c>
      <c r="P12" s="2">
        <v>327.72170992957751</v>
      </c>
      <c r="Q12" s="2">
        <v>3.3205046464788595</v>
      </c>
      <c r="R12" s="2">
        <v>0.84813828732394358</v>
      </c>
      <c r="S12" s="2">
        <v>1.5494636326760549</v>
      </c>
      <c r="T12" s="2">
        <v>1.7200033676056337</v>
      </c>
      <c r="U12" s="2"/>
      <c r="V12" s="2"/>
      <c r="W12" s="2">
        <v>1.3770228845070407</v>
      </c>
      <c r="X12" s="2">
        <v>0.36854849295774644</v>
      </c>
      <c r="Y12" s="2">
        <v>61.458932929577458</v>
      </c>
      <c r="Z12" s="2">
        <v>0.47078741830985782</v>
      </c>
      <c r="AA12" s="2">
        <v>20.141574830985917</v>
      </c>
      <c r="AB12" s="2">
        <f>SUM(C12:AA12)</f>
        <v>2366.3099137199983</v>
      </c>
      <c r="AG12" s="2">
        <v>14.886732830985913</v>
      </c>
    </row>
    <row r="13" spans="1:33" x14ac:dyDescent="0.2">
      <c r="B13" t="s">
        <v>18</v>
      </c>
      <c r="C13" s="2">
        <v>0.25258702535211269</v>
      </c>
      <c r="D13" s="2">
        <v>128.86776618309858</v>
      </c>
      <c r="E13" s="2">
        <v>1589.920186801407</v>
      </c>
      <c r="F13" s="2">
        <v>0</v>
      </c>
      <c r="G13" s="2">
        <v>7.0422535211267607E-3</v>
      </c>
      <c r="H13" s="2">
        <v>46.677546563380261</v>
      </c>
      <c r="I13" s="2">
        <v>4.8030037380281687</v>
      </c>
      <c r="J13" s="2">
        <v>28.588292078873238</v>
      </c>
      <c r="K13" s="2">
        <f t="shared" si="0"/>
        <v>5.6976003786338021</v>
      </c>
      <c r="L13" s="2">
        <f t="shared" si="1"/>
        <v>4.1577083844084504</v>
      </c>
      <c r="M13" s="2">
        <f t="shared" si="2"/>
        <v>3.3877623872957741</v>
      </c>
      <c r="N13" s="2">
        <f t="shared" si="3"/>
        <v>1.2319135953802816</v>
      </c>
      <c r="O13" s="2">
        <f t="shared" si="4"/>
        <v>0.92393519653521106</v>
      </c>
      <c r="P13" s="2">
        <v>728.52222140845072</v>
      </c>
      <c r="Q13" s="2">
        <v>3.3205046464788595</v>
      </c>
      <c r="R13" s="2">
        <v>0.84813828732394358</v>
      </c>
      <c r="S13" s="2">
        <v>1.8044713045070404</v>
      </c>
      <c r="T13" s="2">
        <v>1.7337557619718309</v>
      </c>
      <c r="U13" s="2"/>
      <c r="V13" s="2"/>
      <c r="W13" s="2">
        <v>1.3770228845070407</v>
      </c>
      <c r="X13" s="2">
        <v>0.36854849295774644</v>
      </c>
      <c r="Y13" s="2">
        <v>63.325573736619717</v>
      </c>
      <c r="Z13" s="2">
        <v>1.3004658338028157</v>
      </c>
      <c r="AA13" s="2">
        <v>20.141574830985917</v>
      </c>
      <c r="AB13" s="2">
        <f>SUM(C13:AA13)</f>
        <v>2637.2576217735191</v>
      </c>
      <c r="AG13" s="2">
        <v>15.398919942253519</v>
      </c>
    </row>
    <row r="14" spans="1:33" x14ac:dyDescent="0.2">
      <c r="B14" t="s">
        <v>58</v>
      </c>
      <c r="C14" s="2">
        <v>0.25258702535211269</v>
      </c>
      <c r="D14" s="2">
        <v>128.86776618309858</v>
      </c>
      <c r="E14" s="2">
        <v>1589.920186801407</v>
      </c>
      <c r="F14" s="2">
        <v>0</v>
      </c>
      <c r="G14" s="2">
        <v>7.0422535211267607E-3</v>
      </c>
      <c r="H14" s="2">
        <v>46.677546563380261</v>
      </c>
      <c r="I14" s="2">
        <v>4.8030037380281687</v>
      </c>
      <c r="J14" s="2">
        <v>42.414406792957749</v>
      </c>
      <c r="K14" s="2">
        <f t="shared" si="0"/>
        <v>6.2937005396267569</v>
      </c>
      <c r="L14" s="2">
        <f t="shared" si="1"/>
        <v>4.5927003937816879</v>
      </c>
      <c r="M14" s="2">
        <f t="shared" si="2"/>
        <v>3.742200320859153</v>
      </c>
      <c r="N14" s="2">
        <f t="shared" si="3"/>
        <v>1.3608001166760557</v>
      </c>
      <c r="O14" s="2">
        <f t="shared" si="4"/>
        <v>1.0206000875070416</v>
      </c>
      <c r="P14" s="2">
        <v>728.52222140845072</v>
      </c>
      <c r="Q14" s="2">
        <v>3.3205046464788595</v>
      </c>
      <c r="R14" s="2">
        <v>0.84813828732394358</v>
      </c>
      <c r="S14" s="2">
        <v>1.8044713045070404</v>
      </c>
      <c r="T14" s="2">
        <v>1.8392071225352109</v>
      </c>
      <c r="U14" s="2"/>
      <c r="V14" s="2"/>
      <c r="W14" s="2">
        <v>1.3770228845070407</v>
      </c>
      <c r="X14" s="2">
        <v>0.36854849295774644</v>
      </c>
      <c r="Y14" s="2">
        <v>63.308935043661968</v>
      </c>
      <c r="Z14" s="2">
        <v>1.3004658338028157</v>
      </c>
      <c r="AA14" s="2">
        <v>20.141574830985917</v>
      </c>
      <c r="AB14" s="2">
        <v>2652.7836306714071</v>
      </c>
      <c r="AG14" s="2">
        <v>17.010001458450695</v>
      </c>
    </row>
    <row r="15" spans="1:33" x14ac:dyDescent="0.2">
      <c r="B15" t="s">
        <v>21</v>
      </c>
      <c r="C15" s="2">
        <v>1.8059701492537312</v>
      </c>
      <c r="D15" s="2">
        <v>218.41791044776119</v>
      </c>
      <c r="E15" s="2">
        <v>1190.3880597014925</v>
      </c>
      <c r="F15" s="2">
        <v>0.10447761194029852</v>
      </c>
      <c r="G15" s="2">
        <v>0.62686567164179097</v>
      </c>
      <c r="H15" s="2">
        <v>15.820895522388058</v>
      </c>
      <c r="I15" s="2">
        <v>11.134328358208954</v>
      </c>
      <c r="J15" s="2">
        <v>34.328358208955223</v>
      </c>
      <c r="K15" s="2">
        <f t="shared" si="0"/>
        <v>12.61865671641791</v>
      </c>
      <c r="L15" s="2">
        <f t="shared" si="1"/>
        <v>9.2082089552238813</v>
      </c>
      <c r="M15" s="2">
        <f t="shared" si="2"/>
        <v>7.5029850746268654</v>
      </c>
      <c r="N15" s="2">
        <f t="shared" si="3"/>
        <v>2.7283582089552239</v>
      </c>
      <c r="O15" s="2">
        <f t="shared" si="4"/>
        <v>2.0462686567164177</v>
      </c>
      <c r="P15" s="2">
        <v>0</v>
      </c>
      <c r="Q15" s="2">
        <v>5.3582089552238799</v>
      </c>
      <c r="R15" s="2">
        <v>0.47761194029850745</v>
      </c>
      <c r="S15" s="2">
        <v>2.4029850746268657</v>
      </c>
      <c r="T15" s="2">
        <v>0.9253731343283581</v>
      </c>
      <c r="U15" s="2">
        <v>82.910447761194021</v>
      </c>
      <c r="V15" s="2">
        <v>0</v>
      </c>
      <c r="W15" s="2">
        <v>0.11940298507462686</v>
      </c>
      <c r="X15" s="2">
        <v>1.3731343283582089</v>
      </c>
      <c r="Y15" s="2">
        <v>25.686567164179102</v>
      </c>
      <c r="Z15" s="2">
        <v>4.4776119402985072E-2</v>
      </c>
      <c r="AA15" s="2">
        <v>99.507462686567166</v>
      </c>
      <c r="AB15" s="2">
        <f>SUM(C15:AA15)</f>
        <v>1725.5373134328356</v>
      </c>
      <c r="AG15" s="2">
        <v>34.104477611940297</v>
      </c>
    </row>
    <row r="16" spans="1:33" x14ac:dyDescent="0.2">
      <c r="A16" t="s">
        <v>11</v>
      </c>
      <c r="B16" t="s">
        <v>164</v>
      </c>
      <c r="C16" s="2">
        <v>0.37854946376811599</v>
      </c>
      <c r="D16" s="2">
        <v>162.86606424637682</v>
      </c>
      <c r="E16" s="2">
        <v>1144.3172885652173</v>
      </c>
      <c r="F16" s="2">
        <v>0</v>
      </c>
      <c r="G16" s="2">
        <v>1.8924160869565217E-2</v>
      </c>
      <c r="H16" s="2">
        <v>7.6938449159420292</v>
      </c>
      <c r="I16" s="2">
        <v>0.23043419420289715</v>
      </c>
      <c r="J16" s="2">
        <v>64.768413495652169</v>
      </c>
      <c r="K16" s="2">
        <f t="shared" si="0"/>
        <v>4.8911125378840588</v>
      </c>
      <c r="L16" s="2">
        <f t="shared" si="1"/>
        <v>3.5691902303478269</v>
      </c>
      <c r="M16" s="2">
        <f t="shared" si="2"/>
        <v>2.9082290765797105</v>
      </c>
      <c r="N16" s="2">
        <f t="shared" si="3"/>
        <v>1.0575378460289857</v>
      </c>
      <c r="O16" s="2">
        <f t="shared" si="4"/>
        <v>0.79315338452173922</v>
      </c>
      <c r="P16" s="2">
        <v>263.36174559420294</v>
      </c>
      <c r="Q16" s="2">
        <v>2.7625526971014498</v>
      </c>
      <c r="R16" s="2">
        <v>0.35149360434782612</v>
      </c>
      <c r="S16" s="2">
        <v>0.81826993999999875</v>
      </c>
      <c r="T16" s="2">
        <v>1.3552014608695648</v>
      </c>
      <c r="U16" s="2"/>
      <c r="V16" s="2"/>
      <c r="W16" s="2">
        <v>1.4697139710144911</v>
      </c>
      <c r="X16" s="2">
        <v>0</v>
      </c>
      <c r="Y16" s="2">
        <v>51.236411047826117</v>
      </c>
      <c r="Z16" s="2">
        <v>0.43873775797101455</v>
      </c>
      <c r="AA16" s="2">
        <v>25.673779000000003</v>
      </c>
      <c r="AB16" s="2">
        <f>SUM(C16:AA16)</f>
        <v>1740.9606471907243</v>
      </c>
      <c r="AG16" s="2">
        <v>13.21922307536232</v>
      </c>
    </row>
    <row r="17" spans="1:33" x14ac:dyDescent="0.2">
      <c r="B17" t="s">
        <v>17</v>
      </c>
      <c r="C17" s="2">
        <v>0.47542224637681163</v>
      </c>
      <c r="D17" s="2">
        <v>162.86606424637682</v>
      </c>
      <c r="E17" s="2">
        <v>1225.6518204347826</v>
      </c>
      <c r="F17" s="2">
        <v>0</v>
      </c>
      <c r="G17" s="2">
        <v>1.8924160869565217E-2</v>
      </c>
      <c r="H17" s="2">
        <v>16.722916946376813</v>
      </c>
      <c r="I17" s="2">
        <v>2.3138175405797088</v>
      </c>
      <c r="J17" s="2">
        <v>40.861085121739109</v>
      </c>
      <c r="K17" s="2">
        <f t="shared" si="0"/>
        <v>4.9866049922463773</v>
      </c>
      <c r="L17" s="2">
        <f t="shared" si="1"/>
        <v>3.6388739132608703</v>
      </c>
      <c r="M17" s="2">
        <f t="shared" si="2"/>
        <v>2.9650083737681165</v>
      </c>
      <c r="N17" s="2">
        <f t="shared" si="3"/>
        <v>1.0781848631884061</v>
      </c>
      <c r="O17" s="2">
        <f t="shared" si="4"/>
        <v>0.80863864739130442</v>
      </c>
      <c r="P17" s="2">
        <v>263.36174559420294</v>
      </c>
      <c r="Q17" s="2">
        <v>2.7625526971014498</v>
      </c>
      <c r="R17" s="2">
        <v>0.35149360434782612</v>
      </c>
      <c r="S17" s="2">
        <v>1.1453851689855061</v>
      </c>
      <c r="T17" s="2">
        <v>1.464410814492753</v>
      </c>
      <c r="U17" s="2"/>
      <c r="V17" s="2"/>
      <c r="W17" s="2">
        <v>1.5202924623188392</v>
      </c>
      <c r="X17" s="2">
        <v>0.47785589275362322</v>
      </c>
      <c r="Y17" s="2">
        <v>53.185350868115947</v>
      </c>
      <c r="Z17" s="2">
        <v>0.43873775797101455</v>
      </c>
      <c r="AA17" s="2">
        <v>25.673779000000003</v>
      </c>
      <c r="AB17" s="2">
        <f>SUM(C17:AA17)</f>
        <v>1812.7689653472462</v>
      </c>
      <c r="AG17" s="2">
        <v>13.477310789855075</v>
      </c>
    </row>
    <row r="18" spans="1:33" x14ac:dyDescent="0.2">
      <c r="B18" t="s">
        <v>18</v>
      </c>
      <c r="C18" s="2">
        <v>0.37808582173913047</v>
      </c>
      <c r="D18" s="2">
        <v>65.146425695652184</v>
      </c>
      <c r="E18" s="2">
        <v>1304.4812254217391</v>
      </c>
      <c r="F18" s="2">
        <v>0</v>
      </c>
      <c r="G18" s="2">
        <v>1.8924160869565217E-2</v>
      </c>
      <c r="H18" s="2">
        <v>16.722916946376813</v>
      </c>
      <c r="I18" s="2">
        <v>4.3972008869565204</v>
      </c>
      <c r="J18" s="2">
        <v>20.304001179710145</v>
      </c>
      <c r="K18" s="2">
        <f t="shared" si="0"/>
        <v>5.1220070177536234</v>
      </c>
      <c r="L18" s="2">
        <f t="shared" si="1"/>
        <v>3.7376807967391308</v>
      </c>
      <c r="M18" s="2">
        <f t="shared" si="2"/>
        <v>3.0455176862318845</v>
      </c>
      <c r="N18" s="2">
        <f t="shared" si="3"/>
        <v>1.1074609768115944</v>
      </c>
      <c r="O18" s="2">
        <f t="shared" si="4"/>
        <v>0.83059573260869568</v>
      </c>
      <c r="P18" s="2">
        <v>427.32686753623187</v>
      </c>
      <c r="Q18" s="2">
        <v>2.7625526971014498</v>
      </c>
      <c r="R18" s="2">
        <v>0.35149360434782612</v>
      </c>
      <c r="S18" s="2">
        <v>1.8714109544927526</v>
      </c>
      <c r="T18" s="2">
        <v>1.4601666637681157</v>
      </c>
      <c r="U18" s="2"/>
      <c r="V18" s="2"/>
      <c r="W18" s="2">
        <v>1.5202924623188392</v>
      </c>
      <c r="X18" s="2">
        <v>0.47785589275362322</v>
      </c>
      <c r="Y18" s="2">
        <v>54.825078604347844</v>
      </c>
      <c r="Z18" s="2">
        <v>1.2235306173913045</v>
      </c>
      <c r="AA18" s="2">
        <v>25.673779000000003</v>
      </c>
      <c r="AB18" s="2">
        <f>SUM(C18:AA18)</f>
        <v>1942.7850703559429</v>
      </c>
      <c r="AG18" s="2">
        <v>13.843262210144928</v>
      </c>
    </row>
    <row r="19" spans="1:33" x14ac:dyDescent="0.2">
      <c r="B19" t="s">
        <v>58</v>
      </c>
      <c r="C19" s="2">
        <v>0.37808582173913047</v>
      </c>
      <c r="D19" s="2">
        <v>65.146425695652184</v>
      </c>
      <c r="E19" s="2">
        <v>1304.4812254217391</v>
      </c>
      <c r="F19" s="2">
        <v>0</v>
      </c>
      <c r="G19" s="2">
        <v>1.8924160869565217E-2</v>
      </c>
      <c r="H19" s="2">
        <v>16.722916946376813</v>
      </c>
      <c r="I19" s="2">
        <v>4.3972008869565204</v>
      </c>
      <c r="J19" s="2">
        <v>32.834914582608697</v>
      </c>
      <c r="K19" s="2">
        <f t="shared" si="0"/>
        <v>5.5390262102173917</v>
      </c>
      <c r="L19" s="2">
        <f t="shared" si="1"/>
        <v>4.0419920993478273</v>
      </c>
      <c r="M19" s="2">
        <f t="shared" si="2"/>
        <v>3.2934750439130442</v>
      </c>
      <c r="N19" s="2">
        <f t="shared" si="3"/>
        <v>1.1976272886956525</v>
      </c>
      <c r="O19" s="2">
        <f t="shared" si="4"/>
        <v>0.89822046652173926</v>
      </c>
      <c r="P19" s="2">
        <v>427.32686753623187</v>
      </c>
      <c r="Q19" s="2">
        <v>2.7625526971014498</v>
      </c>
      <c r="R19" s="2">
        <v>0.35149360434782612</v>
      </c>
      <c r="S19" s="2">
        <v>1.8714109544927526</v>
      </c>
      <c r="T19" s="2">
        <v>1.5566010376811577</v>
      </c>
      <c r="U19" s="2"/>
      <c r="V19" s="2"/>
      <c r="W19" s="2">
        <v>1.5202924623188392</v>
      </c>
      <c r="X19" s="2">
        <v>0.47785589275362322</v>
      </c>
      <c r="Y19" s="2">
        <v>54.810216828985524</v>
      </c>
      <c r="Z19" s="2">
        <v>1.2235306173913045</v>
      </c>
      <c r="AA19" s="2">
        <v>25.673779000000003</v>
      </c>
      <c r="AB19" s="2">
        <v>1956.5246352559425</v>
      </c>
      <c r="AG19" s="2">
        <v>14.970341108695655</v>
      </c>
    </row>
    <row r="20" spans="1:33" x14ac:dyDescent="0.2">
      <c r="B20" t="s">
        <v>21</v>
      </c>
      <c r="C20" s="2">
        <v>1.1980676328502415</v>
      </c>
      <c r="D20" s="2">
        <v>179.96618357487924</v>
      </c>
      <c r="E20" s="2">
        <v>1662.6231884057972</v>
      </c>
      <c r="F20" s="2">
        <v>0.64251207729468607</v>
      </c>
      <c r="G20" s="2">
        <v>0.89855072463768126</v>
      </c>
      <c r="H20" s="2">
        <v>13.54106280193237</v>
      </c>
      <c r="I20" s="2">
        <v>7.5458937198067639</v>
      </c>
      <c r="J20" s="2">
        <v>24.90338164251208</v>
      </c>
      <c r="K20" s="2">
        <f t="shared" si="0"/>
        <v>9.7737198067632871</v>
      </c>
      <c r="L20" s="2">
        <f t="shared" si="1"/>
        <v>7.1321739130434798</v>
      </c>
      <c r="M20" s="2">
        <f t="shared" si="2"/>
        <v>5.8114009661835757</v>
      </c>
      <c r="N20" s="2">
        <f t="shared" si="3"/>
        <v>2.1132367149758458</v>
      </c>
      <c r="O20" s="2">
        <f t="shared" si="4"/>
        <v>1.5849275362318842</v>
      </c>
      <c r="P20" s="2">
        <v>0</v>
      </c>
      <c r="Q20" s="2">
        <v>6.57487922705314</v>
      </c>
      <c r="R20" s="2">
        <v>0.58454106280193241</v>
      </c>
      <c r="S20" s="2">
        <v>2.8743961352657008</v>
      </c>
      <c r="T20" s="2">
        <v>0.7874396135265701</v>
      </c>
      <c r="U20" s="2">
        <v>63.603864734299513</v>
      </c>
      <c r="V20" s="2">
        <v>0</v>
      </c>
      <c r="W20" s="2">
        <v>0.12077294685990339</v>
      </c>
      <c r="X20" s="2">
        <v>0.58454106280193241</v>
      </c>
      <c r="Y20" s="2">
        <v>29.855072463768114</v>
      </c>
      <c r="Z20" s="2">
        <v>9.6618357487922718E-2</v>
      </c>
      <c r="AA20" s="2">
        <v>128.72946859903382</v>
      </c>
      <c r="AB20" s="2">
        <f>SUM(C20:AA20)</f>
        <v>2151.5458937198068</v>
      </c>
      <c r="AG20" s="2">
        <v>26.415458937198071</v>
      </c>
    </row>
    <row r="21" spans="1:33" x14ac:dyDescent="0.2">
      <c r="A21" t="s">
        <v>12</v>
      </c>
      <c r="B21" t="s">
        <v>164</v>
      </c>
      <c r="C21" s="2">
        <v>0.20221829725790513</v>
      </c>
      <c r="D21" s="2">
        <v>169.93780449011857</v>
      </c>
      <c r="E21" s="2">
        <v>1421.6139480039028</v>
      </c>
      <c r="F21" s="2">
        <v>0</v>
      </c>
      <c r="G21" s="2">
        <v>3.2032279496047429E-2</v>
      </c>
      <c r="H21" s="2">
        <v>13.986688577099798</v>
      </c>
      <c r="I21" s="2">
        <v>0.23152289397233203</v>
      </c>
      <c r="J21" s="2">
        <v>33.943422969713424</v>
      </c>
      <c r="K21" s="2">
        <f t="shared" si="0"/>
        <v>6.8289593353866085</v>
      </c>
      <c r="L21" s="2">
        <f t="shared" si="1"/>
        <v>4.983294650146985</v>
      </c>
      <c r="M21" s="2">
        <f t="shared" si="2"/>
        <v>4.0604623075271729</v>
      </c>
      <c r="N21" s="2">
        <f t="shared" si="3"/>
        <v>1.4765317481916993</v>
      </c>
      <c r="O21" s="2">
        <f t="shared" si="4"/>
        <v>1.1073988111437743</v>
      </c>
      <c r="P21" s="2">
        <v>224.76978087598758</v>
      </c>
      <c r="Q21" s="2">
        <v>12.270727132905126</v>
      </c>
      <c r="R21" s="2">
        <v>0.30749103120059285</v>
      </c>
      <c r="S21" s="2">
        <v>0.99483573656126456</v>
      </c>
      <c r="T21" s="2">
        <v>2.0525547885968374</v>
      </c>
      <c r="U21" s="2"/>
      <c r="V21" s="2"/>
      <c r="W21" s="2">
        <v>0.72710811603260872</v>
      </c>
      <c r="X21" s="2">
        <v>0</v>
      </c>
      <c r="Y21" s="2">
        <v>69.102116075667027</v>
      </c>
      <c r="Z21" s="2">
        <v>0.83496118913043471</v>
      </c>
      <c r="AA21" s="2">
        <v>16.468138358448616</v>
      </c>
      <c r="AB21" s="2">
        <f>SUM(C21:AA21)</f>
        <v>1985.9319976684876</v>
      </c>
      <c r="AG21" s="2">
        <v>18.45664685239624</v>
      </c>
    </row>
    <row r="22" spans="1:33" x14ac:dyDescent="0.2">
      <c r="B22" t="s">
        <v>17</v>
      </c>
      <c r="C22" s="2">
        <v>0.21147096627964426</v>
      </c>
      <c r="D22" s="2">
        <v>169.93780449011857</v>
      </c>
      <c r="E22" s="2">
        <v>1512.2461587949108</v>
      </c>
      <c r="F22" s="2">
        <v>0</v>
      </c>
      <c r="G22" s="2">
        <v>3.2032279496047429E-2</v>
      </c>
      <c r="H22" s="2">
        <v>13.986688577099798</v>
      </c>
      <c r="I22" s="2">
        <v>2.5580129903903108</v>
      </c>
      <c r="J22" s="2">
        <v>23.011512423023714</v>
      </c>
      <c r="K22" s="2">
        <f t="shared" si="0"/>
        <v>7.0887254337863128</v>
      </c>
      <c r="L22" s="2">
        <f t="shared" si="1"/>
        <v>5.1728536949251476</v>
      </c>
      <c r="M22" s="2">
        <f t="shared" si="2"/>
        <v>4.2149178254945641</v>
      </c>
      <c r="N22" s="2">
        <f t="shared" si="3"/>
        <v>1.5326973910889325</v>
      </c>
      <c r="O22" s="2">
        <f t="shared" si="4"/>
        <v>1.1495230433166994</v>
      </c>
      <c r="P22" s="2">
        <v>224.76978087598758</v>
      </c>
      <c r="Q22" s="2">
        <v>12.270727132905126</v>
      </c>
      <c r="R22" s="2">
        <v>0.30749103120059285</v>
      </c>
      <c r="S22" s="2">
        <v>1.2289766862154146</v>
      </c>
      <c r="T22" s="2">
        <v>5.6162211183152166</v>
      </c>
      <c r="U22" s="2"/>
      <c r="V22" s="2"/>
      <c r="W22" s="2">
        <v>0.74015650410079059</v>
      </c>
      <c r="X22" s="2">
        <v>0.35798067065217387</v>
      </c>
      <c r="Y22" s="2">
        <v>68.586460476753956</v>
      </c>
      <c r="Z22" s="2">
        <v>0.70400742663043481</v>
      </c>
      <c r="AA22" s="2">
        <v>16.468138358448616</v>
      </c>
      <c r="AB22" s="2">
        <f>SUM(C22:AA22)</f>
        <v>2072.1923381911406</v>
      </c>
      <c r="AG22" s="2">
        <v>19.158717388611656</v>
      </c>
    </row>
    <row r="23" spans="1:33" x14ac:dyDescent="0.2">
      <c r="B23" t="s">
        <v>18</v>
      </c>
      <c r="C23" s="2">
        <v>0.78220971588438182</v>
      </c>
      <c r="D23" s="2">
        <v>54.555367037302368</v>
      </c>
      <c r="E23" s="2">
        <v>1526.4957120451579</v>
      </c>
      <c r="F23" s="2">
        <v>0.82586820096343772</v>
      </c>
      <c r="G23" s="2">
        <v>3.2032279496047429E-2</v>
      </c>
      <c r="H23" s="2">
        <v>13.000620371417984</v>
      </c>
      <c r="I23" s="2">
        <v>4.8845030879199598</v>
      </c>
      <c r="J23" s="2">
        <v>11.80718337072628</v>
      </c>
      <c r="K23" s="2">
        <f t="shared" si="0"/>
        <v>5.0287314319646716</v>
      </c>
      <c r="L23" s="2">
        <f t="shared" si="1"/>
        <v>3.6696148287309769</v>
      </c>
      <c r="M23" s="2">
        <f t="shared" si="2"/>
        <v>2.9900565271141293</v>
      </c>
      <c r="N23" s="2">
        <f t="shared" si="3"/>
        <v>1.0872932825869561</v>
      </c>
      <c r="O23" s="2">
        <f t="shared" si="4"/>
        <v>0.81546996194021704</v>
      </c>
      <c r="P23" s="2">
        <v>324.79346358646245</v>
      </c>
      <c r="Q23" s="2">
        <v>5.6977324031620444</v>
      </c>
      <c r="R23" s="2">
        <v>0.30843152722332012</v>
      </c>
      <c r="S23" s="2">
        <v>1.8854805530879433</v>
      </c>
      <c r="T23" s="2">
        <v>5.616245234298419</v>
      </c>
      <c r="U23" s="2"/>
      <c r="V23" s="2"/>
      <c r="W23" s="2">
        <v>0.74692466405632407</v>
      </c>
      <c r="X23" s="2">
        <v>0.35798067065217387</v>
      </c>
      <c r="Y23" s="2">
        <v>70.662753874555364</v>
      </c>
      <c r="Z23" s="2">
        <v>0.88796920642292487</v>
      </c>
      <c r="AA23" s="2">
        <v>16.468138358448616</v>
      </c>
      <c r="AB23" s="2">
        <f>SUM(C23:AA23)</f>
        <v>2053.3997822195743</v>
      </c>
      <c r="AG23" s="2">
        <v>13.59116603233695</v>
      </c>
    </row>
    <row r="24" spans="1:33" x14ac:dyDescent="0.2">
      <c r="B24" t="s">
        <v>58</v>
      </c>
      <c r="C24" s="2">
        <v>0.78220971588438182</v>
      </c>
      <c r="D24" s="2">
        <v>54.555367037302368</v>
      </c>
      <c r="E24" s="2">
        <v>1526.4957120451579</v>
      </c>
      <c r="F24" s="2">
        <v>0.82586820096343772</v>
      </c>
      <c r="G24" s="2">
        <v>3.2032279496047429E-2</v>
      </c>
      <c r="H24" s="2">
        <v>13.000620371417984</v>
      </c>
      <c r="I24" s="2">
        <v>4.8845030879199598</v>
      </c>
      <c r="J24" s="2">
        <v>13.125159888908099</v>
      </c>
      <c r="K24" s="2">
        <f t="shared" si="0"/>
        <v>3.8693781636550129</v>
      </c>
      <c r="L24" s="2">
        <f t="shared" si="1"/>
        <v>2.8236002815860908</v>
      </c>
      <c r="M24" s="2">
        <f t="shared" si="2"/>
        <v>2.3007113405516293</v>
      </c>
      <c r="N24" s="2">
        <f t="shared" si="3"/>
        <v>0.83662230565513795</v>
      </c>
      <c r="O24" s="2">
        <f t="shared" si="4"/>
        <v>0.62746672924135349</v>
      </c>
      <c r="P24" s="2">
        <v>324.79346358646245</v>
      </c>
      <c r="Q24" s="2">
        <v>5.6977324031620444</v>
      </c>
      <c r="R24" s="2">
        <v>0.30890177551877468</v>
      </c>
      <c r="S24" s="2">
        <v>1.8877069491106706</v>
      </c>
      <c r="T24" s="2">
        <v>5.554137688621541</v>
      </c>
      <c r="U24" s="2"/>
      <c r="V24" s="2"/>
      <c r="W24" s="2">
        <v>0.74699402201086951</v>
      </c>
      <c r="X24" s="2">
        <v>0.35798067065217387</v>
      </c>
      <c r="Y24" s="2">
        <v>70.647256890612667</v>
      </c>
      <c r="Z24" s="2">
        <v>0.88796920642292487</v>
      </c>
      <c r="AA24" s="2">
        <v>16.468138358448616</v>
      </c>
      <c r="AB24" s="2">
        <v>2051.5095329987616</v>
      </c>
      <c r="AG24" s="2">
        <v>10.457778820689224</v>
      </c>
    </row>
    <row r="25" spans="1:33" x14ac:dyDescent="0.2">
      <c r="B25" t="s">
        <v>21</v>
      </c>
      <c r="C25" s="2">
        <v>1.5489130434782608</v>
      </c>
      <c r="D25" s="2">
        <v>237.06521739130437</v>
      </c>
      <c r="E25" s="2">
        <v>1107.9076086956522</v>
      </c>
      <c r="F25" s="2">
        <v>0.31521739130434784</v>
      </c>
      <c r="G25" s="2">
        <v>1.2880434782608696</v>
      </c>
      <c r="H25" s="2">
        <v>30.874999999999996</v>
      </c>
      <c r="I25" s="2">
        <v>5.8913043478260869</v>
      </c>
      <c r="J25" s="2">
        <v>2.206521739130435</v>
      </c>
      <c r="K25" s="2">
        <f t="shared" si="0"/>
        <v>2.851413043478261</v>
      </c>
      <c r="L25" s="2">
        <f t="shared" si="1"/>
        <v>2.0807608695652173</v>
      </c>
      <c r="M25" s="2">
        <f t="shared" si="2"/>
        <v>1.6954347826086955</v>
      </c>
      <c r="N25" s="2">
        <f t="shared" si="3"/>
        <v>0.61652173913043473</v>
      </c>
      <c r="O25" s="2">
        <f t="shared" si="4"/>
        <v>0.46239130434782605</v>
      </c>
      <c r="P25" s="2">
        <v>0</v>
      </c>
      <c r="Q25" s="2">
        <v>12.581521739130434</v>
      </c>
      <c r="R25" s="2">
        <v>0.37499999999999994</v>
      </c>
      <c r="S25" s="2">
        <v>2.5054347826086953</v>
      </c>
      <c r="T25" s="2">
        <v>0.99456521739130421</v>
      </c>
      <c r="U25" s="2">
        <v>61.532608695652172</v>
      </c>
      <c r="V25" s="2">
        <v>0</v>
      </c>
      <c r="W25" s="2">
        <v>0.12499999999999999</v>
      </c>
      <c r="X25" s="2">
        <v>0.27173913043478259</v>
      </c>
      <c r="Y25" s="2">
        <v>21.673913043478258</v>
      </c>
      <c r="Z25" s="2">
        <v>0.53260869565217395</v>
      </c>
      <c r="AA25" s="2">
        <v>30.114130434782606</v>
      </c>
      <c r="AB25" s="2">
        <f>SUM(C25:AA25)</f>
        <v>1525.5108695652175</v>
      </c>
      <c r="AG25" s="2">
        <v>7.7065217391304346</v>
      </c>
    </row>
    <row r="26" spans="1:33" x14ac:dyDescent="0.2">
      <c r="A26" t="s">
        <v>44</v>
      </c>
      <c r="B26" t="s">
        <v>164</v>
      </c>
      <c r="C26" s="2">
        <v>0.11701019340659341</v>
      </c>
      <c r="D26" s="2">
        <v>171.36517329670332</v>
      </c>
      <c r="E26" s="2">
        <v>1097.8571164296693</v>
      </c>
      <c r="F26" s="2">
        <v>6.7692307692307691E-2</v>
      </c>
      <c r="G26" s="2">
        <v>3.663003626373626E-2</v>
      </c>
      <c r="H26" s="2">
        <v>9.5043092065934065</v>
      </c>
      <c r="I26" s="2">
        <v>11.018224612087911</v>
      </c>
      <c r="J26" s="2">
        <v>42.832492139560415</v>
      </c>
      <c r="K26" s="2">
        <f t="shared" si="0"/>
        <v>6.2467805061428585</v>
      </c>
      <c r="L26" s="2">
        <f t="shared" si="1"/>
        <v>4.558461450428573</v>
      </c>
      <c r="M26" s="2">
        <f t="shared" si="2"/>
        <v>3.7143019225714293</v>
      </c>
      <c r="N26" s="2">
        <f t="shared" si="3"/>
        <v>1.3506552445714288</v>
      </c>
      <c r="O26" s="2">
        <f t="shared" si="4"/>
        <v>1.0129914334285717</v>
      </c>
      <c r="P26" s="2">
        <v>252.87193786813185</v>
      </c>
      <c r="Q26" s="2">
        <v>18.81893665164834</v>
      </c>
      <c r="R26" s="2">
        <v>0.20715254395604393</v>
      </c>
      <c r="S26" s="2">
        <v>1.4989690769230766</v>
      </c>
      <c r="T26" s="2">
        <v>1.9742970098901096</v>
      </c>
      <c r="U26" s="2"/>
      <c r="V26" s="2"/>
      <c r="W26" s="2">
        <v>0.46113914505494502</v>
      </c>
      <c r="X26" s="2">
        <v>0</v>
      </c>
      <c r="Y26" s="2">
        <v>46.466515152747249</v>
      </c>
      <c r="Z26" s="2">
        <v>5.0542406593406593E-2</v>
      </c>
      <c r="AA26" s="2">
        <v>13.502395043956044</v>
      </c>
      <c r="AB26" s="2">
        <f>SUM(C26:AA26)</f>
        <v>1685.5337236780206</v>
      </c>
      <c r="AG26" s="2">
        <v>16.883190557142861</v>
      </c>
    </row>
    <row r="27" spans="1:33" x14ac:dyDescent="0.2">
      <c r="B27" t="s">
        <v>17</v>
      </c>
      <c r="C27" s="2">
        <v>0.13084169560439551</v>
      </c>
      <c r="D27" s="2">
        <v>171.36517329670332</v>
      </c>
      <c r="E27" s="2">
        <v>1168.9713799285703</v>
      </c>
      <c r="F27" s="2">
        <v>6.7692307692307691E-2</v>
      </c>
      <c r="G27" s="2">
        <v>3.663003626373626E-2</v>
      </c>
      <c r="H27" s="2">
        <v>9.5043092065934065</v>
      </c>
      <c r="I27" s="2">
        <v>14.158282454945043</v>
      </c>
      <c r="J27" s="2">
        <v>24.410079309890111</v>
      </c>
      <c r="K27" s="2">
        <f t="shared" si="0"/>
        <v>6.3662024319120878</v>
      </c>
      <c r="L27" s="2">
        <f t="shared" si="1"/>
        <v>4.6456071800439567</v>
      </c>
      <c r="M27" s="2">
        <f t="shared" si="2"/>
        <v>3.7853095541098902</v>
      </c>
      <c r="N27" s="2">
        <f t="shared" si="3"/>
        <v>1.3764762014945056</v>
      </c>
      <c r="O27" s="2">
        <f t="shared" si="4"/>
        <v>1.0323571511208791</v>
      </c>
      <c r="P27" s="2">
        <v>252.87193786813185</v>
      </c>
      <c r="Q27" s="2">
        <v>18.81893665164834</v>
      </c>
      <c r="R27" s="2">
        <v>0.20715254395604393</v>
      </c>
      <c r="S27" s="2">
        <v>1.7718148934065934</v>
      </c>
      <c r="T27" s="2">
        <v>2.7024723384615381</v>
      </c>
      <c r="U27" s="2"/>
      <c r="V27" s="2"/>
      <c r="W27" s="2">
        <v>0.49499219999999994</v>
      </c>
      <c r="X27" s="2">
        <v>0.43177825824175825</v>
      </c>
      <c r="Y27" s="2">
        <v>46.565791712087908</v>
      </c>
      <c r="Z27" s="2">
        <v>0</v>
      </c>
      <c r="AA27" s="2">
        <v>13.502395043956044</v>
      </c>
      <c r="AB27" s="2">
        <f>SUM(C27:AA27)</f>
        <v>1743.2176122648343</v>
      </c>
      <c r="AG27" s="2">
        <v>17.205952518681318</v>
      </c>
    </row>
    <row r="28" spans="1:33" x14ac:dyDescent="0.2">
      <c r="B28" t="s">
        <v>18</v>
      </c>
      <c r="C28" s="2">
        <v>1.4716251010989008</v>
      </c>
      <c r="D28" s="2">
        <v>68.546069318681319</v>
      </c>
      <c r="E28" s="2">
        <v>1208.6320879021953</v>
      </c>
      <c r="F28" s="2">
        <v>0</v>
      </c>
      <c r="G28" s="2">
        <v>3.663003626373626E-2</v>
      </c>
      <c r="H28" s="2">
        <v>10.5910709</v>
      </c>
      <c r="I28" s="2">
        <v>17.298340297802184</v>
      </c>
      <c r="J28" s="2">
        <v>9.4723306142857133</v>
      </c>
      <c r="K28" s="2">
        <f t="shared" si="0"/>
        <v>4.5726482413626375</v>
      </c>
      <c r="L28" s="2">
        <f t="shared" si="1"/>
        <v>3.3367973653186818</v>
      </c>
      <c r="M28" s="2">
        <f t="shared" si="2"/>
        <v>2.7188719272967035</v>
      </c>
      <c r="N28" s="2">
        <f t="shared" si="3"/>
        <v>0.98868070083516491</v>
      </c>
      <c r="O28" s="2">
        <f t="shared" si="4"/>
        <v>0.74151052562637365</v>
      </c>
      <c r="P28" s="2">
        <v>338.93859252747251</v>
      </c>
      <c r="Q28" s="2">
        <v>4.8449721571428466</v>
      </c>
      <c r="R28" s="2">
        <v>0.20751864175824175</v>
      </c>
      <c r="S28" s="2">
        <v>1.8114522395604398</v>
      </c>
      <c r="T28" s="2">
        <v>2.663679708791209</v>
      </c>
      <c r="U28" s="2"/>
      <c r="V28" s="2"/>
      <c r="W28" s="2">
        <v>0.49499219999999994</v>
      </c>
      <c r="X28" s="2">
        <v>0.43177825824175825</v>
      </c>
      <c r="Y28" s="2">
        <v>48.054900825274721</v>
      </c>
      <c r="Z28" s="2">
        <v>9.2764159340659333E-2</v>
      </c>
      <c r="AA28" s="2">
        <v>13.502395043956044</v>
      </c>
      <c r="AB28" s="2">
        <f>SUM(C28:AA28)</f>
        <v>1739.4497086923054</v>
      </c>
      <c r="AG28" s="2">
        <v>12.358508760439561</v>
      </c>
    </row>
    <row r="29" spans="1:33" x14ac:dyDescent="0.2">
      <c r="B29" t="s">
        <v>58</v>
      </c>
      <c r="C29" s="2">
        <v>1.4741659307692303</v>
      </c>
      <c r="D29" s="2">
        <v>68.546069318681319</v>
      </c>
      <c r="E29" s="2">
        <v>1208.6320879021953</v>
      </c>
      <c r="F29" s="2">
        <v>0</v>
      </c>
      <c r="G29" s="2">
        <v>3.663003626373626E-2</v>
      </c>
      <c r="H29" s="2">
        <v>10.5910709</v>
      </c>
      <c r="I29" s="2">
        <v>17.298340297802184</v>
      </c>
      <c r="J29" s="2">
        <v>14.176482770329667</v>
      </c>
      <c r="K29" s="2">
        <f t="shared" si="0"/>
        <v>3.1506568314010992</v>
      </c>
      <c r="L29" s="2">
        <f t="shared" si="1"/>
        <v>2.2991279580494512</v>
      </c>
      <c r="M29" s="2">
        <f t="shared" si="2"/>
        <v>1.8733635213736266</v>
      </c>
      <c r="N29" s="2">
        <f t="shared" si="3"/>
        <v>0.68122309868131881</v>
      </c>
      <c r="O29" s="2">
        <f t="shared" si="4"/>
        <v>0.5109173240109891</v>
      </c>
      <c r="P29" s="2">
        <v>338.93859252747251</v>
      </c>
      <c r="Q29" s="2">
        <v>4.8449721571428466</v>
      </c>
      <c r="R29" s="2">
        <v>0.20770169065934066</v>
      </c>
      <c r="S29" s="2">
        <v>1.8127363142857145</v>
      </c>
      <c r="T29" s="2">
        <v>2.6451737923076921</v>
      </c>
      <c r="U29" s="2"/>
      <c r="V29" s="2"/>
      <c r="W29" s="2">
        <v>0.49499219999999994</v>
      </c>
      <c r="X29" s="2">
        <v>0.43177825824175825</v>
      </c>
      <c r="Y29" s="2">
        <v>48.049122736813182</v>
      </c>
      <c r="Z29" s="2">
        <v>9.2764159340659333E-2</v>
      </c>
      <c r="AA29" s="2">
        <v>13.502395043956044</v>
      </c>
      <c r="AB29" s="2">
        <v>1740.2903647697779</v>
      </c>
      <c r="AG29" s="2">
        <v>8.5152887335164849</v>
      </c>
    </row>
    <row r="30" spans="1:33" x14ac:dyDescent="0.2">
      <c r="B30" t="s">
        <v>21</v>
      </c>
      <c r="C30" s="2">
        <v>1.4725274725274726</v>
      </c>
      <c r="D30" s="2">
        <v>68.549450549450555</v>
      </c>
      <c r="E30" s="2">
        <v>1178.131868131868</v>
      </c>
      <c r="F30" s="2">
        <v>0</v>
      </c>
      <c r="G30" s="2">
        <v>3.2967032967032968E-2</v>
      </c>
      <c r="H30" s="2">
        <v>10.791208791208792</v>
      </c>
      <c r="I30" s="2">
        <v>17.296703296703296</v>
      </c>
      <c r="J30" s="2">
        <v>16</v>
      </c>
      <c r="K30" s="2">
        <f t="shared" si="0"/>
        <v>3.3991208791208787</v>
      </c>
      <c r="L30" s="2">
        <f t="shared" si="1"/>
        <v>2.4804395604395606</v>
      </c>
      <c r="M30" s="2">
        <f t="shared" si="2"/>
        <v>2.0210989010989011</v>
      </c>
      <c r="N30" s="2">
        <f t="shared" si="3"/>
        <v>0.73494505494505491</v>
      </c>
      <c r="O30" s="2">
        <f t="shared" si="4"/>
        <v>0.55120879120879118</v>
      </c>
      <c r="P30" s="2">
        <v>338.93406593406593</v>
      </c>
      <c r="Q30" s="2">
        <v>5.2527472527472527</v>
      </c>
      <c r="R30" s="2">
        <v>0.2087912087912088</v>
      </c>
      <c r="S30" s="2">
        <v>1.813186813186813</v>
      </c>
      <c r="T30" s="2">
        <v>2.6483516483516483</v>
      </c>
      <c r="U30" s="2">
        <v>30.505494505494507</v>
      </c>
      <c r="V30" s="2">
        <v>1.2307692307692308</v>
      </c>
      <c r="W30" s="2">
        <v>0.49450549450549453</v>
      </c>
      <c r="X30" s="2">
        <v>0.42857142857142855</v>
      </c>
      <c r="Y30" s="2">
        <v>48.065934065934066</v>
      </c>
      <c r="Z30" s="2">
        <v>8.7912087912087905E-2</v>
      </c>
      <c r="AA30" s="2">
        <v>13.505494505494504</v>
      </c>
      <c r="AB30" s="2">
        <f>SUM(C30:AA30)</f>
        <v>1744.6373626373622</v>
      </c>
      <c r="AG30" s="2">
        <v>9.1868131868131861</v>
      </c>
    </row>
    <row r="33" spans="1:40" ht="17" thickBot="1" x14ac:dyDescent="0.25"/>
    <row r="34" spans="1:40" ht="69" thickBot="1" x14ac:dyDescent="0.25">
      <c r="AG34" s="3"/>
      <c r="AH34" s="3"/>
      <c r="AI34" s="4" t="s">
        <v>110</v>
      </c>
      <c r="AJ34" s="5" t="s">
        <v>111</v>
      </c>
      <c r="AK34" s="5" t="s">
        <v>112</v>
      </c>
      <c r="AL34" s="5" t="s">
        <v>113</v>
      </c>
      <c r="AM34" s="5" t="s">
        <v>114</v>
      </c>
      <c r="AN34" s="6" t="s">
        <v>115</v>
      </c>
    </row>
    <row r="35" spans="1:40" ht="17" thickBot="1" x14ac:dyDescent="0.25">
      <c r="AG35" s="7" t="s">
        <v>116</v>
      </c>
      <c r="AH35" s="8"/>
      <c r="AI35" s="9">
        <v>0.37</v>
      </c>
      <c r="AJ35" s="10">
        <v>0.27</v>
      </c>
      <c r="AK35" s="10">
        <v>0.22</v>
      </c>
      <c r="AL35" s="10">
        <v>0.08</v>
      </c>
      <c r="AM35" s="10">
        <v>0.06</v>
      </c>
      <c r="AN35" s="11"/>
    </row>
    <row r="36" spans="1:40" x14ac:dyDescent="0.2">
      <c r="AG36" s="24" t="s">
        <v>117</v>
      </c>
      <c r="AH36" s="12" t="s">
        <v>118</v>
      </c>
      <c r="AI36" s="13">
        <v>0.37</v>
      </c>
      <c r="AJ36" s="14">
        <v>0.27</v>
      </c>
      <c r="AK36" s="14">
        <v>0.22</v>
      </c>
      <c r="AL36" s="14">
        <v>0.08</v>
      </c>
      <c r="AM36" s="14">
        <v>0.06</v>
      </c>
      <c r="AN36" s="15"/>
    </row>
    <row r="37" spans="1:40" x14ac:dyDescent="0.2">
      <c r="AG37" s="25"/>
      <c r="AH37" s="12" t="s">
        <v>119</v>
      </c>
      <c r="AI37" s="13">
        <v>0.37</v>
      </c>
      <c r="AJ37" s="14"/>
      <c r="AK37" s="14">
        <v>0.3</v>
      </c>
      <c r="AL37" s="14"/>
      <c r="AM37" s="14"/>
      <c r="AN37" s="15">
        <v>0.33</v>
      </c>
    </row>
    <row r="38" spans="1:40" ht="17" thickBot="1" x14ac:dyDescent="0.25">
      <c r="AG38" s="26"/>
      <c r="AH38" s="16" t="s">
        <v>120</v>
      </c>
      <c r="AI38" s="17">
        <v>0.37</v>
      </c>
      <c r="AJ38" s="18"/>
      <c r="AK38" s="18">
        <v>0.22</v>
      </c>
      <c r="AL38" s="18"/>
      <c r="AM38" s="18"/>
      <c r="AN38" s="19">
        <f>0.14+0.27</f>
        <v>0.41000000000000003</v>
      </c>
    </row>
    <row r="42" spans="1:40" x14ac:dyDescent="0.2">
      <c r="M42" s="2"/>
    </row>
    <row r="45" spans="1:40" x14ac:dyDescent="0.2">
      <c r="A45" s="1" t="s">
        <v>45</v>
      </c>
      <c r="D45" s="1" t="s">
        <v>57</v>
      </c>
    </row>
    <row r="46" spans="1:40" x14ac:dyDescent="0.2">
      <c r="A46" t="s">
        <v>46</v>
      </c>
      <c r="B46" t="s">
        <v>1</v>
      </c>
    </row>
    <row r="47" spans="1:40" x14ac:dyDescent="0.2">
      <c r="A47" t="s">
        <v>51</v>
      </c>
      <c r="B47" t="s">
        <v>47</v>
      </c>
      <c r="C47" t="s">
        <v>54</v>
      </c>
      <c r="D47" t="s">
        <v>56</v>
      </c>
    </row>
    <row r="48" spans="1:40" x14ac:dyDescent="0.2">
      <c r="A48" t="s">
        <v>52</v>
      </c>
      <c r="B48" t="s">
        <v>48</v>
      </c>
      <c r="C48" t="s">
        <v>53</v>
      </c>
      <c r="D48" t="s">
        <v>55</v>
      </c>
    </row>
    <row r="51" spans="3:2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</sheetData>
  <mergeCells count="1">
    <mergeCell ref="AG36:AG38"/>
  </mergeCells>
  <conditionalFormatting sqref="C6:C3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3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30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30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30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H30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:I30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30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:O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P30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Q30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30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:S30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3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30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:V30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30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X30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30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30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30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B30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30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4F5E-54A4-2E46-9D62-90CEBA67E7EA}">
  <dimension ref="A2:I57"/>
  <sheetViews>
    <sheetView workbookViewId="0">
      <selection activeCell="D11" sqref="D11"/>
    </sheetView>
  </sheetViews>
  <sheetFormatPr baseColWidth="10" defaultRowHeight="16" x14ac:dyDescent="0.2"/>
  <sheetData>
    <row r="2" spans="1:9" x14ac:dyDescent="0.2">
      <c r="A2" t="s">
        <v>59</v>
      </c>
      <c r="B2" t="s">
        <v>47</v>
      </c>
      <c r="I2" t="s">
        <v>97</v>
      </c>
    </row>
    <row r="3" spans="1:9" x14ac:dyDescent="0.2">
      <c r="A3" t="s">
        <v>67</v>
      </c>
      <c r="B3" t="s">
        <v>23</v>
      </c>
      <c r="H3" t="s">
        <v>101</v>
      </c>
      <c r="I3" t="s">
        <v>102</v>
      </c>
    </row>
    <row r="4" spans="1:9" x14ac:dyDescent="0.2">
      <c r="A4" t="s">
        <v>66</v>
      </c>
      <c r="B4" t="s">
        <v>24</v>
      </c>
      <c r="H4" t="s">
        <v>101</v>
      </c>
      <c r="I4" t="s">
        <v>105</v>
      </c>
    </row>
    <row r="5" spans="1:9" x14ac:dyDescent="0.2">
      <c r="A5" t="s">
        <v>66</v>
      </c>
      <c r="B5" t="s">
        <v>28</v>
      </c>
      <c r="H5" t="s">
        <v>101</v>
      </c>
      <c r="I5" t="s">
        <v>100</v>
      </c>
    </row>
    <row r="6" spans="1:9" x14ac:dyDescent="0.2">
      <c r="A6" t="s">
        <v>66</v>
      </c>
      <c r="B6" t="s">
        <v>32</v>
      </c>
      <c r="H6" t="s">
        <v>101</v>
      </c>
      <c r="I6" t="s">
        <v>129</v>
      </c>
    </row>
    <row r="7" spans="1:9" x14ac:dyDescent="0.2">
      <c r="A7" t="s">
        <v>66</v>
      </c>
      <c r="B7" t="s">
        <v>33</v>
      </c>
      <c r="H7" s="20" t="s">
        <v>101</v>
      </c>
      <c r="I7" t="s">
        <v>128</v>
      </c>
    </row>
    <row r="8" spans="1:9" x14ac:dyDescent="0.2">
      <c r="A8" t="s">
        <v>66</v>
      </c>
      <c r="B8" t="s">
        <v>49</v>
      </c>
      <c r="H8" t="s">
        <v>101</v>
      </c>
      <c r="I8" t="s">
        <v>127</v>
      </c>
    </row>
    <row r="9" spans="1:9" x14ac:dyDescent="0.2">
      <c r="A9" t="s">
        <v>85</v>
      </c>
      <c r="B9" t="s">
        <v>36</v>
      </c>
      <c r="H9" t="s">
        <v>101</v>
      </c>
      <c r="I9" t="s">
        <v>131</v>
      </c>
    </row>
    <row r="10" spans="1:9" x14ac:dyDescent="0.2">
      <c r="A10" t="s">
        <v>75</v>
      </c>
      <c r="B10" t="s">
        <v>26</v>
      </c>
      <c r="H10" t="s">
        <v>101</v>
      </c>
      <c r="I10" t="s">
        <v>79</v>
      </c>
    </row>
    <row r="11" spans="1:9" x14ac:dyDescent="0.2">
      <c r="A11" t="s">
        <v>74</v>
      </c>
      <c r="B11" t="s">
        <v>25</v>
      </c>
      <c r="H11" t="s">
        <v>101</v>
      </c>
      <c r="I11" t="s">
        <v>104</v>
      </c>
    </row>
    <row r="12" spans="1:9" x14ac:dyDescent="0.2">
      <c r="A12" t="s">
        <v>69</v>
      </c>
      <c r="B12" t="s">
        <v>34</v>
      </c>
      <c r="H12" t="s">
        <v>101</v>
      </c>
      <c r="I12" t="s">
        <v>108</v>
      </c>
    </row>
    <row r="13" spans="1:9" x14ac:dyDescent="0.2">
      <c r="A13" t="s">
        <v>76</v>
      </c>
      <c r="B13" t="s">
        <v>27</v>
      </c>
      <c r="H13" t="s">
        <v>101</v>
      </c>
      <c r="I13" t="s">
        <v>109</v>
      </c>
    </row>
    <row r="14" spans="1:9" x14ac:dyDescent="0.2">
      <c r="A14" t="s">
        <v>70</v>
      </c>
      <c r="B14" t="s">
        <v>39</v>
      </c>
      <c r="H14" t="s">
        <v>101</v>
      </c>
      <c r="I14" t="s">
        <v>98</v>
      </c>
    </row>
    <row r="15" spans="1:9" x14ac:dyDescent="0.2">
      <c r="A15" t="s">
        <v>65</v>
      </c>
      <c r="B15" t="s">
        <v>29</v>
      </c>
      <c r="H15" t="s">
        <v>101</v>
      </c>
      <c r="I15" t="s">
        <v>99</v>
      </c>
    </row>
    <row r="16" spans="1:9" x14ac:dyDescent="0.2">
      <c r="A16" t="s">
        <v>68</v>
      </c>
      <c r="B16" t="s">
        <v>37</v>
      </c>
      <c r="H16" t="s">
        <v>101</v>
      </c>
      <c r="I16" t="s">
        <v>106</v>
      </c>
    </row>
    <row r="17" spans="1:9" x14ac:dyDescent="0.2">
      <c r="A17" t="s">
        <v>83</v>
      </c>
      <c r="B17" t="s">
        <v>38</v>
      </c>
      <c r="H17" t="s">
        <v>101</v>
      </c>
      <c r="I17" t="s">
        <v>103</v>
      </c>
    </row>
    <row r="18" spans="1:9" x14ac:dyDescent="0.2">
      <c r="A18" t="s">
        <v>64</v>
      </c>
      <c r="B18" t="s">
        <v>35</v>
      </c>
      <c r="H18" t="s">
        <v>101</v>
      </c>
      <c r="I18" t="s">
        <v>107</v>
      </c>
    </row>
    <row r="19" spans="1:9" x14ac:dyDescent="0.2">
      <c r="A19" t="s">
        <v>61</v>
      </c>
      <c r="B19" t="s">
        <v>41</v>
      </c>
    </row>
    <row r="20" spans="1:9" x14ac:dyDescent="0.2">
      <c r="A20" t="s">
        <v>62</v>
      </c>
      <c r="B20" t="s">
        <v>40</v>
      </c>
    </row>
    <row r="21" spans="1:9" x14ac:dyDescent="0.2">
      <c r="A21" t="s">
        <v>60</v>
      </c>
      <c r="B21" t="s">
        <v>30</v>
      </c>
    </row>
    <row r="22" spans="1:9" x14ac:dyDescent="0.2">
      <c r="A22" t="s">
        <v>60</v>
      </c>
      <c r="B22" t="s">
        <v>50</v>
      </c>
    </row>
    <row r="23" spans="1:9" x14ac:dyDescent="0.2">
      <c r="A23" t="s">
        <v>123</v>
      </c>
      <c r="B23" t="s">
        <v>130</v>
      </c>
    </row>
    <row r="27" spans="1:9" x14ac:dyDescent="0.2">
      <c r="A27" t="s">
        <v>134</v>
      </c>
    </row>
    <row r="29" spans="1:9" x14ac:dyDescent="0.2">
      <c r="A29" t="s">
        <v>78</v>
      </c>
      <c r="C29" t="s">
        <v>79</v>
      </c>
    </row>
    <row r="30" spans="1:9" x14ac:dyDescent="0.2">
      <c r="A30">
        <f>-0.7+0.2+0.07+0.1+6.7+0.8-0.2</f>
        <v>6.97</v>
      </c>
      <c r="C30" s="2">
        <f>0.356+0.005+0.09</f>
        <v>0.45099999999999996</v>
      </c>
    </row>
    <row r="31" spans="1:9" x14ac:dyDescent="0.2">
      <c r="A31">
        <v>0.26</v>
      </c>
      <c r="C31">
        <f>552*0.001</f>
        <v>0.55200000000000005</v>
      </c>
    </row>
    <row r="32" spans="1:9" x14ac:dyDescent="0.2">
      <c r="A32">
        <v>0.21</v>
      </c>
    </row>
    <row r="34" spans="1:5" x14ac:dyDescent="0.2">
      <c r="A34" t="s">
        <v>80</v>
      </c>
      <c r="D34" t="s">
        <v>84</v>
      </c>
    </row>
    <row r="35" spans="1:5" x14ac:dyDescent="0.2">
      <c r="A35">
        <v>360</v>
      </c>
      <c r="B35">
        <f>A35/2000</f>
        <v>0.18</v>
      </c>
      <c r="D35">
        <v>2</v>
      </c>
    </row>
    <row r="36" spans="1:5" x14ac:dyDescent="0.2">
      <c r="A36">
        <v>230</v>
      </c>
      <c r="B36">
        <f>A36/1800</f>
        <v>0.12777777777777777</v>
      </c>
      <c r="D36">
        <v>1.5</v>
      </c>
    </row>
    <row r="37" spans="1:5" x14ac:dyDescent="0.2">
      <c r="A37">
        <v>400</v>
      </c>
      <c r="B37">
        <f>A37/1800</f>
        <v>0.22222222222222221</v>
      </c>
      <c r="D37">
        <v>1.4</v>
      </c>
    </row>
    <row r="38" spans="1:5" x14ac:dyDescent="0.2">
      <c r="A38">
        <v>435</v>
      </c>
      <c r="B38">
        <f>A38/1800</f>
        <v>0.24166666666666667</v>
      </c>
      <c r="D38">
        <v>0.9</v>
      </c>
    </row>
    <row r="39" spans="1:5" x14ac:dyDescent="0.2">
      <c r="A39" s="2"/>
      <c r="B39" s="2"/>
      <c r="C39" s="2"/>
      <c r="D39" s="2">
        <v>2.5</v>
      </c>
      <c r="E39" s="2"/>
    </row>
    <row r="40" spans="1:5" x14ac:dyDescent="0.2">
      <c r="A40" t="s">
        <v>81</v>
      </c>
      <c r="D40" t="s">
        <v>82</v>
      </c>
    </row>
    <row r="41" spans="1:5" x14ac:dyDescent="0.2">
      <c r="A41">
        <v>540</v>
      </c>
      <c r="B41">
        <f>A41/2000</f>
        <v>0.27</v>
      </c>
      <c r="D41">
        <v>170</v>
      </c>
      <c r="E41">
        <f>D41/2200</f>
        <v>7.7272727272727271E-2</v>
      </c>
    </row>
    <row r="43" spans="1:5" x14ac:dyDescent="0.2">
      <c r="A43" t="s">
        <v>121</v>
      </c>
      <c r="D43" t="s">
        <v>122</v>
      </c>
    </row>
    <row r="44" spans="1:5" x14ac:dyDescent="0.2">
      <c r="A44">
        <v>62</v>
      </c>
      <c r="B44">
        <f>A44/50</f>
        <v>1.24</v>
      </c>
      <c r="D44">
        <v>134</v>
      </c>
      <c r="E44">
        <f>D44/85</f>
        <v>1.5764705882352941</v>
      </c>
    </row>
    <row r="46" spans="1:5" x14ac:dyDescent="0.2">
      <c r="A46">
        <v>70</v>
      </c>
      <c r="B46">
        <f>A46/46</f>
        <v>1.5217391304347827</v>
      </c>
      <c r="D46">
        <f>40</f>
        <v>40</v>
      </c>
      <c r="E46">
        <f>D46/24</f>
        <v>1.6666666666666667</v>
      </c>
    </row>
    <row r="48" spans="1:5" x14ac:dyDescent="0.2">
      <c r="A48" t="s">
        <v>124</v>
      </c>
      <c r="D48" t="s">
        <v>125</v>
      </c>
    </row>
    <row r="49" spans="1:4" x14ac:dyDescent="0.2">
      <c r="A49">
        <f>605</f>
        <v>605</v>
      </c>
      <c r="B49">
        <f>A49/150</f>
        <v>4.0333333333333332</v>
      </c>
      <c r="D49">
        <f>100/32</f>
        <v>3.125</v>
      </c>
    </row>
    <row r="50" spans="1:4" x14ac:dyDescent="0.2">
      <c r="A50">
        <v>60</v>
      </c>
      <c r="B50">
        <f>60/15</f>
        <v>4</v>
      </c>
      <c r="D50">
        <f>56/33</f>
        <v>1.696969696969697</v>
      </c>
    </row>
    <row r="52" spans="1:4" x14ac:dyDescent="0.2">
      <c r="A52" t="s">
        <v>126</v>
      </c>
    </row>
    <row r="53" spans="1:4" x14ac:dyDescent="0.2">
      <c r="A53">
        <v>5.6</v>
      </c>
    </row>
    <row r="55" spans="1:4" x14ac:dyDescent="0.2">
      <c r="A55" t="s">
        <v>136</v>
      </c>
    </row>
    <row r="56" spans="1:4" x14ac:dyDescent="0.2">
      <c r="A56">
        <f>15/45</f>
        <v>0.33333333333333331</v>
      </c>
    </row>
    <row r="57" spans="1:4" x14ac:dyDescent="0.2">
      <c r="A57">
        <f>13/40</f>
        <v>0.32500000000000001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A4D1-E6F7-3141-B8EE-5A83C3860565}">
  <dimension ref="A1:M13"/>
  <sheetViews>
    <sheetView zoomScale="93" workbookViewId="0">
      <selection activeCell="L14" sqref="L14"/>
    </sheetView>
  </sheetViews>
  <sheetFormatPr baseColWidth="10" defaultRowHeight="16" x14ac:dyDescent="0.2"/>
  <cols>
    <col min="1" max="1" width="33.33203125" customWidth="1"/>
    <col min="2" max="2" width="20.83203125" customWidth="1"/>
  </cols>
  <sheetData>
    <row r="1" spans="1:13" x14ac:dyDescent="0.2">
      <c r="A1" s="1" t="s">
        <v>0</v>
      </c>
      <c r="D1" t="s">
        <v>144</v>
      </c>
      <c r="G1" s="1" t="s">
        <v>14</v>
      </c>
      <c r="M1" t="s">
        <v>144</v>
      </c>
    </row>
    <row r="2" spans="1:13" x14ac:dyDescent="0.2">
      <c r="A2" s="1" t="s">
        <v>1</v>
      </c>
      <c r="B2" s="1" t="s">
        <v>8</v>
      </c>
      <c r="D2" s="1" t="s">
        <v>137</v>
      </c>
      <c r="G2" s="1" t="s">
        <v>48</v>
      </c>
      <c r="H2" s="1" t="s">
        <v>15</v>
      </c>
      <c r="L2" t="s">
        <v>137</v>
      </c>
    </row>
    <row r="3" spans="1:13" x14ac:dyDescent="0.2">
      <c r="A3" t="s">
        <v>5</v>
      </c>
      <c r="B3" t="s">
        <v>9</v>
      </c>
      <c r="D3" t="s">
        <v>145</v>
      </c>
      <c r="G3" t="s">
        <v>16</v>
      </c>
      <c r="H3" t="s">
        <v>16</v>
      </c>
      <c r="I3" t="s">
        <v>16</v>
      </c>
      <c r="K3" t="s">
        <v>16</v>
      </c>
      <c r="L3" t="s">
        <v>16</v>
      </c>
      <c r="M3" t="s">
        <v>153</v>
      </c>
    </row>
    <row r="4" spans="1:13" x14ac:dyDescent="0.2">
      <c r="A4" t="s">
        <v>2</v>
      </c>
      <c r="B4" t="s">
        <v>10</v>
      </c>
      <c r="D4" t="s">
        <v>146</v>
      </c>
      <c r="G4" t="s">
        <v>17</v>
      </c>
      <c r="H4" t="s">
        <v>17</v>
      </c>
      <c r="I4" t="s">
        <v>143</v>
      </c>
      <c r="K4" t="s">
        <v>17</v>
      </c>
      <c r="L4" t="s">
        <v>138</v>
      </c>
      <c r="M4" t="s">
        <v>153</v>
      </c>
    </row>
    <row r="5" spans="1:13" x14ac:dyDescent="0.2">
      <c r="A5" t="s">
        <v>4</v>
      </c>
      <c r="B5" t="s">
        <v>146</v>
      </c>
      <c r="D5" t="s">
        <v>146</v>
      </c>
      <c r="G5" t="s">
        <v>18</v>
      </c>
      <c r="H5" t="s">
        <v>18</v>
      </c>
      <c r="I5" t="s">
        <v>140</v>
      </c>
      <c r="K5" t="s">
        <v>17</v>
      </c>
      <c r="L5" t="s">
        <v>139</v>
      </c>
    </row>
    <row r="6" spans="1:13" x14ac:dyDescent="0.2">
      <c r="A6" t="s">
        <v>4</v>
      </c>
      <c r="B6" t="s">
        <v>147</v>
      </c>
      <c r="D6" t="s">
        <v>147</v>
      </c>
      <c r="G6" t="s">
        <v>19</v>
      </c>
      <c r="H6" t="s">
        <v>58</v>
      </c>
      <c r="K6" t="s">
        <v>18</v>
      </c>
      <c r="L6" t="s">
        <v>140</v>
      </c>
    </row>
    <row r="7" spans="1:13" x14ac:dyDescent="0.2">
      <c r="A7" t="s">
        <v>7</v>
      </c>
      <c r="B7" t="s">
        <v>12</v>
      </c>
      <c r="D7" t="s">
        <v>12</v>
      </c>
      <c r="E7" t="s">
        <v>12</v>
      </c>
      <c r="G7" t="s">
        <v>20</v>
      </c>
      <c r="H7" t="s">
        <v>58</v>
      </c>
      <c r="K7" t="s">
        <v>18</v>
      </c>
      <c r="L7" t="s">
        <v>141</v>
      </c>
    </row>
    <row r="8" spans="1:13" x14ac:dyDescent="0.2">
      <c r="A8" t="s">
        <v>3</v>
      </c>
      <c r="B8" t="s">
        <v>12</v>
      </c>
      <c r="D8" t="s">
        <v>148</v>
      </c>
      <c r="E8" t="s">
        <v>12</v>
      </c>
      <c r="G8" t="s">
        <v>21</v>
      </c>
      <c r="H8" t="s">
        <v>21</v>
      </c>
      <c r="K8" t="s">
        <v>58</v>
      </c>
      <c r="L8" t="s">
        <v>142</v>
      </c>
      <c r="M8" t="s">
        <v>151</v>
      </c>
    </row>
    <row r="9" spans="1:13" x14ac:dyDescent="0.2">
      <c r="A9" t="s">
        <v>6</v>
      </c>
      <c r="B9" t="s">
        <v>13</v>
      </c>
      <c r="L9" t="s">
        <v>150</v>
      </c>
      <c r="M9" t="s">
        <v>151</v>
      </c>
    </row>
    <row r="10" spans="1:13" x14ac:dyDescent="0.2">
      <c r="L10" t="s">
        <v>152</v>
      </c>
    </row>
    <row r="12" spans="1:13" x14ac:dyDescent="0.2">
      <c r="B12" t="s">
        <v>149</v>
      </c>
      <c r="L12" t="s">
        <v>154</v>
      </c>
    </row>
    <row r="13" spans="1:13" x14ac:dyDescent="0.2">
      <c r="L13" t="s">
        <v>155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Building_MI</vt:lpstr>
      <vt:lpstr>meta</vt:lpstr>
      <vt:lpstr>Building_MI_periodharmonised</vt:lpstr>
      <vt:lpstr>Building_MI_original_baseline</vt:lpstr>
      <vt:lpstr>MI_Info Case Studies</vt:lpstr>
      <vt:lpstr>Classifications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Kopp</dc:creator>
  <cp:lastModifiedBy>Mira Kopp</cp:lastModifiedBy>
  <dcterms:created xsi:type="dcterms:W3CDTF">2024-08-06T10:09:11Z</dcterms:created>
  <dcterms:modified xsi:type="dcterms:W3CDTF">2024-11-04T09:01:20Z</dcterms:modified>
</cp:coreProperties>
</file>