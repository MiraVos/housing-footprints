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tprints/data_input/"/>
    </mc:Choice>
  </mc:AlternateContent>
  <xr:revisionPtr revIDLastSave="225" documentId="8_{25D06C3D-39F4-44EA-A49B-560F679A4006}" xr6:coauthVersionLast="47" xr6:coauthVersionMax="47" xr10:uidLastSave="{71E1098B-D260-4042-ACE0-D1F0C3DDA44F}"/>
  <bookViews>
    <workbookView xWindow="-98" yWindow="-98" windowWidth="19396" windowHeight="10276" activeTab="2" xr2:uid="{6DC732F9-428D-4592-AB00-0563FA9F88B7}"/>
  </bookViews>
  <sheets>
    <sheet name="Municipality level" sheetId="1" r:id="rId1"/>
    <sheet name="National average calculation" sheetId="2" r:id="rId2"/>
    <sheet name="National averag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3" i="3"/>
  <c r="B2" i="3"/>
  <c r="S21" i="2"/>
  <c r="R21" i="2"/>
  <c r="P21" i="2"/>
  <c r="N21" i="2"/>
  <c r="L21" i="2"/>
  <c r="J21" i="2"/>
  <c r="H21" i="2"/>
  <c r="F21" i="2"/>
  <c r="D21" i="2"/>
  <c r="L4" i="2"/>
  <c r="L20" i="2" s="1"/>
  <c r="J4" i="2"/>
  <c r="J20" i="2" s="1"/>
  <c r="F4" i="2"/>
  <c r="F20" i="2" s="1"/>
  <c r="D3" i="2"/>
  <c r="D2" i="2"/>
  <c r="B20" i="2"/>
  <c r="R20" i="2"/>
  <c r="P20" i="2"/>
  <c r="N20" i="2"/>
  <c r="H20" i="2"/>
  <c r="D20" i="2"/>
  <c r="J19" i="2"/>
  <c r="D19" i="2"/>
  <c r="L18" i="2"/>
  <c r="J18" i="2"/>
  <c r="F18" i="2"/>
  <c r="J17" i="2"/>
  <c r="D17" i="2"/>
  <c r="D16" i="2"/>
  <c r="P15" i="2"/>
  <c r="J15" i="2"/>
  <c r="F15" i="2"/>
  <c r="R14" i="2"/>
  <c r="N14" i="2"/>
  <c r="J14" i="2"/>
  <c r="D14" i="2"/>
  <c r="L13" i="2"/>
  <c r="F13" i="2"/>
  <c r="L12" i="2"/>
  <c r="F12" i="2"/>
  <c r="L11" i="2"/>
  <c r="D11" i="2"/>
  <c r="L10" i="2"/>
  <c r="J10" i="2"/>
  <c r="D10" i="2"/>
  <c r="L9" i="2"/>
  <c r="D9" i="2"/>
  <c r="F8" i="2"/>
  <c r="L7" i="2"/>
  <c r="H7" i="2"/>
  <c r="D7" i="2"/>
  <c r="L6" i="2"/>
  <c r="H6" i="2"/>
  <c r="D6" i="2"/>
  <c r="L5" i="2"/>
  <c r="H5" i="2"/>
  <c r="D5" i="2"/>
  <c r="D4" i="2"/>
  <c r="L3" i="2"/>
  <c r="J3" i="2"/>
  <c r="H3" i="2"/>
  <c r="F3" i="2"/>
  <c r="L2" i="2"/>
  <c r="J2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C25" i="1"/>
  <c r="B25" i="1"/>
  <c r="S20" i="2" l="1"/>
</calcChain>
</file>

<file path=xl/sharedStrings.xml><?xml version="1.0" encoding="utf-8"?>
<sst xmlns="http://schemas.openxmlformats.org/spreadsheetml/2006/main" count="179" uniqueCount="83">
  <si>
    <t>Municipality</t>
  </si>
  <si>
    <t>Number of households (2019) (x1000)</t>
  </si>
  <si>
    <t>Heat supply in PJ (2019)</t>
  </si>
  <si>
    <t>Heat supplier</t>
  </si>
  <si>
    <t>Source</t>
  </si>
  <si>
    <t>Heat sources</t>
  </si>
  <si>
    <t>Utrecht - Nieuwegein</t>
  </si>
  <si>
    <t>Eneco</t>
  </si>
  <si>
    <t>Warmtemonitor-2019</t>
  </si>
  <si>
    <t>Gas power plant/cogeneration plant (72%); Biomass power plant (10%);
 Peak gas boilers (18%)</t>
  </si>
  <si>
    <t>Eneco Warmte-etiket 2019</t>
  </si>
  <si>
    <t>Rotterdam</t>
  </si>
  <si>
    <t>Eneco en Vattenfall</t>
  </si>
  <si>
    <r>
      <rPr>
        <b/>
        <sz val="11"/>
        <color theme="1"/>
        <rFont val="Aptos Narrow"/>
        <family val="2"/>
        <scheme val="minor"/>
      </rPr>
      <t>Eneco:</t>
    </r>
    <r>
      <rPr>
        <sz val="11"/>
        <color theme="1"/>
        <rFont val="Aptos Narrow"/>
        <family val="2"/>
        <scheme val="minor"/>
      </rPr>
      <t xml:space="preserve"> Gas power plant/cogeneration plant (7%); Waste processing plant (54%); 
Residual heat (18%); Biomass power plant (15%); Peak gas boilers (6%)</t>
    </r>
    <r>
      <rPr>
        <b/>
        <sz val="11"/>
        <color theme="1"/>
        <rFont val="Aptos Narrow"/>
        <family val="2"/>
        <scheme val="minor"/>
      </rPr>
      <t xml:space="preserve"> 
Vattenfall:</t>
    </r>
    <r>
      <rPr>
        <sz val="11"/>
        <color theme="1"/>
        <rFont val="Aptos Narrow"/>
        <family val="2"/>
        <scheme val="minor"/>
      </rPr>
      <t xml:space="preserve"> Waste incineration plant residual heat  (98%); gas-fired boiler (peak/temporary) (2%)</t>
    </r>
  </si>
  <si>
    <t>Vattenfall Stadswarmte-etiket 2018</t>
  </si>
  <si>
    <t>B3-Hoek</t>
  </si>
  <si>
    <t>Gas power plant/cogeneration plant (60%); Waste processing plant (16%); 
Biomass power plant (21%); Peak gas boilers (3%)</t>
  </si>
  <si>
    <t>Den Haag</t>
  </si>
  <si>
    <t>Gas power plant/cogeneration plant (49%); Residual heat (21%); 
Peak gas boilers (30%)</t>
  </si>
  <si>
    <t>Ypenburg</t>
  </si>
  <si>
    <t>Gas power plant/cogeneration plant (62%); Residual heat (1%); 
Peak gas boilers (37%)</t>
  </si>
  <si>
    <t>Amsterdam Zuid en Oos incl. Amstelveen</t>
  </si>
  <si>
    <t>Vattenfall en Eneco</t>
  </si>
  <si>
    <r>
      <rPr>
        <b/>
        <sz val="11"/>
        <color theme="1"/>
        <rFont val="Aptos Narrow"/>
        <family val="2"/>
        <scheme val="minor"/>
      </rPr>
      <t>Eneco (Amstelveen):</t>
    </r>
    <r>
      <rPr>
        <sz val="11"/>
        <color theme="1"/>
        <rFont val="Aptos Narrow"/>
        <family val="2"/>
        <scheme val="minor"/>
      </rPr>
      <t xml:space="preserve"> Gas power plant/cogeneration plant (74%); Residual heat (3%); 
Peak gas boilers (23%) 
</t>
    </r>
    <r>
      <rPr>
        <b/>
        <sz val="11"/>
        <color theme="1"/>
        <rFont val="Aptos Narrow"/>
        <family val="2"/>
        <scheme val="minor"/>
      </rPr>
      <t>Vattenfall (Amsterdam Zuid en Oost):</t>
    </r>
    <r>
      <rPr>
        <sz val="11"/>
        <color theme="1"/>
        <rFont val="Aptos Narrow"/>
        <family val="2"/>
        <scheme val="minor"/>
      </rPr>
      <t xml:space="preserve"> gas-fired boiler (peak/temporary) (13%); Power station (gas) residual heat (87%)</t>
    </r>
  </si>
  <si>
    <t>Amsterdam Noord- en West</t>
  </si>
  <si>
    <t>Westpoort Warmte</t>
  </si>
  <si>
    <t>Waste incinerator (100%)</t>
  </si>
  <si>
    <t>Westpoort Warmte Jaarverslaag 2021</t>
  </si>
  <si>
    <t>Almere</t>
  </si>
  <si>
    <t>Vattenfall</t>
  </si>
  <si>
    <t>Zon (0,4%); Gas-fired boiler (peak/temporary) (6%); Power station (gas) residual heat (93%)</t>
  </si>
  <si>
    <t>Lelystad</t>
  </si>
  <si>
    <t>Biomass (wood) (46%); Gas-fired boiler (peak/temporary) (43%); Gas engines (CHP) (11%)</t>
  </si>
  <si>
    <t>Leidse regio</t>
  </si>
  <si>
    <t>Gas-fired boiler (peak/temporary) (28%); Power station (gas) residual heat (72%)</t>
  </si>
  <si>
    <t>Arnhem, Duiven en Westervoort</t>
  </si>
  <si>
    <t>Waste incineration plant residual heat (96%); Gas-fired boiler (peak/temporary) (4%)</t>
  </si>
  <si>
    <t>Nijmegen</t>
  </si>
  <si>
    <t>Waste incineration plant residual heat (95%); Gas-fired boiler (peak/temporary) (5%)</t>
  </si>
  <si>
    <t>Warmtenet Breda-Tilburg</t>
  </si>
  <si>
    <t>Ennatuurlijk</t>
  </si>
  <si>
    <t>Residual heat coal (53%); Biomass (31%); Bio oil (5%); Natural gas (11%)</t>
  </si>
  <si>
    <t>Ennatuurlijk Warmte-etiket 2019</t>
  </si>
  <si>
    <t>Enschede</t>
  </si>
  <si>
    <t>Residual heat waste incineration (24%); Biomass (72%); Biogas (4%)</t>
  </si>
  <si>
    <t>Helmond</t>
  </si>
  <si>
    <t>Natural gas (100%)</t>
  </si>
  <si>
    <t>Eindhoven</t>
  </si>
  <si>
    <t>Biomass(50%); Natural gas (50%)</t>
  </si>
  <si>
    <t>Maastricht (Ceramique)</t>
  </si>
  <si>
    <t>x</t>
  </si>
  <si>
    <t>Maastricht (Noord-Westentree)</t>
  </si>
  <si>
    <t>Residual heat industry (78%); Natural gas (22%)</t>
  </si>
  <si>
    <t>Leeuwarden</t>
  </si>
  <si>
    <t>Natural gas (99%); Biogas (1%)</t>
  </si>
  <si>
    <t>Alkmaar</t>
  </si>
  <si>
    <t>HVC</t>
  </si>
  <si>
    <t>Waste to energy plant (19%); Bio-energy plant (79%); Gas boilers (2%)</t>
  </si>
  <si>
    <t>HVC Warmte-etiket 2019</t>
  </si>
  <si>
    <t>Purmerend</t>
  </si>
  <si>
    <t>SVP</t>
  </si>
  <si>
    <t>Biomass (66%); Natural gas auxiliary heating plants (34%)</t>
  </si>
  <si>
    <t>SVP Warmte-etiket 2021</t>
  </si>
  <si>
    <t>Assendelft</t>
  </si>
  <si>
    <t>Gas engines (CHP) (74%); Gas boilers (24%)</t>
  </si>
  <si>
    <t>Dordrecht</t>
  </si>
  <si>
    <t>Wast to energy plant (89%); Gas boilers (11%)</t>
  </si>
  <si>
    <t>Total</t>
  </si>
  <si>
    <t>Gas power plant/cogeneration plant</t>
  </si>
  <si>
    <t xml:space="preserve"> Weighted  </t>
  </si>
  <si>
    <t>Waste processing plant/incinerator</t>
  </si>
  <si>
    <t xml:space="preserve"> Weighted </t>
  </si>
  <si>
    <t>Biomass power plant</t>
  </si>
  <si>
    <t>Residual heat (coal)</t>
  </si>
  <si>
    <t>Biogas</t>
  </si>
  <si>
    <t>Biooil</t>
  </si>
  <si>
    <t>Weighted</t>
  </si>
  <si>
    <t>Residual heat (industry)</t>
  </si>
  <si>
    <t>Sanity Check</t>
  </si>
  <si>
    <t>Total (%)</t>
  </si>
  <si>
    <t>Peak gas boilers</t>
  </si>
  <si>
    <t>Share</t>
  </si>
  <si>
    <t>Heat_Source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</si>
</sst>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1" fillId="0" borderId="0" xfId="1"/>
    <xf numFmtId="0" fontId="3" fillId="2" borderId="0" xfId="0" applyFont="1" applyFill="1" applyAlignment="1">
      <alignment wrapText="1"/>
    </xf>
    <xf numFmtId="0" fontId="1" fillId="0" borderId="0" xfId="1" applyAlignment="1">
      <alignment wrapText="1"/>
    </xf>
    <xf numFmtId="0" fontId="4" fillId="0" borderId="0" xfId="0" applyFont="1"/>
    <xf numFmtId="0" fontId="4" fillId="3" borderId="1" xfId="0" applyFont="1" applyFill="1" applyBorder="1"/>
    <xf numFmtId="0" fontId="4" fillId="0" borderId="1" xfId="0" applyFont="1" applyBorder="1"/>
    <xf numFmtId="0" fontId="0" fillId="0" borderId="1" xfId="0" applyBorder="1"/>
    <xf numFmtId="0" fontId="4" fillId="4" borderId="1" xfId="0" applyFont="1" applyFill="1" applyBorder="1"/>
    <xf numFmtId="9" fontId="4" fillId="3" borderId="1" xfId="0" applyNumberFormat="1" applyFont="1" applyFill="1" applyBorder="1"/>
    <xf numFmtId="9" fontId="0" fillId="3" borderId="1" xfId="0" applyNumberFormat="1" applyFill="1" applyBorder="1"/>
    <xf numFmtId="0" fontId="4" fillId="5" borderId="1" xfId="0" applyFont="1" applyFill="1" applyBorder="1"/>
    <xf numFmtId="0" fontId="0" fillId="5" borderId="1" xfId="0" applyFill="1" applyBorder="1"/>
    <xf numFmtId="164" fontId="4" fillId="0" borderId="1" xfId="0" applyNumberFormat="1" applyFont="1" applyBorder="1"/>
    <xf numFmtId="164" fontId="0" fillId="0" borderId="1" xfId="0" applyNumberFormat="1" applyBorder="1"/>
    <xf numFmtId="9" fontId="4" fillId="6" borderId="0" xfId="2" applyFont="1" applyFill="1"/>
    <xf numFmtId="9" fontId="0" fillId="6" borderId="0" xfId="2" applyFont="1" applyFill="1"/>
    <xf numFmtId="165" fontId="4" fillId="6" borderId="0" xfId="2" applyNumberFormat="1" applyFont="1" applyFill="1"/>
    <xf numFmtId="9" fontId="0" fillId="0" borderId="1" xfId="0" applyNumberFormat="1" applyBorder="1"/>
    <xf numFmtId="165" fontId="0" fillId="0" borderId="1" xfId="2" applyNumberFormat="1" applyFont="1" applyBorder="1"/>
    <xf numFmtId="0" fontId="0" fillId="7" borderId="1" xfId="0" applyFill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leshe\OneDrive\Desktop\Vattenfall-warmte-etiket_2018.pdf" TargetMode="External"/><Relationship Id="rId18" Type="http://schemas.openxmlformats.org/officeDocument/2006/relationships/hyperlink" Target="https://amsuni-my.sharepoint.com/personal/f_savini_uva_nl/Documents/DECYCLE/Degrowth%20housing%20scenario%20project/Desktop/ENNATUURLIJK_WARMTE%20ETIKET%202019.pdf" TargetMode="External"/><Relationship Id="rId26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39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21" Type="http://schemas.openxmlformats.org/officeDocument/2006/relationships/hyperlink" Target="https://amsuni-my.sharepoint.com/personal/f_savini_uva_nl/Documents/DECYCLE/Degrowth%20housing%20scenario%20project/Desktop/HVC-Warmte-etiket%202019_Alg_TOEGANKELIJK.pdf" TargetMode="External"/><Relationship Id="rId34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42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7" Type="http://schemas.openxmlformats.org/officeDocument/2006/relationships/hyperlink" Target="file:///C:\Users\leshe\OneDrive\Desktop\Vattenfall-warmte-etiket_2018.pdf" TargetMode="External"/><Relationship Id="rId2" Type="http://schemas.openxmlformats.org/officeDocument/2006/relationships/hyperlink" Target="https://www.eneco.nl/-/media/eneco-nl/files/warmte-etiket/eneco_warmte-etiket-2019.pdf?sc_lang=nl-nl&amp;rev=97a151965ef44c75a52b7017fa1a5f95&amp;hash=FD56E5375B557AAC5EDA9A20C35C3FDB" TargetMode="External"/><Relationship Id="rId16" Type="http://schemas.openxmlformats.org/officeDocument/2006/relationships/hyperlink" Target="https://amsuni-my.sharepoint.com/personal/f_savini_uva_nl/Documents/DECYCLE/Degrowth%20housing%20scenario%20project/Desktop/ENNATUURLIJK_WARMTE%20ETIKET%202019.pdf" TargetMode="External"/><Relationship Id="rId20" Type="http://schemas.openxmlformats.org/officeDocument/2006/relationships/hyperlink" Target="https://amsuni-my.sharepoint.com/personal/f_savini_uva_nl/Documents/DECYCLE/Degrowth%20housing%20scenario%20project/Desktop/ENNATUURLIJK_WARMTE%20ETIKET%202019.pdf" TargetMode="External"/><Relationship Id="rId29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41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1" Type="http://schemas.openxmlformats.org/officeDocument/2006/relationships/hyperlink" Target="https://www.eneco.nl/-/media/eneco-nl/files/warmte-etiket/eneco_warmte-etiket-2019.pdf?sc_lang=nl-nl&amp;rev=97a151965ef44c75a52b7017fa1a5f95&amp;hash=FD56E5375B557AAC5EDA9A20C35C3FDB" TargetMode="External"/><Relationship Id="rId6" Type="http://schemas.openxmlformats.org/officeDocument/2006/relationships/hyperlink" Target="https://www.eneco.nl/-/media/eneco-nl/files/warmte-etiket/eneco_warmte-etiket-2019.pdf?sc_lang=nl-nl&amp;rev=97a151965ef44c75a52b7017fa1a5f95&amp;hash=FD56E5375B557AAC5EDA9A20C35C3FDB" TargetMode="External"/><Relationship Id="rId11" Type="http://schemas.openxmlformats.org/officeDocument/2006/relationships/hyperlink" Target="file:///C:\Users\leshe\OneDrive\Desktop\Vattenfall-warmte-etiket_2018.pdf" TargetMode="External"/><Relationship Id="rId24" Type="http://schemas.openxmlformats.org/officeDocument/2006/relationships/hyperlink" Target="https://amsuni-my.sharepoint.com/personal/f_savini_uva_nl/Documents/DECYCLE/Degrowth%20housing%20scenario%20project/Desktop/SVP-Warmte-Etiket_A5_2021.pdf" TargetMode="External"/><Relationship Id="rId32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37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40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5" Type="http://schemas.openxmlformats.org/officeDocument/2006/relationships/hyperlink" Target="https://www.eneco.nl/-/media/eneco-nl/files/warmte-etiket/eneco_warmte-etiket-2019.pdf?sc_lang=nl-nl&amp;rev=97a151965ef44c75a52b7017fa1a5f95&amp;hash=FD56E5375B557AAC5EDA9A20C35C3FDB" TargetMode="External"/><Relationship Id="rId15" Type="http://schemas.openxmlformats.org/officeDocument/2006/relationships/hyperlink" Target="https://amsuni-my.sharepoint.com/personal/f_savini_uva_nl/Documents/DECYCLE/Degrowth%20housing%20scenario%20project/Desktop/ENNATUURLIJK_WARMTE%20ETIKET%202019.pdf" TargetMode="External"/><Relationship Id="rId23" Type="http://schemas.openxmlformats.org/officeDocument/2006/relationships/hyperlink" Target="https://amsuni-my.sharepoint.com/personal/f_savini_uva_nl/Documents/DECYCLE/Degrowth%20housing%20scenario%20project/Desktop/HVC-Warmte-etiket%202019_Alg_TOEGANKELIJK.pdf" TargetMode="External"/><Relationship Id="rId28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36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10" Type="http://schemas.openxmlformats.org/officeDocument/2006/relationships/hyperlink" Target="file:///C:\Users\leshe\OneDrive\Desktop\Vattenfall-warmte-etiket_2018.pdf" TargetMode="External"/><Relationship Id="rId19" Type="http://schemas.openxmlformats.org/officeDocument/2006/relationships/hyperlink" Target="https://amsuni-my.sharepoint.com/personal/f_savini_uva_nl/Documents/DECYCLE/Degrowth%20housing%20scenario%20project/Desktop/ENNATUURLIJK_WARMTE%20ETIKET%202019.pdf" TargetMode="External"/><Relationship Id="rId31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4" Type="http://schemas.openxmlformats.org/officeDocument/2006/relationships/hyperlink" Target="https://www.eneco.nl/-/media/eneco-nl/files/warmte-etiket/eneco_warmte-etiket-2019.pdf?sc_lang=nl-nl&amp;rev=97a151965ef44c75a52b7017fa1a5f95&amp;hash=FD56E5375B557AAC5EDA9A20C35C3FDB" TargetMode="External"/><Relationship Id="rId9" Type="http://schemas.openxmlformats.org/officeDocument/2006/relationships/hyperlink" Target="file:///C:\Users\leshe\OneDrive\Desktop\Vattenfall-warmte-etiket_2018.pdf" TargetMode="External"/><Relationship Id="rId14" Type="http://schemas.openxmlformats.org/officeDocument/2006/relationships/hyperlink" Target="https://amsuni-my.sharepoint.com/personal/f_savini_uva_nl/Documents/DECYCLE/Degrowth%20housing%20scenario%20project/Desktop/ENNATUURLIJK_WARMTE%20ETIKET%202019.pdf" TargetMode="External"/><Relationship Id="rId22" Type="http://schemas.openxmlformats.org/officeDocument/2006/relationships/hyperlink" Target="https://amsuni-my.sharepoint.com/personal/f_savini_uva_nl/Documents/DECYCLE/Degrowth%20housing%20scenario%20project/Desktop/HVC-Warmte-etiket%202019_Alg_TOEGANKELIJK.pdf" TargetMode="External"/><Relationship Id="rId27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30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35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43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8" Type="http://schemas.openxmlformats.org/officeDocument/2006/relationships/hyperlink" Target="file:///C:\Users\leshe\OneDrive\Desktop\Vattenfall-warmte-etiket_2018.pdf" TargetMode="External"/><Relationship Id="rId3" Type="http://schemas.openxmlformats.org/officeDocument/2006/relationships/hyperlink" Target="https://www.eneco.nl/-/media/eneco-nl/files/warmte-etiket/eneco_warmte-etiket-2019.pdf?sc_lang=nl-nl&amp;rev=97a151965ef44c75a52b7017fa1a5f95&amp;hash=FD56E5375B557AAC5EDA9A20C35C3FDB" TargetMode="External"/><Relationship Id="rId12" Type="http://schemas.openxmlformats.org/officeDocument/2006/relationships/hyperlink" Target="file:///C:\Users\leshe\OneDrive\Desktop\Vattenfall-warmte-etiket_2018.pdf" TargetMode="External"/><Relationship Id="rId17" Type="http://schemas.openxmlformats.org/officeDocument/2006/relationships/hyperlink" Target="https://amsuni-my.sharepoint.com/personal/f_savini_uva_nl/Documents/DECYCLE/Degrowth%20housing%20scenario%20project/Desktop/ENNATUURLIJK_WARMTE%20ETIKET%202019.pdf" TargetMode="External"/><Relationship Id="rId25" Type="http://schemas.openxmlformats.org/officeDocument/2006/relationships/hyperlink" Target="https://amsuni-my.sharepoint.com/personal/f_savini_uva_nl/Documents/DECYCLE/Degrowth%20housing%20scenario%20project/Desktop/westpoort-warmte-jaarverslag-260722.pdf" TargetMode="External"/><Relationship Id="rId33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Relationship Id="rId38" Type="http://schemas.openxmlformats.org/officeDocument/2006/relationships/hyperlink" Target="https://amsuni-my.sharepoint.com/personal/f_savini_uva_nl/Documents/DECYCLE/Degrowth%20housing%20scenario%20project/Environmental%20Impact%20Model%20(Set%20up,%20Data,%20Results)/Current%20Housing%20State/Dominant%20Housing%20System%20(Income%20Groups,%20Building%20Types)/Warmtemonitor%202019-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B78D-E0B7-4068-9041-25EE1114C448}">
  <dimension ref="A1:H25"/>
  <sheetViews>
    <sheetView topLeftCell="D1" workbookViewId="0">
      <selection activeCell="G2" sqref="G2"/>
    </sheetView>
  </sheetViews>
  <sheetFormatPr defaultRowHeight="14.25" x14ac:dyDescent="0.45"/>
  <cols>
    <col min="1" max="1" width="35.86328125" customWidth="1"/>
    <col min="2" max="2" width="23.73046875" customWidth="1"/>
    <col min="3" max="3" width="19.1328125" customWidth="1"/>
    <col min="4" max="4" width="17.265625" customWidth="1"/>
    <col min="5" max="5" width="18.86328125" customWidth="1"/>
    <col min="6" max="6" width="56.59765625" customWidth="1"/>
    <col min="7" max="7" width="29.1328125" customWidth="1"/>
    <col min="8" max="8" width="29" customWidth="1"/>
    <col min="9" max="9" width="15.59765625" customWidth="1"/>
    <col min="10" max="10" width="11.86328125" customWidth="1"/>
    <col min="11" max="11" width="12.3984375" customWidth="1"/>
    <col min="12" max="12" width="12.1328125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</row>
    <row r="2" spans="1:8" ht="42.75" x14ac:dyDescent="0.45">
      <c r="A2" t="s">
        <v>6</v>
      </c>
      <c r="B2">
        <v>54.4</v>
      </c>
      <c r="C2">
        <v>2.9</v>
      </c>
      <c r="D2" t="s">
        <v>7</v>
      </c>
      <c r="E2" s="3" t="s">
        <v>8</v>
      </c>
      <c r="F2" s="1" t="s">
        <v>9</v>
      </c>
      <c r="G2" s="3" t="s">
        <v>10</v>
      </c>
    </row>
    <row r="3" spans="1:8" ht="71.25" x14ac:dyDescent="0.45">
      <c r="A3" t="s">
        <v>11</v>
      </c>
      <c r="B3">
        <v>55.9</v>
      </c>
      <c r="C3">
        <v>3.4</v>
      </c>
      <c r="D3" t="s">
        <v>12</v>
      </c>
      <c r="E3" s="3" t="s">
        <v>8</v>
      </c>
      <c r="F3" s="4" t="s">
        <v>13</v>
      </c>
      <c r="G3" s="3" t="s">
        <v>10</v>
      </c>
      <c r="H3" s="3" t="s">
        <v>14</v>
      </c>
    </row>
    <row r="4" spans="1:8" ht="42.75" x14ac:dyDescent="0.45">
      <c r="A4" t="s">
        <v>15</v>
      </c>
      <c r="B4">
        <v>0.1</v>
      </c>
      <c r="C4">
        <v>1.6</v>
      </c>
      <c r="D4" t="s">
        <v>7</v>
      </c>
      <c r="E4" s="3" t="s">
        <v>8</v>
      </c>
      <c r="F4" s="1" t="s">
        <v>16</v>
      </c>
      <c r="G4" s="3" t="s">
        <v>10</v>
      </c>
    </row>
    <row r="5" spans="1:8" ht="28.5" x14ac:dyDescent="0.45">
      <c r="A5" t="s">
        <v>17</v>
      </c>
      <c r="B5">
        <v>6.6</v>
      </c>
      <c r="C5">
        <v>1.1000000000000001</v>
      </c>
      <c r="D5" t="s">
        <v>7</v>
      </c>
      <c r="E5" s="3" t="s">
        <v>8</v>
      </c>
      <c r="F5" s="1" t="s">
        <v>18</v>
      </c>
      <c r="G5" s="3" t="s">
        <v>10</v>
      </c>
    </row>
    <row r="6" spans="1:8" ht="28.5" x14ac:dyDescent="0.45">
      <c r="A6" t="s">
        <v>19</v>
      </c>
      <c r="B6">
        <v>10.199999999999999</v>
      </c>
      <c r="C6">
        <v>0.3</v>
      </c>
      <c r="D6" t="s">
        <v>7</v>
      </c>
      <c r="E6" s="3" t="s">
        <v>8</v>
      </c>
      <c r="F6" s="1" t="s">
        <v>20</v>
      </c>
      <c r="G6" s="3" t="s">
        <v>10</v>
      </c>
    </row>
    <row r="7" spans="1:8" ht="71.25" x14ac:dyDescent="0.45">
      <c r="A7" t="s">
        <v>21</v>
      </c>
      <c r="B7">
        <v>25</v>
      </c>
      <c r="C7">
        <v>1.8</v>
      </c>
      <c r="D7" t="s">
        <v>22</v>
      </c>
      <c r="E7" s="3" t="s">
        <v>8</v>
      </c>
      <c r="F7" s="4" t="s">
        <v>23</v>
      </c>
      <c r="G7" s="5" t="s">
        <v>10</v>
      </c>
      <c r="H7" s="3" t="s">
        <v>14</v>
      </c>
    </row>
    <row r="8" spans="1:8" x14ac:dyDescent="0.45">
      <c r="A8" t="s">
        <v>24</v>
      </c>
      <c r="B8">
        <v>17.399999999999999</v>
      </c>
      <c r="C8">
        <v>1</v>
      </c>
      <c r="D8" t="s">
        <v>25</v>
      </c>
      <c r="E8" s="3" t="s">
        <v>8</v>
      </c>
      <c r="F8" s="1" t="s">
        <v>26</v>
      </c>
      <c r="G8" s="3" t="s">
        <v>27</v>
      </c>
    </row>
    <row r="9" spans="1:8" ht="28.5" x14ac:dyDescent="0.45">
      <c r="A9" t="s">
        <v>28</v>
      </c>
      <c r="B9">
        <v>52.4</v>
      </c>
      <c r="C9">
        <v>1.9</v>
      </c>
      <c r="D9" t="s">
        <v>29</v>
      </c>
      <c r="E9" s="3" t="s">
        <v>8</v>
      </c>
      <c r="F9" s="1" t="s">
        <v>30</v>
      </c>
      <c r="G9" s="3" t="s">
        <v>14</v>
      </c>
    </row>
    <row r="10" spans="1:8" ht="28.5" x14ac:dyDescent="0.45">
      <c r="A10" t="s">
        <v>31</v>
      </c>
      <c r="B10">
        <v>4.8</v>
      </c>
      <c r="C10">
        <v>0.2</v>
      </c>
      <c r="D10" t="s">
        <v>29</v>
      </c>
      <c r="E10" s="3" t="s">
        <v>8</v>
      </c>
      <c r="F10" s="1" t="s">
        <v>32</v>
      </c>
      <c r="G10" s="3" t="s">
        <v>14</v>
      </c>
    </row>
    <row r="11" spans="1:8" ht="28.5" x14ac:dyDescent="0.45">
      <c r="A11" t="s">
        <v>33</v>
      </c>
      <c r="B11">
        <v>9.3000000000000007</v>
      </c>
      <c r="C11">
        <v>0.7</v>
      </c>
      <c r="D11" t="s">
        <v>29</v>
      </c>
      <c r="E11" s="3" t="s">
        <v>8</v>
      </c>
      <c r="F11" s="1" t="s">
        <v>34</v>
      </c>
      <c r="G11" s="3" t="s">
        <v>14</v>
      </c>
    </row>
    <row r="12" spans="1:8" ht="28.5" x14ac:dyDescent="0.45">
      <c r="A12" t="s">
        <v>35</v>
      </c>
      <c r="B12">
        <v>15.7</v>
      </c>
      <c r="C12">
        <v>0.7</v>
      </c>
      <c r="D12" t="s">
        <v>29</v>
      </c>
      <c r="E12" s="3" t="s">
        <v>8</v>
      </c>
      <c r="F12" s="1" t="s">
        <v>36</v>
      </c>
      <c r="G12" s="3" t="s">
        <v>14</v>
      </c>
    </row>
    <row r="13" spans="1:8" ht="28.5" x14ac:dyDescent="0.45">
      <c r="A13" t="s">
        <v>37</v>
      </c>
      <c r="B13">
        <v>6.3</v>
      </c>
      <c r="C13">
        <v>0.2</v>
      </c>
      <c r="D13" t="s">
        <v>29</v>
      </c>
      <c r="E13" s="3" t="s">
        <v>8</v>
      </c>
      <c r="F13" s="1" t="s">
        <v>38</v>
      </c>
      <c r="G13" s="3" t="s">
        <v>14</v>
      </c>
    </row>
    <row r="14" spans="1:8" ht="28.5" x14ac:dyDescent="0.45">
      <c r="A14" t="s">
        <v>39</v>
      </c>
      <c r="B14">
        <v>35.700000000000003</v>
      </c>
      <c r="C14">
        <v>2.4</v>
      </c>
      <c r="D14" t="s">
        <v>40</v>
      </c>
      <c r="E14" s="3" t="s">
        <v>8</v>
      </c>
      <c r="F14" s="1" t="s">
        <v>41</v>
      </c>
      <c r="G14" s="3" t="s">
        <v>42</v>
      </c>
    </row>
    <row r="15" spans="1:8" x14ac:dyDescent="0.45">
      <c r="A15" t="s">
        <v>43</v>
      </c>
      <c r="B15">
        <v>5</v>
      </c>
      <c r="C15">
        <v>0.5</v>
      </c>
      <c r="D15" t="s">
        <v>40</v>
      </c>
      <c r="E15" s="3" t="s">
        <v>8</v>
      </c>
      <c r="F15" s="1" t="s">
        <v>44</v>
      </c>
      <c r="G15" s="3" t="s">
        <v>42</v>
      </c>
    </row>
    <row r="16" spans="1:8" x14ac:dyDescent="0.45">
      <c r="A16" t="s">
        <v>45</v>
      </c>
      <c r="B16">
        <v>6.4</v>
      </c>
      <c r="C16">
        <v>0.3</v>
      </c>
      <c r="D16" t="s">
        <v>40</v>
      </c>
      <c r="E16" s="3" t="s">
        <v>8</v>
      </c>
      <c r="F16" s="1" t="s">
        <v>46</v>
      </c>
      <c r="G16" s="3" t="s">
        <v>42</v>
      </c>
    </row>
    <row r="17" spans="1:7" x14ac:dyDescent="0.45">
      <c r="A17" t="s">
        <v>47</v>
      </c>
      <c r="B17">
        <v>2.6</v>
      </c>
      <c r="C17">
        <v>0.2</v>
      </c>
      <c r="D17" t="s">
        <v>40</v>
      </c>
      <c r="E17" s="3" t="s">
        <v>8</v>
      </c>
      <c r="F17" s="1" t="s">
        <v>48</v>
      </c>
      <c r="G17" s="3" t="s">
        <v>42</v>
      </c>
    </row>
    <row r="18" spans="1:7" x14ac:dyDescent="0.45">
      <c r="A18" t="s">
        <v>49</v>
      </c>
      <c r="B18" t="s">
        <v>50</v>
      </c>
      <c r="C18" t="s">
        <v>50</v>
      </c>
      <c r="D18" t="s">
        <v>40</v>
      </c>
      <c r="E18" s="3"/>
      <c r="F18" s="1" t="s">
        <v>46</v>
      </c>
      <c r="G18" s="3" t="s">
        <v>42</v>
      </c>
    </row>
    <row r="19" spans="1:7" x14ac:dyDescent="0.45">
      <c r="A19" t="s">
        <v>51</v>
      </c>
      <c r="B19" t="s">
        <v>50</v>
      </c>
      <c r="C19" t="s">
        <v>50</v>
      </c>
      <c r="D19" t="s">
        <v>40</v>
      </c>
      <c r="E19" s="3"/>
      <c r="F19" s="1" t="s">
        <v>52</v>
      </c>
      <c r="G19" s="3" t="s">
        <v>42</v>
      </c>
    </row>
    <row r="20" spans="1:7" x14ac:dyDescent="0.45">
      <c r="A20" t="s">
        <v>53</v>
      </c>
      <c r="B20" t="s">
        <v>50</v>
      </c>
      <c r="C20" t="s">
        <v>50</v>
      </c>
      <c r="D20" t="s">
        <v>40</v>
      </c>
      <c r="F20" s="1" t="s">
        <v>54</v>
      </c>
      <c r="G20" s="3" t="s">
        <v>42</v>
      </c>
    </row>
    <row r="21" spans="1:7" x14ac:dyDescent="0.45">
      <c r="A21" t="s">
        <v>55</v>
      </c>
      <c r="B21">
        <v>5.7</v>
      </c>
      <c r="C21">
        <v>0.4</v>
      </c>
      <c r="D21" t="s">
        <v>56</v>
      </c>
      <c r="E21" s="3" t="s">
        <v>8</v>
      </c>
      <c r="F21" s="1" t="s">
        <v>57</v>
      </c>
      <c r="G21" s="3" t="s">
        <v>58</v>
      </c>
    </row>
    <row r="22" spans="1:7" x14ac:dyDescent="0.45">
      <c r="A22" t="s">
        <v>59</v>
      </c>
      <c r="B22">
        <v>26.9</v>
      </c>
      <c r="C22">
        <v>0.8</v>
      </c>
      <c r="D22" t="s">
        <v>60</v>
      </c>
      <c r="E22" s="3" t="s">
        <v>8</v>
      </c>
      <c r="F22" s="1" t="s">
        <v>61</v>
      </c>
      <c r="G22" s="3" t="s">
        <v>62</v>
      </c>
    </row>
    <row r="23" spans="1:7" x14ac:dyDescent="0.45">
      <c r="A23" t="s">
        <v>63</v>
      </c>
      <c r="B23" t="s">
        <v>50</v>
      </c>
      <c r="C23" t="s">
        <v>50</v>
      </c>
      <c r="D23" t="s">
        <v>56</v>
      </c>
      <c r="F23" s="1" t="s">
        <v>64</v>
      </c>
      <c r="G23" s="3" t="s">
        <v>58</v>
      </c>
    </row>
    <row r="24" spans="1:7" x14ac:dyDescent="0.45">
      <c r="A24" t="s">
        <v>65</v>
      </c>
      <c r="B24" t="s">
        <v>50</v>
      </c>
      <c r="C24" t="s">
        <v>50</v>
      </c>
      <c r="D24" t="s">
        <v>56</v>
      </c>
      <c r="F24" s="1" t="s">
        <v>66</v>
      </c>
      <c r="G24" s="3" t="s">
        <v>58</v>
      </c>
    </row>
    <row r="25" spans="1:7" x14ac:dyDescent="0.45">
      <c r="A25" t="s">
        <v>67</v>
      </c>
      <c r="B25">
        <f>SUM(B2:B24)</f>
        <v>340.4</v>
      </c>
      <c r="C25">
        <f>SUM(C2:C24)</f>
        <v>20.399999999999999</v>
      </c>
    </row>
  </sheetData>
  <hyperlinks>
    <hyperlink ref="G2" r:id="rId1" xr:uid="{C4947294-C4C2-4CA4-8612-9C0856F1BDBA}"/>
    <hyperlink ref="G3" r:id="rId2" xr:uid="{B07D226D-40E9-4C48-9AAB-A4462836B502}"/>
    <hyperlink ref="G4" r:id="rId3" xr:uid="{DC9F3011-3A13-4BFA-B641-82697FF46FEB}"/>
    <hyperlink ref="G5" r:id="rId4" xr:uid="{3106F57B-9851-4887-AA72-22AA39F38FFC}"/>
    <hyperlink ref="G6" r:id="rId5" xr:uid="{1B1E9E4F-FC99-4E15-AD67-E40A3447700E}"/>
    <hyperlink ref="G7" r:id="rId6" xr:uid="{CDC85097-2288-47F1-B109-54C064A4DA59}"/>
    <hyperlink ref="G9" r:id="rId7" xr:uid="{E6DA3CC9-D14E-4146-8859-C917B1320072}"/>
    <hyperlink ref="G10" r:id="rId8" xr:uid="{B8243BC4-DB62-4495-A0EE-94F844650552}"/>
    <hyperlink ref="G11" r:id="rId9" xr:uid="{AE9A32AC-0A39-44A8-BF83-70214826EA55}"/>
    <hyperlink ref="G12" r:id="rId10" xr:uid="{8D891144-EBCA-4CE5-9E21-AF392912EEDD}"/>
    <hyperlink ref="G13" r:id="rId11" xr:uid="{DB3483B9-F1B8-465D-B52F-DD73B6246961}"/>
    <hyperlink ref="H7" r:id="rId12" xr:uid="{ECD2C261-6CFF-4F5A-9727-4E911924AAB9}"/>
    <hyperlink ref="H3" r:id="rId13" xr:uid="{3FC504CE-BCBE-4E41-9D9D-C834B4F8ADF3}"/>
    <hyperlink ref="G14" r:id="rId14" xr:uid="{E6C3BDB1-A0FD-45BF-A8D9-99BE26D55733}"/>
    <hyperlink ref="G15" r:id="rId15" xr:uid="{C102BB14-865C-4474-A23C-287101D9E4DA}"/>
    <hyperlink ref="G16" r:id="rId16" xr:uid="{F94EEED6-E8E3-4AEC-B4B2-4BE5EFB2B6BA}"/>
    <hyperlink ref="G17" r:id="rId17" xr:uid="{C54FD0C6-99B6-4FA9-98B1-8D835A48BDD1}"/>
    <hyperlink ref="G18" r:id="rId18" xr:uid="{DEDF9E52-1E3D-46D0-AF1F-A9B0F17A6D76}"/>
    <hyperlink ref="G19" r:id="rId19" xr:uid="{F594E5C0-0452-4683-AA3A-89DE80492246}"/>
    <hyperlink ref="G20" r:id="rId20" xr:uid="{C931AC9B-ABAC-4C20-8485-1A12621A4986}"/>
    <hyperlink ref="G21" r:id="rId21" xr:uid="{B71C0760-05D7-4D24-9098-9DAEB0778CD3}"/>
    <hyperlink ref="G23" r:id="rId22" xr:uid="{00665CED-49A8-4CEE-AEDD-2A3688B82A78}"/>
    <hyperlink ref="G24" r:id="rId23" xr:uid="{2C460433-2F94-4F5C-8917-DE25BDB35CBA}"/>
    <hyperlink ref="G22" r:id="rId24" xr:uid="{6F381BB8-2B7E-4036-9AD6-C42CC243B8E5}"/>
    <hyperlink ref="G8" r:id="rId25" xr:uid="{B9CDEDFC-36EF-4B90-9BE8-430FCCC9D5A0}"/>
    <hyperlink ref="E2" r:id="rId26" xr:uid="{C37DE9DD-AA8C-43B7-A8F3-E10A27C875D8}"/>
    <hyperlink ref="E3" r:id="rId27" xr:uid="{880021FC-CF93-4AE2-ABE2-B39898E6A547}"/>
    <hyperlink ref="E4" r:id="rId28" xr:uid="{C53BF736-7339-461D-A477-B8DF0DA513D6}"/>
    <hyperlink ref="E5" r:id="rId29" xr:uid="{0CDEFC05-40D6-45FA-AAD3-87E7D4E77CCA}"/>
    <hyperlink ref="E6" r:id="rId30" xr:uid="{3FACC24C-07CE-4198-941D-5D6E8B50D381}"/>
    <hyperlink ref="E7" r:id="rId31" xr:uid="{3C4CCFC7-0C87-448D-AA1A-F046ED5A5EE3}"/>
    <hyperlink ref="E8" r:id="rId32" xr:uid="{351075E2-946D-4FA6-B4C3-40CC662CD01D}"/>
    <hyperlink ref="E9" r:id="rId33" xr:uid="{B1F21D0B-0D78-40B2-ACB8-6726ED7523E1}"/>
    <hyperlink ref="E10" r:id="rId34" xr:uid="{EE0E1758-1128-4AF3-80AE-70E292BA31CE}"/>
    <hyperlink ref="E11" r:id="rId35" xr:uid="{3790EC58-BEBC-4050-8D82-AF9573DD01D3}"/>
    <hyperlink ref="E12" r:id="rId36" xr:uid="{21D1A538-0FC8-45E4-B26A-7AC49EBA220B}"/>
    <hyperlink ref="E13" r:id="rId37" xr:uid="{6207BD9F-47F8-4A98-9D30-18C38494306D}"/>
    <hyperlink ref="E14" r:id="rId38" xr:uid="{7AC85A13-183A-420B-9386-FD0346AB6F84}"/>
    <hyperlink ref="E15" r:id="rId39" xr:uid="{696A872A-440F-42DF-9A19-2023A1ED9027}"/>
    <hyperlink ref="E16" r:id="rId40" xr:uid="{5A326022-556B-49F8-AAC6-E036D46B4930}"/>
    <hyperlink ref="E17" r:id="rId41" xr:uid="{CA1457F8-B4EA-442B-906C-9DD26FDEFDD5}"/>
    <hyperlink ref="E21" r:id="rId42" xr:uid="{3EF42F89-252C-451C-9CC0-F8FD99D47A2C}"/>
    <hyperlink ref="E22" r:id="rId43" xr:uid="{2EDB124D-9465-438D-8296-E6E7FC3086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DC15-0AA9-4C30-AC95-68925AD22B21}">
  <dimension ref="A1:S22"/>
  <sheetViews>
    <sheetView workbookViewId="0">
      <selection activeCell="C1" sqref="C1"/>
    </sheetView>
  </sheetViews>
  <sheetFormatPr defaultRowHeight="14.25" x14ac:dyDescent="0.45"/>
  <cols>
    <col min="1" max="1" width="23" customWidth="1"/>
    <col min="19" max="19" width="12.3984375" customWidth="1"/>
  </cols>
  <sheetData>
    <row r="1" spans="1:19" x14ac:dyDescent="0.45">
      <c r="A1" s="10" t="s">
        <v>0</v>
      </c>
      <c r="B1" s="10" t="s">
        <v>2</v>
      </c>
      <c r="C1" s="7" t="s">
        <v>68</v>
      </c>
      <c r="D1" s="8" t="s">
        <v>69</v>
      </c>
      <c r="E1" s="7" t="s">
        <v>70</v>
      </c>
      <c r="F1" s="8" t="s">
        <v>71</v>
      </c>
      <c r="G1" s="7" t="s">
        <v>77</v>
      </c>
      <c r="H1" s="8" t="s">
        <v>71</v>
      </c>
      <c r="I1" s="7" t="s">
        <v>72</v>
      </c>
      <c r="J1" s="8" t="s">
        <v>71</v>
      </c>
      <c r="K1" s="7" t="s">
        <v>80</v>
      </c>
      <c r="L1" s="8" t="s">
        <v>71</v>
      </c>
      <c r="M1" s="7" t="s">
        <v>73</v>
      </c>
      <c r="N1" s="8" t="s">
        <v>71</v>
      </c>
      <c r="O1" s="7" t="s">
        <v>74</v>
      </c>
      <c r="P1" s="8" t="s">
        <v>71</v>
      </c>
      <c r="Q1" s="2" t="s">
        <v>75</v>
      </c>
      <c r="R1" s="9" t="s">
        <v>76</v>
      </c>
      <c r="S1" s="2" t="s">
        <v>78</v>
      </c>
    </row>
    <row r="2" spans="1:19" x14ac:dyDescent="0.45">
      <c r="A2" s="7" t="s">
        <v>6</v>
      </c>
      <c r="B2" s="7">
        <v>2.9</v>
      </c>
      <c r="C2" s="11">
        <v>0.72</v>
      </c>
      <c r="D2" s="8">
        <f t="shared" ref="D2:D7" si="0">C2*B2</f>
        <v>2.0880000000000001</v>
      </c>
      <c r="E2" s="7"/>
      <c r="F2" s="8"/>
      <c r="G2" s="7"/>
      <c r="H2" s="8"/>
      <c r="I2" s="11">
        <v>0.1</v>
      </c>
      <c r="J2" s="15">
        <f>I2*B2</f>
        <v>0.28999999999999998</v>
      </c>
      <c r="K2" s="11">
        <v>0.18</v>
      </c>
      <c r="L2" s="8">
        <f t="shared" ref="L2:L7" si="1">K2*B2</f>
        <v>0.52200000000000002</v>
      </c>
      <c r="M2" s="7"/>
      <c r="N2" s="8"/>
      <c r="O2" s="7"/>
      <c r="P2" s="8"/>
      <c r="Q2" s="2"/>
      <c r="R2" s="9"/>
      <c r="S2" s="12">
        <f>SUM(C2,I2,K2)</f>
        <v>1</v>
      </c>
    </row>
    <row r="3" spans="1:19" x14ac:dyDescent="0.45">
      <c r="A3" s="7" t="s">
        <v>11</v>
      </c>
      <c r="B3" s="7">
        <v>3.4</v>
      </c>
      <c r="C3" s="11">
        <v>7.0000000000000007E-2</v>
      </c>
      <c r="D3" s="8">
        <f t="shared" si="0"/>
        <v>0.23800000000000002</v>
      </c>
      <c r="E3" s="11">
        <v>0.54</v>
      </c>
      <c r="F3" s="8">
        <f>E3*B3</f>
        <v>1.8360000000000001</v>
      </c>
      <c r="G3" s="11">
        <v>0.18</v>
      </c>
      <c r="H3" s="8">
        <f>G3*B3</f>
        <v>0.61199999999999999</v>
      </c>
      <c r="I3" s="11">
        <v>0.15</v>
      </c>
      <c r="J3" s="15">
        <f>I3*B3</f>
        <v>0.51</v>
      </c>
      <c r="K3" s="11">
        <v>0.06</v>
      </c>
      <c r="L3" s="8">
        <f t="shared" si="1"/>
        <v>0.20399999999999999</v>
      </c>
      <c r="M3" s="7"/>
      <c r="N3" s="8"/>
      <c r="O3" s="7"/>
      <c r="P3" s="8"/>
      <c r="Q3" s="2"/>
      <c r="R3" s="9"/>
      <c r="S3" s="12">
        <f>SUM(C3,E3,G3,I3,K3)</f>
        <v>1</v>
      </c>
    </row>
    <row r="4" spans="1:19" x14ac:dyDescent="0.45">
      <c r="A4" s="7" t="s">
        <v>15</v>
      </c>
      <c r="B4" s="7">
        <v>1.6</v>
      </c>
      <c r="C4" s="11">
        <v>0.6</v>
      </c>
      <c r="D4" s="15">
        <f t="shared" si="0"/>
        <v>0.96</v>
      </c>
      <c r="E4" s="11">
        <v>0.16</v>
      </c>
      <c r="F4" s="8">
        <f>E4*B4</f>
        <v>0.25600000000000001</v>
      </c>
      <c r="G4" s="7"/>
      <c r="H4" s="8"/>
      <c r="I4" s="11">
        <v>0.21</v>
      </c>
      <c r="J4" s="8">
        <f>I4*B4</f>
        <v>0.33600000000000002</v>
      </c>
      <c r="K4" s="11">
        <v>0.03</v>
      </c>
      <c r="L4" s="8">
        <f t="shared" si="1"/>
        <v>4.8000000000000001E-2</v>
      </c>
      <c r="M4" s="7"/>
      <c r="N4" s="8"/>
      <c r="O4" s="7"/>
      <c r="P4" s="8"/>
      <c r="Q4" s="2"/>
      <c r="R4" s="9"/>
      <c r="S4" s="12">
        <f>SUM(C4,E4,I4,K4)</f>
        <v>1</v>
      </c>
    </row>
    <row r="5" spans="1:19" x14ac:dyDescent="0.45">
      <c r="A5" s="7" t="s">
        <v>17</v>
      </c>
      <c r="B5" s="7">
        <v>1.1000000000000001</v>
      </c>
      <c r="C5" s="11">
        <v>0.49</v>
      </c>
      <c r="D5" s="8">
        <f t="shared" si="0"/>
        <v>0.53900000000000003</v>
      </c>
      <c r="E5" s="7"/>
      <c r="F5" s="8"/>
      <c r="G5" s="11">
        <v>0.21</v>
      </c>
      <c r="H5" s="8">
        <f>G5*B5</f>
        <v>0.23100000000000001</v>
      </c>
      <c r="I5" s="7"/>
      <c r="J5" s="8"/>
      <c r="K5" s="11">
        <v>0.3</v>
      </c>
      <c r="L5" s="15">
        <f t="shared" si="1"/>
        <v>0.33</v>
      </c>
      <c r="M5" s="7"/>
      <c r="N5" s="8"/>
      <c r="O5" s="7"/>
      <c r="P5" s="8"/>
      <c r="Q5" s="2"/>
      <c r="R5" s="9"/>
      <c r="S5" s="12">
        <f>SUM(C5,G5,K5)</f>
        <v>1</v>
      </c>
    </row>
    <row r="6" spans="1:19" x14ac:dyDescent="0.45">
      <c r="A6" s="7" t="s">
        <v>19</v>
      </c>
      <c r="B6" s="7">
        <v>0.3</v>
      </c>
      <c r="C6" s="11">
        <v>0.62</v>
      </c>
      <c r="D6" s="8">
        <f t="shared" si="0"/>
        <v>0.186</v>
      </c>
      <c r="E6" s="7"/>
      <c r="F6" s="8"/>
      <c r="G6" s="11">
        <v>0.01</v>
      </c>
      <c r="H6" s="8">
        <f>G6*B6</f>
        <v>3.0000000000000001E-3</v>
      </c>
      <c r="I6" s="7"/>
      <c r="J6" s="8"/>
      <c r="K6" s="11">
        <v>0.37</v>
      </c>
      <c r="L6" s="8">
        <f t="shared" si="1"/>
        <v>0.111</v>
      </c>
      <c r="M6" s="7"/>
      <c r="N6" s="8"/>
      <c r="O6" s="7"/>
      <c r="P6" s="8"/>
      <c r="Q6" s="2"/>
      <c r="R6" s="9"/>
      <c r="S6" s="12">
        <f>SUM(C6,G6,K6)</f>
        <v>1</v>
      </c>
    </row>
    <row r="7" spans="1:19" x14ac:dyDescent="0.45">
      <c r="A7" s="7" t="s">
        <v>21</v>
      </c>
      <c r="B7" s="7">
        <v>1.8</v>
      </c>
      <c r="C7" s="11">
        <v>0.74</v>
      </c>
      <c r="D7" s="8">
        <f t="shared" si="0"/>
        <v>1.3320000000000001</v>
      </c>
      <c r="E7" s="7"/>
      <c r="F7" s="8"/>
      <c r="G7" s="11">
        <v>0.03</v>
      </c>
      <c r="H7" s="8">
        <f>G7*B7</f>
        <v>5.3999999999999999E-2</v>
      </c>
      <c r="I7" s="7"/>
      <c r="J7" s="8"/>
      <c r="K7" s="11">
        <v>0.23</v>
      </c>
      <c r="L7" s="8">
        <f t="shared" si="1"/>
        <v>0.41400000000000003</v>
      </c>
      <c r="M7" s="7"/>
      <c r="N7" s="8"/>
      <c r="O7" s="7"/>
      <c r="P7" s="8"/>
      <c r="Q7" s="2"/>
      <c r="R7" s="9"/>
      <c r="S7" s="12">
        <f>SUM(C7,G7,K7)</f>
        <v>1</v>
      </c>
    </row>
    <row r="8" spans="1:19" x14ac:dyDescent="0.45">
      <c r="A8" s="7" t="s">
        <v>24</v>
      </c>
      <c r="B8" s="7">
        <v>1</v>
      </c>
      <c r="C8" s="7"/>
      <c r="D8" s="8"/>
      <c r="E8" s="11">
        <v>1</v>
      </c>
      <c r="F8" s="8">
        <f>E8*B8</f>
        <v>1</v>
      </c>
      <c r="G8" s="7"/>
      <c r="H8" s="8"/>
      <c r="I8" s="7"/>
      <c r="J8" s="8"/>
      <c r="K8" s="7"/>
      <c r="L8" s="8"/>
      <c r="M8" s="7"/>
      <c r="N8" s="8"/>
      <c r="O8" s="7"/>
      <c r="P8" s="8"/>
      <c r="Q8" s="2"/>
      <c r="R8" s="9"/>
      <c r="S8" s="12">
        <f>SUM(E8)</f>
        <v>1</v>
      </c>
    </row>
    <row r="9" spans="1:19" x14ac:dyDescent="0.45">
      <c r="A9" s="7" t="s">
        <v>28</v>
      </c>
      <c r="B9" s="7">
        <v>1.9</v>
      </c>
      <c r="C9" s="11">
        <v>0.93</v>
      </c>
      <c r="D9" s="8">
        <f>C9*B9</f>
        <v>1.7669999999999999</v>
      </c>
      <c r="E9" s="7"/>
      <c r="F9" s="8"/>
      <c r="G9" s="7"/>
      <c r="H9" s="8"/>
      <c r="I9" s="7"/>
      <c r="J9" s="8"/>
      <c r="K9" s="11">
        <v>7.0000000000000007E-2</v>
      </c>
      <c r="L9" s="8">
        <f>K9*B9</f>
        <v>0.13300000000000001</v>
      </c>
      <c r="M9" s="7"/>
      <c r="N9" s="8"/>
      <c r="O9" s="7"/>
      <c r="P9" s="8"/>
      <c r="Q9" s="2"/>
      <c r="R9" s="9"/>
      <c r="S9" s="12">
        <f>SUM(C9,K9)</f>
        <v>1</v>
      </c>
    </row>
    <row r="10" spans="1:19" x14ac:dyDescent="0.45">
      <c r="A10" s="7" t="s">
        <v>31</v>
      </c>
      <c r="B10" s="7">
        <v>0.2</v>
      </c>
      <c r="C10" s="11">
        <v>0.11</v>
      </c>
      <c r="D10" s="8">
        <f>C10*B10</f>
        <v>2.2000000000000002E-2</v>
      </c>
      <c r="E10" s="7"/>
      <c r="F10" s="8"/>
      <c r="G10" s="7"/>
      <c r="H10" s="8"/>
      <c r="I10" s="11">
        <v>0.46</v>
      </c>
      <c r="J10" s="8">
        <f>I10*B10</f>
        <v>9.2000000000000012E-2</v>
      </c>
      <c r="K10" s="11">
        <v>0.43</v>
      </c>
      <c r="L10" s="8">
        <f>K10*B10</f>
        <v>8.6000000000000007E-2</v>
      </c>
      <c r="M10" s="7"/>
      <c r="N10" s="8"/>
      <c r="O10" s="7"/>
      <c r="P10" s="8"/>
      <c r="Q10" s="2"/>
      <c r="R10" s="9"/>
      <c r="S10" s="12">
        <f>SUM(C10,I10,K10)</f>
        <v>1</v>
      </c>
    </row>
    <row r="11" spans="1:19" x14ac:dyDescent="0.45">
      <c r="A11" s="7" t="s">
        <v>33</v>
      </c>
      <c r="B11" s="7">
        <v>0.7</v>
      </c>
      <c r="C11" s="11">
        <v>0.72</v>
      </c>
      <c r="D11" s="8">
        <f>C11*B11</f>
        <v>0.504</v>
      </c>
      <c r="E11" s="7"/>
      <c r="F11" s="8"/>
      <c r="G11" s="7"/>
      <c r="H11" s="8"/>
      <c r="I11" s="7"/>
      <c r="J11" s="8"/>
      <c r="K11" s="11">
        <v>0.28000000000000003</v>
      </c>
      <c r="L11" s="8">
        <f>K11*B11</f>
        <v>0.19600000000000001</v>
      </c>
      <c r="M11" s="7"/>
      <c r="N11" s="8"/>
      <c r="O11" s="7"/>
      <c r="P11" s="8"/>
      <c r="Q11" s="2"/>
      <c r="R11" s="9"/>
      <c r="S11" s="12">
        <f>SUM(C11,K11)</f>
        <v>1</v>
      </c>
    </row>
    <row r="12" spans="1:19" x14ac:dyDescent="0.45">
      <c r="A12" s="7" t="s">
        <v>35</v>
      </c>
      <c r="B12" s="7">
        <v>0.7</v>
      </c>
      <c r="C12" s="7"/>
      <c r="D12" s="8"/>
      <c r="E12" s="11">
        <v>0.96</v>
      </c>
      <c r="F12" s="8">
        <f>E12*B12</f>
        <v>0.67199999999999993</v>
      </c>
      <c r="G12" s="7"/>
      <c r="H12" s="8"/>
      <c r="I12" s="7"/>
      <c r="J12" s="8"/>
      <c r="K12" s="11">
        <v>0.04</v>
      </c>
      <c r="L12" s="8">
        <f>K12*B12</f>
        <v>2.7999999999999997E-2</v>
      </c>
      <c r="M12" s="7"/>
      <c r="N12" s="8"/>
      <c r="O12" s="7"/>
      <c r="P12" s="8"/>
      <c r="Q12" s="2"/>
      <c r="R12" s="9"/>
      <c r="S12" s="12">
        <f>SUM(E12,K12)</f>
        <v>1</v>
      </c>
    </row>
    <row r="13" spans="1:19" x14ac:dyDescent="0.45">
      <c r="A13" s="7" t="s">
        <v>37</v>
      </c>
      <c r="B13" s="7">
        <v>0.2</v>
      </c>
      <c r="C13" s="7"/>
      <c r="D13" s="8"/>
      <c r="E13" s="11">
        <v>0.95</v>
      </c>
      <c r="F13" s="15">
        <f>E13*B13</f>
        <v>0.19</v>
      </c>
      <c r="G13" s="7"/>
      <c r="H13" s="8"/>
      <c r="I13" s="7"/>
      <c r="J13" s="8"/>
      <c r="K13" s="11">
        <v>0.05</v>
      </c>
      <c r="L13" s="15">
        <f>K13*B13</f>
        <v>1.0000000000000002E-2</v>
      </c>
      <c r="M13" s="7"/>
      <c r="N13" s="8"/>
      <c r="O13" s="7"/>
      <c r="P13" s="8"/>
      <c r="Q13" s="2"/>
      <c r="R13" s="9"/>
      <c r="S13" s="12">
        <f>SUM(E13,K13)</f>
        <v>1</v>
      </c>
    </row>
    <row r="14" spans="1:19" x14ac:dyDescent="0.45">
      <c r="A14" s="7" t="s">
        <v>39</v>
      </c>
      <c r="B14" s="7">
        <v>2.4</v>
      </c>
      <c r="C14" s="11">
        <v>0.11</v>
      </c>
      <c r="D14" s="8">
        <f>C14*B14</f>
        <v>0.26400000000000001</v>
      </c>
      <c r="E14" s="7"/>
      <c r="F14" s="8"/>
      <c r="G14" s="7"/>
      <c r="H14" s="8"/>
      <c r="I14" s="11">
        <v>0.31</v>
      </c>
      <c r="J14" s="8">
        <f>I14*B14</f>
        <v>0.74399999999999999</v>
      </c>
      <c r="K14" s="7"/>
      <c r="L14" s="8"/>
      <c r="M14" s="11">
        <v>0.53</v>
      </c>
      <c r="N14" s="8">
        <f>M14*B14</f>
        <v>1.272</v>
      </c>
      <c r="O14" s="7"/>
      <c r="P14" s="8"/>
      <c r="Q14" s="12">
        <v>0.05</v>
      </c>
      <c r="R14" s="16">
        <f>Q14*B14</f>
        <v>0.12</v>
      </c>
      <c r="S14" s="12">
        <f>SUM(C14,I14,M14,Q14)</f>
        <v>1</v>
      </c>
    </row>
    <row r="15" spans="1:19" x14ac:dyDescent="0.45">
      <c r="A15" s="7" t="s">
        <v>43</v>
      </c>
      <c r="B15" s="7">
        <v>0.5</v>
      </c>
      <c r="C15" s="7"/>
      <c r="D15" s="8"/>
      <c r="E15" s="11">
        <v>0.24</v>
      </c>
      <c r="F15" s="15">
        <f>E15*B15</f>
        <v>0.12</v>
      </c>
      <c r="G15" s="7"/>
      <c r="H15" s="8"/>
      <c r="I15" s="11">
        <v>0.72</v>
      </c>
      <c r="J15" s="15">
        <f>I15*B15</f>
        <v>0.36</v>
      </c>
      <c r="K15" s="7"/>
      <c r="L15" s="8"/>
      <c r="M15" s="7"/>
      <c r="N15" s="8"/>
      <c r="O15" s="11">
        <v>0.04</v>
      </c>
      <c r="P15" s="15">
        <f>O15*B15</f>
        <v>0.02</v>
      </c>
      <c r="Q15" s="2"/>
      <c r="R15" s="9"/>
      <c r="S15" s="12">
        <f>SUM(E15,I15,O15)</f>
        <v>1</v>
      </c>
    </row>
    <row r="16" spans="1:19" x14ac:dyDescent="0.45">
      <c r="A16" s="7" t="s">
        <v>45</v>
      </c>
      <c r="B16" s="7">
        <v>0.3</v>
      </c>
      <c r="C16" s="11">
        <v>1</v>
      </c>
      <c r="D16" s="15">
        <f>C16*B16</f>
        <v>0.3</v>
      </c>
      <c r="E16" s="7"/>
      <c r="F16" s="8"/>
      <c r="G16" s="7"/>
      <c r="H16" s="8"/>
      <c r="I16" s="7"/>
      <c r="J16" s="8"/>
      <c r="K16" s="7"/>
      <c r="L16" s="8"/>
      <c r="M16" s="7"/>
      <c r="N16" s="8"/>
      <c r="O16" s="7"/>
      <c r="P16" s="8"/>
      <c r="Q16" s="2"/>
      <c r="R16" s="9"/>
      <c r="S16" s="12">
        <f>SUM(C16)</f>
        <v>1</v>
      </c>
    </row>
    <row r="17" spans="1:19" x14ac:dyDescent="0.45">
      <c r="A17" s="7" t="s">
        <v>47</v>
      </c>
      <c r="B17" s="7">
        <v>0.2</v>
      </c>
      <c r="C17" s="11">
        <v>0.5</v>
      </c>
      <c r="D17" s="15">
        <f>C17*B17</f>
        <v>0.1</v>
      </c>
      <c r="E17" s="7"/>
      <c r="F17" s="8"/>
      <c r="G17" s="7"/>
      <c r="H17" s="8"/>
      <c r="I17" s="11">
        <v>0.5</v>
      </c>
      <c r="J17" s="15">
        <f>I17*B17</f>
        <v>0.1</v>
      </c>
      <c r="K17" s="7"/>
      <c r="L17" s="8"/>
      <c r="M17" s="7"/>
      <c r="N17" s="8"/>
      <c r="O17" s="7"/>
      <c r="P17" s="8"/>
      <c r="Q17" s="2"/>
      <c r="R17" s="9"/>
      <c r="S17" s="12">
        <f>SUM(C17,I17)</f>
        <v>1</v>
      </c>
    </row>
    <row r="18" spans="1:19" x14ac:dyDescent="0.45">
      <c r="A18" s="7" t="s">
        <v>55</v>
      </c>
      <c r="B18" s="7">
        <v>0.4</v>
      </c>
      <c r="C18" s="7"/>
      <c r="D18" s="8"/>
      <c r="E18" s="11">
        <v>0.19</v>
      </c>
      <c r="F18" s="8">
        <f>E18*B18</f>
        <v>7.6000000000000012E-2</v>
      </c>
      <c r="G18" s="7"/>
      <c r="H18" s="8"/>
      <c r="I18" s="11">
        <v>0.79</v>
      </c>
      <c r="J18" s="8">
        <f>I18*B18</f>
        <v>0.31600000000000006</v>
      </c>
      <c r="K18" s="11">
        <v>0.02</v>
      </c>
      <c r="L18" s="8">
        <f>K18*B18</f>
        <v>8.0000000000000002E-3</v>
      </c>
      <c r="M18" s="7"/>
      <c r="N18" s="8"/>
      <c r="O18" s="7"/>
      <c r="P18" s="8"/>
      <c r="Q18" s="2"/>
      <c r="R18" s="9"/>
      <c r="S18" s="12">
        <f>SUM(E18,I18,K18)</f>
        <v>1</v>
      </c>
    </row>
    <row r="19" spans="1:19" x14ac:dyDescent="0.45">
      <c r="A19" s="7" t="s">
        <v>59</v>
      </c>
      <c r="B19" s="7">
        <v>0.8</v>
      </c>
      <c r="C19" s="11">
        <v>0.34</v>
      </c>
      <c r="D19" s="8">
        <f>C19*B19</f>
        <v>0.27200000000000002</v>
      </c>
      <c r="E19" s="7"/>
      <c r="F19" s="8"/>
      <c r="G19" s="7"/>
      <c r="H19" s="8"/>
      <c r="I19" s="11">
        <v>0.66</v>
      </c>
      <c r="J19" s="8">
        <f>I19*B19</f>
        <v>0.52800000000000002</v>
      </c>
      <c r="K19" s="7"/>
      <c r="L19" s="8"/>
      <c r="M19" s="7"/>
      <c r="N19" s="8"/>
      <c r="O19" s="7"/>
      <c r="P19" s="8"/>
      <c r="Q19" s="2"/>
      <c r="R19" s="9"/>
      <c r="S19" s="12">
        <f>SUM(C19,I19)</f>
        <v>1</v>
      </c>
    </row>
    <row r="20" spans="1:19" x14ac:dyDescent="0.45">
      <c r="A20" s="13" t="s">
        <v>67</v>
      </c>
      <c r="B20" s="13">
        <f>SUM(B2:B19)</f>
        <v>20.399999999999999</v>
      </c>
      <c r="C20" s="13"/>
      <c r="D20" s="13">
        <f>SUM(D2:D19)</f>
        <v>8.5719999999999992</v>
      </c>
      <c r="E20" s="13"/>
      <c r="F20" s="13">
        <f>SUM(F2:F19)</f>
        <v>4.1499999999999995</v>
      </c>
      <c r="G20" s="13"/>
      <c r="H20" s="13">
        <f>SUM(H2:H19)</f>
        <v>0.9</v>
      </c>
      <c r="I20" s="13"/>
      <c r="J20" s="13">
        <f>SUM(J2:J19)</f>
        <v>3.2760000000000002</v>
      </c>
      <c r="K20" s="13"/>
      <c r="L20" s="13">
        <f>SUM(L2:L19)</f>
        <v>2.09</v>
      </c>
      <c r="M20" s="13"/>
      <c r="N20" s="13">
        <f>SUM(N2:N19)</f>
        <v>1.272</v>
      </c>
      <c r="O20" s="13"/>
      <c r="P20" s="13">
        <f>SUM(P2:P19)</f>
        <v>0.02</v>
      </c>
      <c r="Q20" s="14"/>
      <c r="R20" s="14">
        <f>SUM(R2:R19)</f>
        <v>0.12</v>
      </c>
      <c r="S20" s="14">
        <f>SUM(C20:R20)</f>
        <v>20.399999999999999</v>
      </c>
    </row>
    <row r="21" spans="1:19" x14ac:dyDescent="0.45">
      <c r="A21" s="17" t="s">
        <v>79</v>
      </c>
      <c r="B21" s="17"/>
      <c r="C21" s="17"/>
      <c r="D21" s="17">
        <f>D20/B20</f>
        <v>0.42019607843137252</v>
      </c>
      <c r="E21" s="17"/>
      <c r="F21" s="17">
        <f>F20/B20</f>
        <v>0.20343137254901961</v>
      </c>
      <c r="G21" s="17"/>
      <c r="H21" s="17">
        <f>H20/B20</f>
        <v>4.4117647058823532E-2</v>
      </c>
      <c r="I21" s="17"/>
      <c r="J21" s="17">
        <f>J20/B20</f>
        <v>0.16058823529411767</v>
      </c>
      <c r="K21" s="17"/>
      <c r="L21" s="17">
        <f>L20/B20</f>
        <v>0.10245098039215686</v>
      </c>
      <c r="M21" s="17"/>
      <c r="N21" s="17">
        <f>N20/B20</f>
        <v>6.235294117647059E-2</v>
      </c>
      <c r="O21" s="17"/>
      <c r="P21" s="19">
        <f>P20/B20</f>
        <v>9.8039215686274508E-4</v>
      </c>
      <c r="Q21" s="18"/>
      <c r="R21" s="18">
        <f>R20/B20</f>
        <v>5.8823529411764705E-3</v>
      </c>
      <c r="S21" s="18">
        <f>SUM(D21:R21)</f>
        <v>0.99999999999999989</v>
      </c>
    </row>
    <row r="22" spans="1:19" x14ac:dyDescent="0.4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3CA6-DEFB-43EB-809E-2546365F8FF1}">
  <dimension ref="A1:B9"/>
  <sheetViews>
    <sheetView tabSelected="1" workbookViewId="0">
      <selection activeCell="B1" sqref="B1"/>
    </sheetView>
  </sheetViews>
  <sheetFormatPr defaultRowHeight="14.25" x14ac:dyDescent="0.45"/>
  <sheetData>
    <row r="1" spans="1:2" x14ac:dyDescent="0.45">
      <c r="A1" s="22" t="s">
        <v>82</v>
      </c>
      <c r="B1" s="22" t="s">
        <v>81</v>
      </c>
    </row>
    <row r="2" spans="1:2" x14ac:dyDescent="0.45">
      <c r="A2" s="8" t="s">
        <v>68</v>
      </c>
      <c r="B2" s="20">
        <f>'National average calculation'!D21</f>
        <v>0.42019607843137252</v>
      </c>
    </row>
    <row r="3" spans="1:2" x14ac:dyDescent="0.45">
      <c r="A3" s="8" t="s">
        <v>70</v>
      </c>
      <c r="B3" s="20">
        <f>'National average calculation'!F21</f>
        <v>0.20343137254901961</v>
      </c>
    </row>
    <row r="4" spans="1:2" x14ac:dyDescent="0.45">
      <c r="A4" s="8" t="s">
        <v>77</v>
      </c>
      <c r="B4" s="20">
        <f>'National average calculation'!H21</f>
        <v>4.4117647058823532E-2</v>
      </c>
    </row>
    <row r="5" spans="1:2" x14ac:dyDescent="0.45">
      <c r="A5" s="8" t="s">
        <v>72</v>
      </c>
      <c r="B5" s="20">
        <f>'National average calculation'!J21</f>
        <v>0.16058823529411767</v>
      </c>
    </row>
    <row r="6" spans="1:2" x14ac:dyDescent="0.45">
      <c r="A6" s="8" t="s">
        <v>80</v>
      </c>
      <c r="B6" s="20">
        <f>'National average calculation'!L21</f>
        <v>0.10245098039215686</v>
      </c>
    </row>
    <row r="7" spans="1:2" x14ac:dyDescent="0.45">
      <c r="A7" s="8" t="s">
        <v>73</v>
      </c>
      <c r="B7" s="20">
        <f>'National average calculation'!N21</f>
        <v>6.235294117647059E-2</v>
      </c>
    </row>
    <row r="8" spans="1:2" x14ac:dyDescent="0.45">
      <c r="A8" s="8" t="s">
        <v>74</v>
      </c>
      <c r="B8" s="21">
        <f>'National average calculation'!P21</f>
        <v>9.8039215686274508E-4</v>
      </c>
    </row>
    <row r="9" spans="1:2" x14ac:dyDescent="0.45">
      <c r="A9" s="9" t="s">
        <v>75</v>
      </c>
      <c r="B9" s="20">
        <f>'National average calculation'!R21</f>
        <v>5.8823529411764705E-3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Municipality level</vt:lpstr>
      <vt:lpstr>National average calculation</vt:lpstr>
      <vt:lpstr>National average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Leshem Cohen</dc:creator>
  <cp:keywords/>
  <dc:description/>
  <cp:lastModifiedBy>Leshem Cohen</cp:lastModifiedBy>
  <cp:revision/>
  <dcterms:created xsi:type="dcterms:W3CDTF">2024-11-02T17:47:41Z</dcterms:created>
  <dcterms:modified xsi:type="dcterms:W3CDTF">2024-11-23T16:00:54Z</dcterms:modified>
  <cp:category/>
  <cp:contentStatus/>
</cp:coreProperties>
</file>