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/Documents/IE/REAL UTOPIAN HOUSING/Post-GrowthHousingScenarios/"/>
    </mc:Choice>
  </mc:AlternateContent>
  <xr:revisionPtr revIDLastSave="0" documentId="13_ncr:1_{4D2D7576-C58D-E14F-ABD1-46C7945431F0}" xr6:coauthVersionLast="47" xr6:coauthVersionMax="47" xr10:uidLastSave="{00000000-0000-0000-0000-000000000000}"/>
  <bookViews>
    <workbookView xWindow="0" yWindow="500" windowWidth="24160" windowHeight="14480" activeTab="1" xr2:uid="{1CAEB117-3FB5-444E-94C6-998AA2804FF7}"/>
  </bookViews>
  <sheets>
    <sheet name="Dutch Carbon Budget" sheetId="2" r:id="rId1"/>
    <sheet name="Sheet2" sheetId="4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" l="1"/>
  <c r="D24" i="4"/>
  <c r="C24" i="4"/>
  <c r="E14" i="4"/>
  <c r="D14" i="4"/>
  <c r="C14" i="4"/>
  <c r="E9" i="4"/>
  <c r="D9" i="4"/>
  <c r="C9" i="4"/>
  <c r="E6" i="4"/>
  <c r="E7" i="4" s="1"/>
  <c r="D6" i="4"/>
  <c r="D15" i="4" s="1"/>
  <c r="D16" i="4" s="1"/>
  <c r="C6" i="4"/>
  <c r="C15" i="4" s="1"/>
  <c r="C16" i="4" s="1"/>
  <c r="M52" i="3"/>
  <c r="M51" i="3"/>
  <c r="G17" i="3"/>
  <c r="H17" i="3"/>
  <c r="I17" i="3"/>
  <c r="G18" i="3"/>
  <c r="H18" i="3"/>
  <c r="I18" i="3"/>
  <c r="G19" i="3"/>
  <c r="H19" i="3"/>
  <c r="I19" i="3"/>
  <c r="H16" i="3"/>
  <c r="I16" i="3"/>
  <c r="I32" i="3" s="1"/>
  <c r="G16" i="3"/>
  <c r="G32" i="3" s="1"/>
  <c r="I35" i="3"/>
  <c r="H35" i="3"/>
  <c r="G35" i="3"/>
  <c r="I34" i="3"/>
  <c r="H34" i="3"/>
  <c r="G34" i="3"/>
  <c r="I33" i="3"/>
  <c r="H33" i="3"/>
  <c r="G33" i="3"/>
  <c r="H32" i="3"/>
  <c r="I28" i="3"/>
  <c r="H28" i="3"/>
  <c r="G28" i="3"/>
  <c r="I27" i="3"/>
  <c r="H27" i="3"/>
  <c r="G27" i="3"/>
  <c r="I26" i="3"/>
  <c r="H26" i="3"/>
  <c r="G26" i="3"/>
  <c r="I25" i="3"/>
  <c r="H25" i="3"/>
  <c r="G25" i="3"/>
  <c r="D35" i="3"/>
  <c r="C35" i="3"/>
  <c r="B35" i="3"/>
  <c r="D34" i="3"/>
  <c r="C34" i="3"/>
  <c r="B34" i="3"/>
  <c r="D33" i="3"/>
  <c r="C33" i="3"/>
  <c r="B33" i="3"/>
  <c r="D32" i="3"/>
  <c r="C32" i="3"/>
  <c r="B32" i="3"/>
  <c r="B26" i="3"/>
  <c r="C26" i="3"/>
  <c r="D26" i="3"/>
  <c r="B27" i="3"/>
  <c r="C27" i="3"/>
  <c r="D27" i="3"/>
  <c r="B28" i="3"/>
  <c r="C28" i="3"/>
  <c r="D28" i="3"/>
  <c r="C25" i="3"/>
  <c r="D25" i="3"/>
  <c r="B25" i="3"/>
  <c r="G10" i="3"/>
  <c r="H10" i="3"/>
  <c r="I10" i="3"/>
  <c r="G11" i="3"/>
  <c r="H11" i="3"/>
  <c r="I11" i="3"/>
  <c r="G12" i="3"/>
  <c r="H12" i="3"/>
  <c r="I12" i="3"/>
  <c r="H9" i="3"/>
  <c r="I9" i="3"/>
  <c r="G9" i="3"/>
  <c r="D19" i="3"/>
  <c r="C19" i="3"/>
  <c r="B19" i="3"/>
  <c r="D18" i="3"/>
  <c r="C18" i="3"/>
  <c r="B18" i="3"/>
  <c r="D17" i="3"/>
  <c r="C17" i="3"/>
  <c r="B17" i="3"/>
  <c r="B9" i="3"/>
  <c r="C16" i="3"/>
  <c r="D16" i="3"/>
  <c r="B16" i="3"/>
  <c r="B10" i="3"/>
  <c r="C10" i="3"/>
  <c r="D10" i="3"/>
  <c r="B11" i="3"/>
  <c r="C11" i="3"/>
  <c r="D11" i="3"/>
  <c r="B12" i="3"/>
  <c r="C12" i="3"/>
  <c r="D12" i="3"/>
  <c r="C9" i="3"/>
  <c r="D9" i="3"/>
  <c r="E55" i="2"/>
  <c r="F55" i="2"/>
  <c r="D55" i="2"/>
  <c r="E54" i="2"/>
  <c r="F54" i="2"/>
  <c r="D54" i="2"/>
  <c r="E52" i="2"/>
  <c r="F52" i="2"/>
  <c r="D52" i="2"/>
  <c r="E53" i="2"/>
  <c r="F53" i="2"/>
  <c r="D53" i="2"/>
  <c r="H4" i="3"/>
  <c r="H3" i="3"/>
  <c r="D4" i="3"/>
  <c r="D3" i="3"/>
  <c r="E39" i="2"/>
  <c r="F39" i="2"/>
  <c r="D39" i="2"/>
  <c r="E9" i="2"/>
  <c r="F9" i="2"/>
  <c r="D9" i="2"/>
  <c r="E28" i="2"/>
  <c r="F28" i="2"/>
  <c r="D28" i="2"/>
  <c r="F22" i="2"/>
  <c r="F23" i="2" s="1"/>
  <c r="F24" i="2" s="1"/>
  <c r="F47" i="2" s="1"/>
  <c r="E21" i="2"/>
  <c r="E22" i="2" s="1"/>
  <c r="E23" i="2" s="1"/>
  <c r="E24" i="2" s="1"/>
  <c r="E47" i="2" s="1"/>
  <c r="F21" i="2"/>
  <c r="D21" i="2"/>
  <c r="D22" i="2" s="1"/>
  <c r="D23" i="2" s="1"/>
  <c r="E15" i="2"/>
  <c r="E16" i="2" s="1"/>
  <c r="E17" i="2" s="1"/>
  <c r="E48" i="2" s="1"/>
  <c r="E14" i="2"/>
  <c r="F14" i="2"/>
  <c r="F15" i="2" s="1"/>
  <c r="F16" i="2" s="1"/>
  <c r="D14" i="2"/>
  <c r="D15" i="2" s="1"/>
  <c r="D16" i="2" s="1"/>
  <c r="E6" i="2"/>
  <c r="E29" i="2" s="1"/>
  <c r="E30" i="2" s="1"/>
  <c r="F6" i="2"/>
  <c r="F7" i="2" s="1"/>
  <c r="D6" i="2"/>
  <c r="D29" i="2" s="1"/>
  <c r="D30" i="2" s="1"/>
  <c r="D7" i="4" l="1"/>
  <c r="D17" i="4" s="1"/>
  <c r="D18" i="4"/>
  <c r="D34" i="4" s="1"/>
  <c r="E17" i="4"/>
  <c r="E35" i="4"/>
  <c r="E8" i="4"/>
  <c r="E10" i="4" s="1"/>
  <c r="E30" i="4" s="1"/>
  <c r="C7" i="4"/>
  <c r="D8" i="4"/>
  <c r="D10" i="4" s="1"/>
  <c r="D30" i="4" s="1"/>
  <c r="D35" i="4"/>
  <c r="E15" i="4"/>
  <c r="E16" i="4" s="1"/>
  <c r="F17" i="2"/>
  <c r="F48" i="2" s="1"/>
  <c r="D17" i="2"/>
  <c r="D48" i="2" s="1"/>
  <c r="D24" i="2"/>
  <c r="D47" i="2" s="1"/>
  <c r="E7" i="2"/>
  <c r="E8" i="2" s="1"/>
  <c r="E10" i="2" s="1"/>
  <c r="E46" i="2" s="1"/>
  <c r="D7" i="2"/>
  <c r="D31" i="2" s="1"/>
  <c r="D32" i="2" s="1"/>
  <c r="D33" i="2" s="1"/>
  <c r="D34" i="2" s="1"/>
  <c r="D45" i="2" s="1"/>
  <c r="F31" i="2"/>
  <c r="F8" i="2"/>
  <c r="F10" i="2" s="1"/>
  <c r="F46" i="2" s="1"/>
  <c r="F29" i="2"/>
  <c r="F30" i="2" s="1"/>
  <c r="E31" i="2"/>
  <c r="E32" i="2" s="1"/>
  <c r="E33" i="2" s="1"/>
  <c r="E34" i="2" s="1"/>
  <c r="E45" i="2" s="1"/>
  <c r="D19" i="4" l="1"/>
  <c r="D20" i="4" s="1"/>
  <c r="D29" i="4" s="1"/>
  <c r="E18" i="4"/>
  <c r="E34" i="4" s="1"/>
  <c r="C35" i="4"/>
  <c r="C17" i="4"/>
  <c r="C18" i="4" s="1"/>
  <c r="C8" i="4"/>
  <c r="C10" i="4" s="1"/>
  <c r="C30" i="4" s="1"/>
  <c r="F32" i="2"/>
  <c r="F33" i="2" s="1"/>
  <c r="F34" i="2" s="1"/>
  <c r="F45" i="2" s="1"/>
  <c r="D8" i="2"/>
  <c r="D10" i="2" s="1"/>
  <c r="D46" i="2" s="1"/>
  <c r="E19" i="4" l="1"/>
  <c r="E20" i="4" s="1"/>
  <c r="E29" i="4" s="1"/>
  <c r="C19" i="4"/>
  <c r="C20" i="4" s="1"/>
  <c r="C29" i="4" s="1"/>
  <c r="C34" i="4"/>
</calcChain>
</file>

<file path=xl/sharedStrings.xml><?xml version="1.0" encoding="utf-8"?>
<sst xmlns="http://schemas.openxmlformats.org/spreadsheetml/2006/main" count="277" uniqueCount="75">
  <si>
    <t xml:space="preserve">1,5ºC </t>
  </si>
  <si>
    <t xml:space="preserve">1,7ºC </t>
  </si>
  <si>
    <t xml:space="preserve">2,0ºC </t>
  </si>
  <si>
    <t xml:space="preserve">Source </t>
  </si>
  <si>
    <t xml:space="preserve">Global </t>
  </si>
  <si>
    <t xml:space="preserve"> </t>
  </si>
  <si>
    <t xml:space="preserve">Global Population </t>
  </si>
  <si>
    <t xml:space="preserve">Dutch </t>
  </si>
  <si>
    <t xml:space="preserve">Dutch Population </t>
  </si>
  <si>
    <t xml:space="preserve">Dutch share (Population) </t>
  </si>
  <si>
    <t xml:space="preserve">Dutch CB 2023 in Mt CO2 </t>
  </si>
  <si>
    <t xml:space="preserve">Total % Share of housing sector </t>
  </si>
  <si>
    <t xml:space="preserve">(Statistics Netherlands, 2023)   </t>
  </si>
  <si>
    <t>(World  Bank, 2023b)</t>
  </si>
  <si>
    <t>Per capita approach</t>
  </si>
  <si>
    <t xml:space="preserve">Global GDP 2022 </t>
  </si>
  <si>
    <t xml:space="preserve">Dutch GDP </t>
  </si>
  <si>
    <t xml:space="preserve">Dutch share (GDP) </t>
  </si>
  <si>
    <t>GDP approach</t>
  </si>
  <si>
    <t>Global</t>
  </si>
  <si>
    <t>Dutch CB 2023 per 2023 capita in t CO2</t>
  </si>
  <si>
    <t xml:space="preserve">Dutch CB 2023 in Mt </t>
  </si>
  <si>
    <t>Dutch</t>
  </si>
  <si>
    <t xml:space="preserve">Dutch share (Emissions) </t>
  </si>
  <si>
    <t xml:space="preserve">Global cumulative emissions until 2021 in billion tones CO2 </t>
  </si>
  <si>
    <t xml:space="preserve">Dutch share (cumulative Emissions) </t>
  </si>
  <si>
    <t xml:space="preserve">Dutch cumulative emissions until 2021 in Mt </t>
  </si>
  <si>
    <t xml:space="preserve">Dutch CB per capita approach 2023 in Mt </t>
  </si>
  <si>
    <t xml:space="preserve">Dutch CB 2023 adjusted for cumulative emissions in Mt </t>
  </si>
  <si>
    <t>Continuing with historic level</t>
  </si>
  <si>
    <t>Cumulative historic responsibility</t>
  </si>
  <si>
    <t>Dutch hypothetical cumulative emissions per capita 2021 in Mt</t>
  </si>
  <si>
    <t>Difference cumulative emissions (per capita vs. actual)</t>
  </si>
  <si>
    <t xml:space="preserve">Global CB 2024 in Mt CO2 </t>
  </si>
  <si>
    <t>(Forster  et  al., 2024)</t>
  </si>
  <si>
    <t>Years until Dutch carbon neutrality target by 2050</t>
  </si>
  <si>
    <t>Unit</t>
  </si>
  <si>
    <t>Mt CO2</t>
  </si>
  <si>
    <t>#</t>
  </si>
  <si>
    <t>t CO2</t>
  </si>
  <si>
    <t>%</t>
  </si>
  <si>
    <t>years</t>
  </si>
  <si>
    <t>$</t>
  </si>
  <si>
    <t>Annual per capita carbon budget until net zero</t>
  </si>
  <si>
    <t>Global Emissions in 2021</t>
  </si>
  <si>
    <t>Dutch CB 2023</t>
  </si>
  <si>
    <t>Dutch CB 2023 per 2023 capita</t>
  </si>
  <si>
    <t>Share of shelter (construction, heating, electricity, etc.) of total carbon footprint in 2011</t>
  </si>
  <si>
    <t>Share of mobility (car, rail, flights etc.) of total carbon footprint in 2011</t>
  </si>
  <si>
    <t>Housing sector</t>
  </si>
  <si>
    <t>Annual per capita carbon budget of housing sector until carbon neutrality in 2050</t>
  </si>
  <si>
    <t>(Exiobase3)</t>
  </si>
  <si>
    <t>Per current economic output</t>
  </si>
  <si>
    <t>Per current emissions</t>
  </si>
  <si>
    <t>Per capita adjusted by cumulative historic emissions</t>
  </si>
  <si>
    <t>Per capita</t>
  </si>
  <si>
    <t>67% probability of not exceeding global warming limit</t>
  </si>
  <si>
    <t>t CO2 per capita per year as of 2024</t>
  </si>
  <si>
    <t>Dutch Emissions, consumption-based 2021</t>
  </si>
  <si>
    <t xml:space="preserve">(Ritchie et al. 2020) </t>
  </si>
  <si>
    <t>(World Bank 2023a)</t>
  </si>
  <si>
    <t>kg CO2e total</t>
  </si>
  <si>
    <t>capita</t>
  </si>
  <si>
    <t>kg CO2e per capita</t>
  </si>
  <si>
    <t>income</t>
  </si>
  <si>
    <t>tenure</t>
  </si>
  <si>
    <t>Dutch carbon budget</t>
  </si>
  <si>
    <t>Years after which carbon budget will be used up</t>
  </si>
  <si>
    <t>kg CO2e per capita per year</t>
  </si>
  <si>
    <t>Mt</t>
  </si>
  <si>
    <t>t</t>
  </si>
  <si>
    <t>Years after which carbon budget will be used up with 2019 emissions</t>
  </si>
  <si>
    <t>Years after which carbon budget will be used up with 2023 emissions</t>
  </si>
  <si>
    <t>assuming only 38.5% of CB can be used for housing</t>
  </si>
  <si>
    <t>t CO2 per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</si>
</sst>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3B3B3B"/>
      <name val="Menlo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9" fontId="0" fillId="0" borderId="0" xfId="0" applyNumberFormat="1"/>
    <xf numFmtId="0" fontId="2" fillId="0" borderId="0" xfId="0" applyFont="1"/>
    <xf numFmtId="2" fontId="0" fillId="0" borderId="0" xfId="0" applyNumberFormat="1"/>
    <xf numFmtId="10" fontId="0" fillId="0" borderId="0" xfId="1" applyNumberFormat="1" applyFont="1"/>
    <xf numFmtId="0" fontId="3" fillId="0" borderId="0" xfId="2"/>
    <xf numFmtId="2" fontId="4" fillId="0" borderId="0" xfId="0" applyNumberFormat="1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 wrapText="1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t CO2 per cap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Sheet1!$A$38:$A$69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Sheet1!$B$38:$B$69</c:f>
              <c:numCache>
                <c:formatCode>General</c:formatCode>
                <c:ptCount val="32"/>
                <c:pt idx="0">
                  <c:v>4.8210976700000003</c:v>
                </c:pt>
                <c:pt idx="4">
                  <c:v>4.1899418020587698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1-DF42-8582-5939E104D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105487"/>
        <c:axId val="735267039"/>
      </c:barChart>
      <c:catAx>
        <c:axId val="73510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267039"/>
        <c:crosses val="autoZero"/>
        <c:auto val="1"/>
        <c:lblAlgn val="ctr"/>
        <c:lblOffset val="100"/>
        <c:noMultiLvlLbl val="0"/>
      </c:catAx>
      <c:valAx>
        <c:axId val="7352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0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43</xdr:row>
      <xdr:rowOff>190500</xdr:rowOff>
    </xdr:from>
    <xdr:to>
      <xdr:col>10</xdr:col>
      <xdr:colOff>812800</xdr:colOff>
      <xdr:row>58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BF5D43-F2DA-BC8E-E5BC-DAECF8D13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53</xdr:row>
      <xdr:rowOff>177800</xdr:rowOff>
    </xdr:from>
    <xdr:to>
      <xdr:col>10</xdr:col>
      <xdr:colOff>596900</xdr:colOff>
      <xdr:row>56</xdr:row>
      <xdr:rowOff>88900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0C408A8-710A-6126-EE0E-132CA39137C8}"/>
            </a:ext>
          </a:extLst>
        </xdr:cNvPr>
        <xdr:cNvSpPr/>
      </xdr:nvSpPr>
      <xdr:spPr>
        <a:xfrm>
          <a:off x="4864100" y="10947400"/>
          <a:ext cx="4152900" cy="5207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596900</xdr:colOff>
      <xdr:row>51</xdr:row>
      <xdr:rowOff>76200</xdr:rowOff>
    </xdr:from>
    <xdr:to>
      <xdr:col>10</xdr:col>
      <xdr:colOff>584200</xdr:colOff>
      <xdr:row>56</xdr:row>
      <xdr:rowOff>76200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116FEF83-D188-AE62-07FF-77445D0ED40D}"/>
            </a:ext>
          </a:extLst>
        </xdr:cNvPr>
        <xdr:cNvSpPr/>
      </xdr:nvSpPr>
      <xdr:spPr>
        <a:xfrm>
          <a:off x="4889500" y="10439400"/>
          <a:ext cx="4114800" cy="1016000"/>
        </a:xfrm>
        <a:prstGeom prst="rtTriangle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609600</xdr:colOff>
      <xdr:row>49</xdr:row>
      <xdr:rowOff>63500</xdr:rowOff>
    </xdr:from>
    <xdr:to>
      <xdr:col>7</xdr:col>
      <xdr:colOff>469900</xdr:colOff>
      <xdr:row>56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26EC848-BF29-A54B-8CDE-0E50B6ECA929}"/>
            </a:ext>
          </a:extLst>
        </xdr:cNvPr>
        <xdr:cNvSpPr/>
      </xdr:nvSpPr>
      <xdr:spPr>
        <a:xfrm>
          <a:off x="4902200" y="10020300"/>
          <a:ext cx="1511300" cy="1435100"/>
        </a:xfrm>
        <a:prstGeom prst="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586154</xdr:colOff>
      <xdr:row>49</xdr:row>
      <xdr:rowOff>56988</xdr:rowOff>
    </xdr:from>
    <xdr:to>
      <xdr:col>9</xdr:col>
      <xdr:colOff>317501</xdr:colOff>
      <xdr:row>56</xdr:row>
      <xdr:rowOff>76199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F4669DDB-6FDE-1041-917B-C891D46B282D}"/>
            </a:ext>
          </a:extLst>
        </xdr:cNvPr>
        <xdr:cNvSpPr/>
      </xdr:nvSpPr>
      <xdr:spPr>
        <a:xfrm>
          <a:off x="4868333" y="10029744"/>
          <a:ext cx="3020322" cy="1443891"/>
        </a:xfrm>
        <a:prstGeom prst="rtTriangle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in.environmentalfootprints.org/exiobase3/" TargetMode="External"/><Relationship Id="rId7" Type="http://schemas.openxmlformats.org/officeDocument/2006/relationships/hyperlink" Target="https://ourworldindata.org/co2-and-greenhouse-gas-emissions" TargetMode="External"/><Relationship Id="rId2" Type="http://schemas.openxmlformats.org/officeDocument/2006/relationships/hyperlink" Target="https://main.environmentalfootprints.org/exiobase3/" TargetMode="External"/><Relationship Id="rId1" Type="http://schemas.openxmlformats.org/officeDocument/2006/relationships/hyperlink" Target="https://doi.org/10.5194/essd-16-2625-2024" TargetMode="External"/><Relationship Id="rId6" Type="http://schemas.openxmlformats.org/officeDocument/2006/relationships/hyperlink" Target="https://ourworldindata.org/co2-and-greenhouse-gas-emissions" TargetMode="External"/><Relationship Id="rId5" Type="http://schemas.openxmlformats.org/officeDocument/2006/relationships/hyperlink" Target="https://ourworldindata.org/co2-and-greenhouse-gas-emissions" TargetMode="External"/><Relationship Id="rId4" Type="http://schemas.openxmlformats.org/officeDocument/2006/relationships/hyperlink" Target="https://ourworldindata.org/co2-and-greenhouse-gas-emission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in.environmentalfootprints.org/exiobase3/" TargetMode="External"/><Relationship Id="rId2" Type="http://schemas.openxmlformats.org/officeDocument/2006/relationships/hyperlink" Target="https://main.environmentalfootprints.org/exiobase3/" TargetMode="External"/><Relationship Id="rId1" Type="http://schemas.openxmlformats.org/officeDocument/2006/relationships/hyperlink" Target="https://doi.org/10.5194/essd-16-2625-2024" TargetMode="External"/><Relationship Id="rId5" Type="http://schemas.openxmlformats.org/officeDocument/2006/relationships/hyperlink" Target="https://ourworldindata.org/co2-and-greenhouse-gas-emissions" TargetMode="External"/><Relationship Id="rId4" Type="http://schemas.openxmlformats.org/officeDocument/2006/relationships/hyperlink" Target="https://ourworldindata.org/co2-and-greenhouse-gas-emission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B463-08B5-FF44-934B-A78298122D99}">
  <dimension ref="A1:H55"/>
  <sheetViews>
    <sheetView zoomScale="82" workbookViewId="0">
      <selection sqref="A1:I56"/>
    </sheetView>
  </sheetViews>
  <sheetFormatPr baseColWidth="10" defaultRowHeight="16" x14ac:dyDescent="0.2"/>
  <cols>
    <col min="1" max="1" width="19.6640625" customWidth="1"/>
    <col min="2" max="2" width="15.1640625" customWidth="1"/>
    <col min="3" max="3" width="67.6640625" customWidth="1"/>
    <col min="4" max="4" width="16.6640625" customWidth="1"/>
    <col min="5" max="5" width="21" customWidth="1"/>
    <col min="6" max="6" width="14.6640625" bestFit="1" customWidth="1"/>
  </cols>
  <sheetData>
    <row r="1" spans="1:8" x14ac:dyDescent="0.2">
      <c r="D1" t="s">
        <v>0</v>
      </c>
      <c r="E1" t="s">
        <v>1</v>
      </c>
      <c r="F1" t="s">
        <v>2</v>
      </c>
      <c r="G1" t="s">
        <v>36</v>
      </c>
      <c r="H1" t="s">
        <v>3</v>
      </c>
    </row>
    <row r="2" spans="1:8" x14ac:dyDescent="0.2">
      <c r="B2" t="s">
        <v>4</v>
      </c>
      <c r="C2" t="s">
        <v>33</v>
      </c>
      <c r="D2" s="4">
        <v>150000</v>
      </c>
      <c r="E2" s="4">
        <v>450000</v>
      </c>
      <c r="F2" s="4">
        <v>900000</v>
      </c>
      <c r="G2" t="s">
        <v>37</v>
      </c>
      <c r="H2" s="6" t="s">
        <v>34</v>
      </c>
    </row>
    <row r="3" spans="1:8" x14ac:dyDescent="0.2">
      <c r="D3" s="4"/>
      <c r="E3" s="4"/>
      <c r="F3" s="4"/>
    </row>
    <row r="4" spans="1:8" x14ac:dyDescent="0.2">
      <c r="A4" t="s">
        <v>14</v>
      </c>
      <c r="B4" t="s">
        <v>19</v>
      </c>
      <c r="C4" t="s">
        <v>6</v>
      </c>
      <c r="D4" s="4">
        <v>7951150000</v>
      </c>
      <c r="E4" s="4">
        <v>7951150000</v>
      </c>
      <c r="F4" s="4">
        <v>7951150000</v>
      </c>
      <c r="G4" t="s">
        <v>38</v>
      </c>
      <c r="H4" t="s">
        <v>13</v>
      </c>
    </row>
    <row r="5" spans="1:8" x14ac:dyDescent="0.2">
      <c r="B5" t="s">
        <v>7</v>
      </c>
      <c r="C5" t="s">
        <v>8</v>
      </c>
      <c r="D5" s="4">
        <v>17811291</v>
      </c>
      <c r="E5" s="4">
        <v>17811291</v>
      </c>
      <c r="F5" s="4">
        <v>17811291</v>
      </c>
      <c r="G5" t="s">
        <v>38</v>
      </c>
      <c r="H5" t="s">
        <v>12</v>
      </c>
    </row>
    <row r="6" spans="1:8" x14ac:dyDescent="0.2">
      <c r="B6" t="s">
        <v>5</v>
      </c>
      <c r="C6" t="s">
        <v>9</v>
      </c>
      <c r="D6" s="5">
        <f>D5/D4</f>
        <v>2.2400899240990297E-3</v>
      </c>
      <c r="E6" s="5">
        <f t="shared" ref="E6:F6" si="0">E5/E4</f>
        <v>2.2400899240990297E-3</v>
      </c>
      <c r="F6" s="5">
        <f t="shared" si="0"/>
        <v>2.2400899240990297E-3</v>
      </c>
      <c r="G6" t="s">
        <v>40</v>
      </c>
    </row>
    <row r="7" spans="1:8" x14ac:dyDescent="0.2">
      <c r="C7" t="s">
        <v>10</v>
      </c>
      <c r="D7" s="7">
        <f>D2*D6</f>
        <v>336.01348861485445</v>
      </c>
      <c r="E7" s="7">
        <f>E2*E6</f>
        <v>1008.0404658445634</v>
      </c>
      <c r="F7" s="7">
        <f>F2*F6</f>
        <v>2016.0809316891268</v>
      </c>
      <c r="G7" t="s">
        <v>37</v>
      </c>
      <c r="H7" t="s">
        <v>5</v>
      </c>
    </row>
    <row r="8" spans="1:8" x14ac:dyDescent="0.2">
      <c r="B8" t="s">
        <v>5</v>
      </c>
      <c r="C8" t="s">
        <v>20</v>
      </c>
      <c r="D8" s="4">
        <f>D7/D5*1000000</f>
        <v>18.865195600636387</v>
      </c>
      <c r="E8" s="4">
        <f t="shared" ref="E8:F8" si="1">E7/E5*1000000</f>
        <v>56.595586801909164</v>
      </c>
      <c r="F8" s="4">
        <f t="shared" si="1"/>
        <v>113.19117360381833</v>
      </c>
      <c r="G8" t="s">
        <v>39</v>
      </c>
    </row>
    <row r="9" spans="1:8" x14ac:dyDescent="0.2">
      <c r="C9" t="s">
        <v>35</v>
      </c>
      <c r="D9" s="4">
        <f>2050-2024</f>
        <v>26</v>
      </c>
      <c r="E9" s="4">
        <f t="shared" ref="E9:F9" si="2">2050-2024</f>
        <v>26</v>
      </c>
      <c r="F9" s="4">
        <f t="shared" si="2"/>
        <v>26</v>
      </c>
      <c r="G9" t="s">
        <v>41</v>
      </c>
    </row>
    <row r="10" spans="1:8" x14ac:dyDescent="0.2">
      <c r="C10" t="s">
        <v>43</v>
      </c>
      <c r="D10" s="4">
        <f>D8/D9</f>
        <v>0.72558444617832252</v>
      </c>
      <c r="E10" s="4">
        <f t="shared" ref="E10:F10" si="3">E8/E9</f>
        <v>2.1767533385349678</v>
      </c>
      <c r="F10" s="4">
        <f t="shared" si="3"/>
        <v>4.3535066770699355</v>
      </c>
      <c r="G10" t="s">
        <v>39</v>
      </c>
    </row>
    <row r="12" spans="1:8" ht="16" customHeight="1" x14ac:dyDescent="0.2">
      <c r="A12" t="s">
        <v>18</v>
      </c>
      <c r="B12" t="s">
        <v>19</v>
      </c>
      <c r="C12" t="s">
        <v>15</v>
      </c>
      <c r="D12" s="4">
        <v>101002997</v>
      </c>
      <c r="E12" s="4">
        <v>101002997</v>
      </c>
      <c r="F12" s="4">
        <v>101002997</v>
      </c>
      <c r="G12" t="s">
        <v>42</v>
      </c>
      <c r="H12" t="s">
        <v>60</v>
      </c>
    </row>
    <row r="13" spans="1:8" x14ac:dyDescent="0.2">
      <c r="B13" t="s">
        <v>7</v>
      </c>
      <c r="C13" t="s">
        <v>16</v>
      </c>
      <c r="D13" s="4">
        <v>991115</v>
      </c>
      <c r="E13" s="4">
        <v>991115</v>
      </c>
      <c r="F13" s="4">
        <v>991115</v>
      </c>
      <c r="G13" t="s">
        <v>42</v>
      </c>
      <c r="H13" t="s">
        <v>60</v>
      </c>
    </row>
    <row r="14" spans="1:8" x14ac:dyDescent="0.2">
      <c r="B14" t="s">
        <v>5</v>
      </c>
      <c r="C14" t="s">
        <v>17</v>
      </c>
      <c r="D14" s="5">
        <f>D13/D12</f>
        <v>9.8127286262604668E-3</v>
      </c>
      <c r="E14" s="5">
        <f t="shared" ref="E14:F14" si="4">E13/E12</f>
        <v>9.8127286262604668E-3</v>
      </c>
      <c r="F14" s="5">
        <f t="shared" si="4"/>
        <v>9.8127286262604668E-3</v>
      </c>
      <c r="G14" t="s">
        <v>40</v>
      </c>
    </row>
    <row r="15" spans="1:8" x14ac:dyDescent="0.2">
      <c r="C15" t="s">
        <v>21</v>
      </c>
      <c r="D15" s="4">
        <f>D2*D14</f>
        <v>1471.90929393907</v>
      </c>
      <c r="E15" s="4">
        <f>E2*E14</f>
        <v>4415.7278818172099</v>
      </c>
      <c r="F15" s="4">
        <f>F2*F14</f>
        <v>8831.4557636344198</v>
      </c>
      <c r="G15" t="s">
        <v>37</v>
      </c>
    </row>
    <row r="16" spans="1:8" x14ac:dyDescent="0.2">
      <c r="C16" t="s">
        <v>20</v>
      </c>
      <c r="D16" s="4">
        <f>D15/D5*1000000</f>
        <v>82.639113242216425</v>
      </c>
      <c r="E16" s="4">
        <f>E15/E5*1000000</f>
        <v>247.9173397266492</v>
      </c>
      <c r="F16" s="4">
        <f>F15/F5*1000000</f>
        <v>495.83467945329841</v>
      </c>
      <c r="G16" t="s">
        <v>39</v>
      </c>
    </row>
    <row r="17" spans="1:8" x14ac:dyDescent="0.2">
      <c r="C17" t="s">
        <v>43</v>
      </c>
      <c r="D17" s="4">
        <f>D16/D9</f>
        <v>3.1784274323929393</v>
      </c>
      <c r="E17" s="4">
        <f t="shared" ref="E17:F17" si="5">E16/E9</f>
        <v>9.5352822971788154</v>
      </c>
      <c r="F17" s="4">
        <f t="shared" si="5"/>
        <v>19.070564594357631</v>
      </c>
      <c r="G17" t="s">
        <v>39</v>
      </c>
    </row>
    <row r="18" spans="1:8" ht="16" customHeight="1" x14ac:dyDescent="0.2"/>
    <row r="19" spans="1:8" x14ac:dyDescent="0.2">
      <c r="A19" t="s">
        <v>29</v>
      </c>
      <c r="B19" t="s">
        <v>19</v>
      </c>
      <c r="C19" t="s">
        <v>44</v>
      </c>
      <c r="D19" s="4">
        <v>37120</v>
      </c>
      <c r="E19" s="4">
        <v>37120</v>
      </c>
      <c r="F19" s="4">
        <v>37120</v>
      </c>
      <c r="G19" t="s">
        <v>37</v>
      </c>
      <c r="H19" s="6" t="s">
        <v>59</v>
      </c>
    </row>
    <row r="20" spans="1:8" ht="16" customHeight="1" x14ac:dyDescent="0.2">
      <c r="B20" t="s">
        <v>22</v>
      </c>
      <c r="C20" t="s">
        <v>58</v>
      </c>
      <c r="D20" s="4">
        <v>152</v>
      </c>
      <c r="E20" s="4">
        <v>152</v>
      </c>
      <c r="F20" s="4">
        <v>152</v>
      </c>
      <c r="G20" t="s">
        <v>37</v>
      </c>
      <c r="H20" s="6" t="s">
        <v>59</v>
      </c>
    </row>
    <row r="21" spans="1:8" x14ac:dyDescent="0.2">
      <c r="C21" t="s">
        <v>23</v>
      </c>
      <c r="D21" s="5">
        <f>D20/D19</f>
        <v>4.0948275862068969E-3</v>
      </c>
      <c r="E21" s="5">
        <f t="shared" ref="E21:F21" si="6">E20/E19</f>
        <v>4.0948275862068969E-3</v>
      </c>
      <c r="F21" s="5">
        <f t="shared" si="6"/>
        <v>4.0948275862068969E-3</v>
      </c>
      <c r="G21" t="s">
        <v>40</v>
      </c>
    </row>
    <row r="22" spans="1:8" x14ac:dyDescent="0.2">
      <c r="C22" t="s">
        <v>45</v>
      </c>
      <c r="D22" s="4">
        <f>D21*D2</f>
        <v>614.22413793103453</v>
      </c>
      <c r="E22" s="4">
        <f>E21*E2</f>
        <v>1842.6724137931037</v>
      </c>
      <c r="F22" s="4">
        <f>F21*F2</f>
        <v>3685.3448275862074</v>
      </c>
      <c r="G22" t="s">
        <v>37</v>
      </c>
    </row>
    <row r="23" spans="1:8" x14ac:dyDescent="0.2">
      <c r="C23" t="s">
        <v>46</v>
      </c>
      <c r="D23" s="4">
        <f>D22/D5*1000000</f>
        <v>34.485099251426213</v>
      </c>
      <c r="E23" s="4">
        <f>E22/E5*1000000</f>
        <v>103.45529775427866</v>
      </c>
      <c r="F23" s="4">
        <f>F22/F5*1000000</f>
        <v>206.91059550855732</v>
      </c>
      <c r="G23" t="s">
        <v>39</v>
      </c>
    </row>
    <row r="24" spans="1:8" x14ac:dyDescent="0.2">
      <c r="C24" t="s">
        <v>43</v>
      </c>
      <c r="D24" s="4">
        <f>D23/D9</f>
        <v>1.3263499712087006</v>
      </c>
      <c r="E24" s="4">
        <f t="shared" ref="E24:F24" si="7">E23/E9</f>
        <v>3.9790499136261022</v>
      </c>
      <c r="F24" s="4">
        <f t="shared" si="7"/>
        <v>7.9580998272522043</v>
      </c>
      <c r="G24" t="s">
        <v>39</v>
      </c>
    </row>
    <row r="26" spans="1:8" x14ac:dyDescent="0.2">
      <c r="A26" t="s">
        <v>30</v>
      </c>
      <c r="B26" t="s">
        <v>19</v>
      </c>
      <c r="C26" t="s">
        <v>24</v>
      </c>
      <c r="D26" s="4">
        <v>1740000</v>
      </c>
      <c r="E26" s="4">
        <v>1740000</v>
      </c>
      <c r="F26" s="4">
        <v>1740000</v>
      </c>
      <c r="G26" t="s">
        <v>37</v>
      </c>
      <c r="H26" s="6" t="s">
        <v>59</v>
      </c>
    </row>
    <row r="27" spans="1:8" x14ac:dyDescent="0.2">
      <c r="B27" t="s">
        <v>7</v>
      </c>
      <c r="C27" t="s">
        <v>26</v>
      </c>
      <c r="D27" s="4">
        <v>11800</v>
      </c>
      <c r="E27" s="4">
        <v>11800</v>
      </c>
      <c r="F27" s="4">
        <v>11800</v>
      </c>
      <c r="G27" t="s">
        <v>37</v>
      </c>
      <c r="H27" s="6" t="s">
        <v>59</v>
      </c>
    </row>
    <row r="28" spans="1:8" x14ac:dyDescent="0.2">
      <c r="B28" t="s">
        <v>5</v>
      </c>
      <c r="C28" t="s">
        <v>25</v>
      </c>
      <c r="D28" s="5">
        <f>D27/D26</f>
        <v>6.7816091954022986E-3</v>
      </c>
      <c r="E28" s="5">
        <f t="shared" ref="E28:F28" si="8">E27/E26</f>
        <v>6.7816091954022986E-3</v>
      </c>
      <c r="F28" s="5">
        <f t="shared" si="8"/>
        <v>6.7816091954022986E-3</v>
      </c>
      <c r="G28" t="s">
        <v>40</v>
      </c>
    </row>
    <row r="29" spans="1:8" x14ac:dyDescent="0.2">
      <c r="B29" t="s">
        <v>5</v>
      </c>
      <c r="C29" t="s">
        <v>31</v>
      </c>
      <c r="D29" s="4">
        <f>D26*D6</f>
        <v>3897.7564679323118</v>
      </c>
      <c r="E29" s="4">
        <f>E26*E6</f>
        <v>3897.7564679323118</v>
      </c>
      <c r="F29" s="4">
        <f>F26*F6</f>
        <v>3897.7564679323118</v>
      </c>
      <c r="G29" t="s">
        <v>37</v>
      </c>
    </row>
    <row r="30" spans="1:8" x14ac:dyDescent="0.2">
      <c r="B30" t="s">
        <v>5</v>
      </c>
      <c r="C30" t="s">
        <v>32</v>
      </c>
      <c r="D30" s="4">
        <f>D29-D27</f>
        <v>-7902.2435320676886</v>
      </c>
      <c r="E30" s="4">
        <f t="shared" ref="E30:F30" si="9">E29-E27</f>
        <v>-7902.2435320676886</v>
      </c>
      <c r="F30" s="4">
        <f t="shared" si="9"/>
        <v>-7902.2435320676886</v>
      </c>
      <c r="G30" t="s">
        <v>37</v>
      </c>
    </row>
    <row r="31" spans="1:8" x14ac:dyDescent="0.2">
      <c r="B31" t="s">
        <v>5</v>
      </c>
      <c r="C31" t="s">
        <v>27</v>
      </c>
      <c r="D31" s="4">
        <f>D7</f>
        <v>336.01348861485445</v>
      </c>
      <c r="E31" s="4">
        <f>E7</f>
        <v>1008.0404658445634</v>
      </c>
      <c r="F31" s="4">
        <f>F7</f>
        <v>2016.0809316891268</v>
      </c>
      <c r="G31" t="s">
        <v>37</v>
      </c>
    </row>
    <row r="32" spans="1:8" x14ac:dyDescent="0.2">
      <c r="C32" t="s">
        <v>28</v>
      </c>
      <c r="D32" s="4">
        <f>D30+D31</f>
        <v>-7566.2300434528343</v>
      </c>
      <c r="E32" s="4">
        <f t="shared" ref="E32:F32" si="10">E30+E31</f>
        <v>-6894.2030662231255</v>
      </c>
      <c r="F32" s="4">
        <f t="shared" si="10"/>
        <v>-5886.1626003785623</v>
      </c>
      <c r="G32" t="s">
        <v>37</v>
      </c>
    </row>
    <row r="33" spans="1:8" x14ac:dyDescent="0.2">
      <c r="B33" t="s">
        <v>5</v>
      </c>
      <c r="C33" t="s">
        <v>20</v>
      </c>
      <c r="D33" s="4">
        <f>D32/D5*1000000</f>
        <v>-424.79964217376687</v>
      </c>
      <c r="E33" s="4">
        <f t="shared" ref="E33:F33" si="11">E32/E5*1000000</f>
        <v>-387.0692509724941</v>
      </c>
      <c r="F33" s="4">
        <f t="shared" si="11"/>
        <v>-330.47366417058498</v>
      </c>
      <c r="G33" t="s">
        <v>39</v>
      </c>
    </row>
    <row r="34" spans="1:8" x14ac:dyDescent="0.2">
      <c r="C34" t="s">
        <v>43</v>
      </c>
      <c r="D34" s="4">
        <f>D33/D9</f>
        <v>-16.338447775914112</v>
      </c>
      <c r="E34" s="4">
        <f t="shared" ref="E34:F34" si="12">E33/E9</f>
        <v>-14.887278883557466</v>
      </c>
      <c r="F34" s="4">
        <f t="shared" si="12"/>
        <v>-12.710525545022499</v>
      </c>
      <c r="G34" t="s">
        <v>39</v>
      </c>
    </row>
    <row r="37" spans="1:8" x14ac:dyDescent="0.2">
      <c r="A37" t="s">
        <v>49</v>
      </c>
      <c r="B37" t="s">
        <v>22</v>
      </c>
      <c r="C37" t="s">
        <v>47</v>
      </c>
      <c r="D37" s="2">
        <v>0.26400000000000001</v>
      </c>
      <c r="E37" s="2">
        <v>0.26400000000000001</v>
      </c>
      <c r="F37" s="2">
        <v>0.26400000000000001</v>
      </c>
      <c r="H37" s="6" t="s">
        <v>51</v>
      </c>
    </row>
    <row r="38" spans="1:8" x14ac:dyDescent="0.2">
      <c r="C38" t="s">
        <v>48</v>
      </c>
      <c r="D38" s="2">
        <v>9.4E-2</v>
      </c>
      <c r="E38" s="2">
        <v>9.4E-2</v>
      </c>
      <c r="F38" s="2">
        <v>9.4E-2</v>
      </c>
      <c r="H38" s="6" t="s">
        <v>51</v>
      </c>
    </row>
    <row r="39" spans="1:8" x14ac:dyDescent="0.2">
      <c r="B39" t="s">
        <v>5</v>
      </c>
      <c r="C39" t="s">
        <v>11</v>
      </c>
      <c r="D39" s="1">
        <f>D37+D38</f>
        <v>0.35799999999999998</v>
      </c>
      <c r="E39" s="1">
        <f t="shared" ref="E39:F39" si="13">E37+E38</f>
        <v>0.35799999999999998</v>
      </c>
      <c r="F39" s="1">
        <f t="shared" si="13"/>
        <v>0.35799999999999998</v>
      </c>
    </row>
    <row r="40" spans="1:8" x14ac:dyDescent="0.2">
      <c r="B40" t="s">
        <v>5</v>
      </c>
    </row>
    <row r="43" spans="1:8" x14ac:dyDescent="0.2">
      <c r="C43" s="3" t="s">
        <v>50</v>
      </c>
    </row>
    <row r="44" spans="1:8" x14ac:dyDescent="0.2">
      <c r="C44" t="s">
        <v>70</v>
      </c>
      <c r="D44" t="s">
        <v>0</v>
      </c>
      <c r="E44" t="s">
        <v>1</v>
      </c>
      <c r="F44" t="s">
        <v>2</v>
      </c>
      <c r="G44" t="s">
        <v>56</v>
      </c>
    </row>
    <row r="45" spans="1:8" x14ac:dyDescent="0.2">
      <c r="C45" t="s">
        <v>54</v>
      </c>
      <c r="D45" s="4">
        <f>D34*D39</f>
        <v>-5.8491643037772523</v>
      </c>
      <c r="E45" s="4">
        <f>E34*E39</f>
        <v>-5.3296458403135727</v>
      </c>
      <c r="F45" s="4">
        <f>F34*F39</f>
        <v>-4.5503681451180542</v>
      </c>
      <c r="G45" t="s">
        <v>57</v>
      </c>
    </row>
    <row r="46" spans="1:8" x14ac:dyDescent="0.2">
      <c r="C46" t="s">
        <v>55</v>
      </c>
      <c r="D46" s="4">
        <f>D10*D39</f>
        <v>0.25975923173183946</v>
      </c>
      <c r="E46" s="4">
        <f>E10*E39</f>
        <v>0.77927769519551848</v>
      </c>
      <c r="F46" s="4">
        <f>F10*F39</f>
        <v>1.558555390391037</v>
      </c>
      <c r="G46" t="s">
        <v>57</v>
      </c>
    </row>
    <row r="47" spans="1:8" x14ac:dyDescent="0.2">
      <c r="C47" t="s">
        <v>53</v>
      </c>
      <c r="D47" s="4">
        <f>D24*D39</f>
        <v>0.47483328969271477</v>
      </c>
      <c r="E47" s="4">
        <f>E24*E39</f>
        <v>1.4244998690781445</v>
      </c>
      <c r="F47" s="4">
        <f>F24*F39</f>
        <v>2.848999738156289</v>
      </c>
      <c r="G47" t="s">
        <v>57</v>
      </c>
    </row>
    <row r="48" spans="1:8" x14ac:dyDescent="0.2">
      <c r="C48" t="s">
        <v>52</v>
      </c>
      <c r="D48" s="4">
        <f>D17*D39</f>
        <v>1.1378770207966722</v>
      </c>
      <c r="E48" s="4">
        <f>E17*E39</f>
        <v>3.4136310623900159</v>
      </c>
      <c r="F48" s="4">
        <f>F17*F39</f>
        <v>6.8272621247800318</v>
      </c>
      <c r="G48" t="s">
        <v>57</v>
      </c>
    </row>
    <row r="50" spans="3:7" x14ac:dyDescent="0.2">
      <c r="C50" s="3" t="s">
        <v>66</v>
      </c>
    </row>
    <row r="51" spans="3:7" x14ac:dyDescent="0.2">
      <c r="C51" t="s">
        <v>69</v>
      </c>
      <c r="D51" t="s">
        <v>0</v>
      </c>
      <c r="E51" t="s">
        <v>1</v>
      </c>
      <c r="F51" t="s">
        <v>2</v>
      </c>
      <c r="G51" t="s">
        <v>56</v>
      </c>
    </row>
    <row r="52" spans="3:7" x14ac:dyDescent="0.2">
      <c r="C52" t="s">
        <v>54</v>
      </c>
      <c r="D52" s="4">
        <f>D32</f>
        <v>-7566.2300434528343</v>
      </c>
      <c r="E52" s="4">
        <f t="shared" ref="E52:F52" si="14">E32</f>
        <v>-6894.2030662231255</v>
      </c>
      <c r="F52" s="4">
        <f t="shared" si="14"/>
        <v>-5886.1626003785623</v>
      </c>
      <c r="G52" t="s">
        <v>57</v>
      </c>
    </row>
    <row r="53" spans="3:7" x14ac:dyDescent="0.2">
      <c r="C53" t="s">
        <v>55</v>
      </c>
      <c r="D53" s="4">
        <f>D7</f>
        <v>336.01348861485445</v>
      </c>
      <c r="E53" s="4">
        <f t="shared" ref="E53:F53" si="15">E7</f>
        <v>1008.0404658445634</v>
      </c>
      <c r="F53" s="4">
        <f t="shared" si="15"/>
        <v>2016.0809316891268</v>
      </c>
      <c r="G53" t="s">
        <v>57</v>
      </c>
    </row>
    <row r="54" spans="3:7" x14ac:dyDescent="0.2">
      <c r="C54" t="s">
        <v>53</v>
      </c>
      <c r="D54" s="4">
        <f>D22</f>
        <v>614.22413793103453</v>
      </c>
      <c r="E54" s="4">
        <f t="shared" ref="E54:F54" si="16">E22</f>
        <v>1842.6724137931037</v>
      </c>
      <c r="F54" s="4">
        <f t="shared" si="16"/>
        <v>3685.3448275862074</v>
      </c>
      <c r="G54" t="s">
        <v>57</v>
      </c>
    </row>
    <row r="55" spans="3:7" x14ac:dyDescent="0.2">
      <c r="C55" t="s">
        <v>52</v>
      </c>
      <c r="D55" s="4">
        <f>D15</f>
        <v>1471.90929393907</v>
      </c>
      <c r="E55" s="4">
        <f t="shared" ref="E55:F55" si="17">E15</f>
        <v>4415.7278818172099</v>
      </c>
      <c r="F55" s="4">
        <f t="shared" si="17"/>
        <v>8831.4557636344198</v>
      </c>
      <c r="G55" t="s">
        <v>57</v>
      </c>
    </row>
  </sheetData>
  <phoneticPr fontId="5" type="noConversion"/>
  <conditionalFormatting sqref="D45:F4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2:F5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H2" r:id="rId1" xr:uid="{96E8C543-DFA8-BB43-B96C-F0A91D68B2F4}"/>
    <hyperlink ref="H37" r:id="rId2" xr:uid="{E6395049-BE99-7C41-AC80-9C2199AAC7A3}"/>
    <hyperlink ref="H38" r:id="rId3" xr:uid="{BEFFEEA7-C95E-3F47-BA92-6D70DA1DEE0B}"/>
    <hyperlink ref="H19" r:id="rId4" xr:uid="{8BD9E6A0-D77E-364E-8EBE-CBE09FB6F2A2}"/>
    <hyperlink ref="H20" r:id="rId5" xr:uid="{B1C30C40-175A-C64A-B4D8-0A391B2BCEB8}"/>
    <hyperlink ref="H26" r:id="rId6" xr:uid="{E3E5334F-2DDB-A144-96D7-2D432B852A2D}"/>
    <hyperlink ref="H27" r:id="rId7" xr:uid="{4B189CEA-63EA-7B4C-987E-D33F09FBB704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9AA4-9D9D-5F46-A3A5-7CC0722699A7}">
  <dimension ref="A1:G55"/>
  <sheetViews>
    <sheetView showGridLines="0" tabSelected="1" zoomScale="110" zoomScaleNormal="110" workbookViewId="0">
      <selection activeCell="O34" sqref="O34"/>
    </sheetView>
  </sheetViews>
  <sheetFormatPr baseColWidth="10" defaultRowHeight="16" x14ac:dyDescent="0.2"/>
  <cols>
    <col min="1" max="1" width="15.5" customWidth="1"/>
    <col min="2" max="2" width="70" customWidth="1"/>
    <col min="3" max="3" width="15" customWidth="1"/>
    <col min="4" max="4" width="15.1640625" customWidth="1"/>
    <col min="5" max="5" width="14.83203125" customWidth="1"/>
    <col min="6" max="6" width="7.5" customWidth="1"/>
    <col min="7" max="7" width="35.83203125" customWidth="1"/>
  </cols>
  <sheetData>
    <row r="1" spans="1:7" x14ac:dyDescent="0.2">
      <c r="C1" t="s">
        <v>0</v>
      </c>
      <c r="D1" t="s">
        <v>1</v>
      </c>
      <c r="E1" t="s">
        <v>2</v>
      </c>
      <c r="F1" t="s">
        <v>36</v>
      </c>
      <c r="G1" t="s">
        <v>3</v>
      </c>
    </row>
    <row r="2" spans="1:7" x14ac:dyDescent="0.2">
      <c r="B2" t="s">
        <v>33</v>
      </c>
      <c r="C2" s="4">
        <v>150000</v>
      </c>
      <c r="D2" s="4">
        <v>450000</v>
      </c>
      <c r="E2" s="4">
        <v>900000</v>
      </c>
      <c r="F2" t="s">
        <v>37</v>
      </c>
      <c r="G2" s="6" t="s">
        <v>34</v>
      </c>
    </row>
    <row r="3" spans="1:7" x14ac:dyDescent="0.2">
      <c r="C3" s="4"/>
      <c r="D3" s="4"/>
      <c r="E3" s="4"/>
    </row>
    <row r="4" spans="1:7" x14ac:dyDescent="0.2">
      <c r="A4" s="10" t="s">
        <v>14</v>
      </c>
      <c r="B4" t="s">
        <v>6</v>
      </c>
      <c r="C4" s="4">
        <v>7951150000</v>
      </c>
      <c r="D4" s="4">
        <v>7951150000</v>
      </c>
      <c r="E4" s="4">
        <v>7951150000</v>
      </c>
      <c r="F4" t="s">
        <v>38</v>
      </c>
      <c r="G4" t="s">
        <v>13</v>
      </c>
    </row>
    <row r="5" spans="1:7" x14ac:dyDescent="0.2">
      <c r="A5" s="10"/>
      <c r="B5" t="s">
        <v>8</v>
      </c>
      <c r="C5" s="4">
        <v>17811291</v>
      </c>
      <c r="D5" s="4">
        <v>17811291</v>
      </c>
      <c r="E5" s="4">
        <v>17811291</v>
      </c>
      <c r="F5" t="s">
        <v>38</v>
      </c>
      <c r="G5" t="s">
        <v>12</v>
      </c>
    </row>
    <row r="6" spans="1:7" x14ac:dyDescent="0.2">
      <c r="A6" s="10"/>
      <c r="B6" t="s">
        <v>9</v>
      </c>
      <c r="C6" s="5">
        <f>C5/C4</f>
        <v>2.2400899240990297E-3</v>
      </c>
      <c r="D6" s="5">
        <f t="shared" ref="D6:E6" si="0">D5/D4</f>
        <v>2.2400899240990297E-3</v>
      </c>
      <c r="E6" s="5">
        <f t="shared" si="0"/>
        <v>2.2400899240990297E-3</v>
      </c>
      <c r="F6" t="s">
        <v>40</v>
      </c>
    </row>
    <row r="7" spans="1:7" x14ac:dyDescent="0.2">
      <c r="A7" s="10"/>
      <c r="B7" t="s">
        <v>10</v>
      </c>
      <c r="C7" s="7">
        <f>C2*C6</f>
        <v>336.01348861485445</v>
      </c>
      <c r="D7" s="7">
        <f>D2*D6</f>
        <v>1008.0404658445634</v>
      </c>
      <c r="E7" s="7">
        <f>E2*E6</f>
        <v>2016.0809316891268</v>
      </c>
      <c r="F7" t="s">
        <v>37</v>
      </c>
      <c r="G7" t="s">
        <v>5</v>
      </c>
    </row>
    <row r="8" spans="1:7" x14ac:dyDescent="0.2">
      <c r="A8" s="10"/>
      <c r="B8" t="s">
        <v>20</v>
      </c>
      <c r="C8" s="4">
        <f>C7/C5*1000000</f>
        <v>18.865195600636387</v>
      </c>
      <c r="D8" s="4">
        <f t="shared" ref="D8:E8" si="1">D7/D5*1000000</f>
        <v>56.595586801909164</v>
      </c>
      <c r="E8" s="4">
        <f t="shared" si="1"/>
        <v>113.19117360381833</v>
      </c>
      <c r="F8" t="s">
        <v>39</v>
      </c>
    </row>
    <row r="9" spans="1:7" x14ac:dyDescent="0.2">
      <c r="A9" s="10"/>
      <c r="B9" t="s">
        <v>35</v>
      </c>
      <c r="C9" s="4">
        <f>2050-2024</f>
        <v>26</v>
      </c>
      <c r="D9" s="4">
        <f t="shared" ref="D9:E9" si="2">2050-2024</f>
        <v>26</v>
      </c>
      <c r="E9" s="4">
        <f t="shared" si="2"/>
        <v>26</v>
      </c>
      <c r="F9" t="s">
        <v>41</v>
      </c>
    </row>
    <row r="10" spans="1:7" x14ac:dyDescent="0.2">
      <c r="A10" s="10"/>
      <c r="B10" t="s">
        <v>43</v>
      </c>
      <c r="C10" s="4">
        <f>C8/C9</f>
        <v>0.72558444617832252</v>
      </c>
      <c r="D10" s="4">
        <f t="shared" ref="D10:E10" si="3">D8/D9</f>
        <v>2.1767533385349678</v>
      </c>
      <c r="E10" s="4">
        <f t="shared" si="3"/>
        <v>4.3535066770699355</v>
      </c>
      <c r="F10" t="s">
        <v>39</v>
      </c>
    </row>
    <row r="12" spans="1:7" x14ac:dyDescent="0.2">
      <c r="A12" s="10" t="s">
        <v>30</v>
      </c>
      <c r="B12" t="s">
        <v>24</v>
      </c>
      <c r="C12" s="4">
        <v>1740000</v>
      </c>
      <c r="D12" s="4">
        <v>1740000</v>
      </c>
      <c r="E12" s="4">
        <v>1740000</v>
      </c>
      <c r="F12" t="s">
        <v>37</v>
      </c>
      <c r="G12" s="6" t="s">
        <v>59</v>
      </c>
    </row>
    <row r="13" spans="1:7" x14ac:dyDescent="0.2">
      <c r="A13" s="10"/>
      <c r="B13" t="s">
        <v>26</v>
      </c>
      <c r="C13" s="4">
        <v>11800</v>
      </c>
      <c r="D13" s="4">
        <v>11800</v>
      </c>
      <c r="E13" s="4">
        <v>11800</v>
      </c>
      <c r="F13" t="s">
        <v>37</v>
      </c>
      <c r="G13" s="6" t="s">
        <v>59</v>
      </c>
    </row>
    <row r="14" spans="1:7" x14ac:dyDescent="0.2">
      <c r="A14" s="10"/>
      <c r="B14" t="s">
        <v>25</v>
      </c>
      <c r="C14" s="5">
        <f>C13/C12</f>
        <v>6.7816091954022986E-3</v>
      </c>
      <c r="D14" s="5">
        <f t="shared" ref="D14:E14" si="4">D13/D12</f>
        <v>6.7816091954022986E-3</v>
      </c>
      <c r="E14" s="5">
        <f t="shared" si="4"/>
        <v>6.7816091954022986E-3</v>
      </c>
      <c r="F14" t="s">
        <v>40</v>
      </c>
    </row>
    <row r="15" spans="1:7" x14ac:dyDescent="0.2">
      <c r="A15" s="10"/>
      <c r="B15" t="s">
        <v>31</v>
      </c>
      <c r="C15" s="4">
        <f>C12*C6</f>
        <v>3897.7564679323118</v>
      </c>
      <c r="D15" s="4">
        <f>D12*D6</f>
        <v>3897.7564679323118</v>
      </c>
      <c r="E15" s="4">
        <f>E12*E6</f>
        <v>3897.7564679323118</v>
      </c>
      <c r="F15" t="s">
        <v>37</v>
      </c>
    </row>
    <row r="16" spans="1:7" x14ac:dyDescent="0.2">
      <c r="A16" s="10"/>
      <c r="B16" t="s">
        <v>32</v>
      </c>
      <c r="C16" s="4">
        <f>C15-C13</f>
        <v>-7902.2435320676886</v>
      </c>
      <c r="D16" s="4">
        <f t="shared" ref="D16:E16" si="5">D15-D13</f>
        <v>-7902.2435320676886</v>
      </c>
      <c r="E16" s="4">
        <f t="shared" si="5"/>
        <v>-7902.2435320676886</v>
      </c>
      <c r="F16" t="s">
        <v>37</v>
      </c>
    </row>
    <row r="17" spans="1:7" x14ac:dyDescent="0.2">
      <c r="A17" s="10"/>
      <c r="B17" t="s">
        <v>27</v>
      </c>
      <c r="C17" s="4">
        <f>C7</f>
        <v>336.01348861485445</v>
      </c>
      <c r="D17" s="4">
        <f>D7</f>
        <v>1008.0404658445634</v>
      </c>
      <c r="E17" s="4">
        <f>E7</f>
        <v>2016.0809316891268</v>
      </c>
      <c r="F17" t="s">
        <v>37</v>
      </c>
    </row>
    <row r="18" spans="1:7" x14ac:dyDescent="0.2">
      <c r="A18" s="10"/>
      <c r="B18" t="s">
        <v>28</v>
      </c>
      <c r="C18" s="4">
        <f>C16+C17</f>
        <v>-7566.2300434528343</v>
      </c>
      <c r="D18" s="4">
        <f t="shared" ref="D18:E18" si="6">D16+D17</f>
        <v>-6894.2030662231255</v>
      </c>
      <c r="E18" s="4">
        <f t="shared" si="6"/>
        <v>-5886.1626003785623</v>
      </c>
      <c r="F18" t="s">
        <v>37</v>
      </c>
    </row>
    <row r="19" spans="1:7" x14ac:dyDescent="0.2">
      <c r="A19" s="10"/>
      <c r="B19" t="s">
        <v>20</v>
      </c>
      <c r="C19" s="4">
        <f>C18/C5*1000000</f>
        <v>-424.79964217376687</v>
      </c>
      <c r="D19" s="4">
        <f>D18/D5*1000000</f>
        <v>-387.0692509724941</v>
      </c>
      <c r="E19" s="4">
        <f>E18/E5*1000000</f>
        <v>-330.47366417058498</v>
      </c>
      <c r="F19" t="s">
        <v>39</v>
      </c>
    </row>
    <row r="20" spans="1:7" x14ac:dyDescent="0.2">
      <c r="A20" s="10"/>
      <c r="B20" t="s">
        <v>43</v>
      </c>
      <c r="C20" s="4">
        <f>C19/C9</f>
        <v>-16.338447775914112</v>
      </c>
      <c r="D20" s="4">
        <f>D19/D9</f>
        <v>-14.887278883557466</v>
      </c>
      <c r="E20" s="4">
        <f>E19/E9</f>
        <v>-12.710525545022499</v>
      </c>
      <c r="F20" t="s">
        <v>39</v>
      </c>
    </row>
    <row r="21" spans="1:7" x14ac:dyDescent="0.2">
      <c r="C21" s="5"/>
      <c r="D21" s="5"/>
      <c r="E21" s="5"/>
    </row>
    <row r="22" spans="1:7" x14ac:dyDescent="0.2">
      <c r="A22" s="10" t="s">
        <v>49</v>
      </c>
      <c r="B22" t="s">
        <v>47</v>
      </c>
      <c r="C22" s="2">
        <v>0.26400000000000001</v>
      </c>
      <c r="D22" s="2">
        <v>0.26400000000000001</v>
      </c>
      <c r="E22" s="2">
        <v>0.26400000000000001</v>
      </c>
      <c r="G22" s="6" t="s">
        <v>51</v>
      </c>
    </row>
    <row r="23" spans="1:7" x14ac:dyDescent="0.2">
      <c r="A23" s="10"/>
      <c r="B23" t="s">
        <v>48</v>
      </c>
      <c r="C23" s="2">
        <v>9.4E-2</v>
      </c>
      <c r="D23" s="2">
        <v>9.4E-2</v>
      </c>
      <c r="E23" s="2">
        <v>9.4E-2</v>
      </c>
      <c r="G23" s="6" t="s">
        <v>51</v>
      </c>
    </row>
    <row r="24" spans="1:7" x14ac:dyDescent="0.2">
      <c r="A24" s="10"/>
      <c r="B24" t="s">
        <v>11</v>
      </c>
      <c r="C24" s="1">
        <f>C22+C23</f>
        <v>0.35799999999999998</v>
      </c>
      <c r="D24" s="1">
        <f t="shared" ref="D24:E24" si="7">D22+D23</f>
        <v>0.35799999999999998</v>
      </c>
      <c r="E24" s="1">
        <f t="shared" si="7"/>
        <v>0.35799999999999998</v>
      </c>
    </row>
    <row r="27" spans="1:7" x14ac:dyDescent="0.2">
      <c r="B27" s="3" t="s">
        <v>50</v>
      </c>
    </row>
    <row r="28" spans="1:7" x14ac:dyDescent="0.2">
      <c r="B28" t="s">
        <v>70</v>
      </c>
      <c r="C28" t="s">
        <v>0</v>
      </c>
      <c r="D28" t="s">
        <v>1</v>
      </c>
      <c r="E28" t="s">
        <v>2</v>
      </c>
      <c r="F28" t="s">
        <v>56</v>
      </c>
    </row>
    <row r="29" spans="1:7" x14ac:dyDescent="0.2">
      <c r="B29" t="s">
        <v>54</v>
      </c>
      <c r="C29" s="4">
        <f>C20*C24</f>
        <v>-5.8491643037772523</v>
      </c>
      <c r="D29" s="4">
        <f>D20*D24</f>
        <v>-5.3296458403135727</v>
      </c>
      <c r="E29" s="4">
        <f>E20*E24</f>
        <v>-4.5503681451180542</v>
      </c>
      <c r="F29" t="s">
        <v>57</v>
      </c>
    </row>
    <row r="30" spans="1:7" x14ac:dyDescent="0.2">
      <c r="B30" t="s">
        <v>55</v>
      </c>
      <c r="C30" s="4">
        <f>C10*C24</f>
        <v>0.25975923173183946</v>
      </c>
      <c r="D30" s="4">
        <f>D10*D24</f>
        <v>0.77927769519551848</v>
      </c>
      <c r="E30" s="4">
        <f>E10*E24</f>
        <v>1.558555390391037</v>
      </c>
      <c r="F30" t="s">
        <v>57</v>
      </c>
    </row>
    <row r="32" spans="1:7" x14ac:dyDescent="0.2">
      <c r="B32" s="3" t="s">
        <v>66</v>
      </c>
    </row>
    <row r="33" spans="2:6" x14ac:dyDescent="0.2">
      <c r="B33" t="s">
        <v>69</v>
      </c>
      <c r="C33" t="s">
        <v>0</v>
      </c>
      <c r="D33" t="s">
        <v>1</v>
      </c>
      <c r="E33" t="s">
        <v>2</v>
      </c>
      <c r="F33" t="s">
        <v>56</v>
      </c>
    </row>
    <row r="34" spans="2:6" x14ac:dyDescent="0.2">
      <c r="B34" t="s">
        <v>54</v>
      </c>
      <c r="C34" s="4">
        <f>C18</f>
        <v>-7566.2300434528343</v>
      </c>
      <c r="D34" s="4">
        <f>D18</f>
        <v>-6894.2030662231255</v>
      </c>
      <c r="E34" s="4">
        <f>E18</f>
        <v>-5886.1626003785623</v>
      </c>
      <c r="F34" t="s">
        <v>57</v>
      </c>
    </row>
    <row r="35" spans="2:6" x14ac:dyDescent="0.2">
      <c r="B35" t="s">
        <v>55</v>
      </c>
      <c r="C35" s="4">
        <f>C7</f>
        <v>336.01348861485445</v>
      </c>
      <c r="D35" s="4">
        <f>D7</f>
        <v>1008.0404658445634</v>
      </c>
      <c r="E35" s="4">
        <f>E7</f>
        <v>2016.0809316891268</v>
      </c>
      <c r="F35" t="s">
        <v>57</v>
      </c>
    </row>
    <row r="47" spans="2:6" x14ac:dyDescent="0.2">
      <c r="C47" s="4"/>
      <c r="D47" s="4"/>
      <c r="E47" s="4"/>
    </row>
    <row r="48" spans="2:6" x14ac:dyDescent="0.2">
      <c r="C48" s="4"/>
      <c r="D48" s="4"/>
      <c r="E48" s="4"/>
    </row>
    <row r="54" spans="3:5" x14ac:dyDescent="0.2">
      <c r="C54" s="4"/>
      <c r="D54" s="4"/>
      <c r="E54" s="4"/>
    </row>
    <row r="55" spans="3:5" x14ac:dyDescent="0.2">
      <c r="C55" s="4"/>
      <c r="D55" s="4"/>
      <c r="E55" s="4"/>
    </row>
  </sheetData>
  <mergeCells count="3">
    <mergeCell ref="A4:A10"/>
    <mergeCell ref="A12:A20"/>
    <mergeCell ref="A22:A24"/>
  </mergeCells>
  <conditionalFormatting sqref="C47:E48 C29:E3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4:E55 C34:E3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G2" r:id="rId1" xr:uid="{05180106-184B-3C42-A8D4-556F9FF320F2}"/>
    <hyperlink ref="G22" r:id="rId2" xr:uid="{57590CA4-737B-974C-B7A9-9CBA61DB9850}"/>
    <hyperlink ref="G23" r:id="rId3" xr:uid="{A7C884CE-E80A-FC47-93B9-1A66F50B1076}"/>
    <hyperlink ref="G12" r:id="rId4" xr:uid="{CAF552BD-3CED-EE43-986D-B9CE61CBB0EC}"/>
    <hyperlink ref="G13" r:id="rId5" xr:uid="{2CD1750D-B4E7-3644-9E70-ADF20DA57363}"/>
  </hyperlinks>
  <pageMargins left="0.7" right="0.7" top="0.75" bottom="0.75" header="0.3" footer="0.3"/>
  <pageSetup paperSize="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28A8-FBE7-A249-B154-300615E5486B}">
  <dimension ref="A1:M69"/>
  <sheetViews>
    <sheetView zoomScale="93" workbookViewId="0">
      <selection activeCell="D46" sqref="D46"/>
    </sheetView>
  </sheetViews>
  <sheetFormatPr baseColWidth="10" defaultRowHeight="16" x14ac:dyDescent="0.2"/>
  <cols>
    <col min="1" max="1" width="11" bestFit="1" customWidth="1"/>
    <col min="2" max="2" width="13" customWidth="1"/>
    <col min="3" max="3" width="11.33203125" bestFit="1" customWidth="1"/>
    <col min="4" max="4" width="11" bestFit="1" customWidth="1"/>
    <col min="6" max="6" width="15" bestFit="1" customWidth="1"/>
    <col min="7" max="7" width="11.33203125" bestFit="1" customWidth="1"/>
    <col min="8" max="9" width="11" bestFit="1" customWidth="1"/>
    <col min="13" max="13" width="11" bestFit="1" customWidth="1"/>
  </cols>
  <sheetData>
    <row r="1" spans="1:9" x14ac:dyDescent="0.2">
      <c r="B1" t="s">
        <v>65</v>
      </c>
      <c r="F1" t="s">
        <v>64</v>
      </c>
    </row>
    <row r="2" spans="1:9" x14ac:dyDescent="0.2">
      <c r="B2" t="s">
        <v>61</v>
      </c>
      <c r="C2" t="s">
        <v>62</v>
      </c>
      <c r="D2" t="s">
        <v>68</v>
      </c>
      <c r="F2" t="s">
        <v>61</v>
      </c>
      <c r="G2" t="s">
        <v>62</v>
      </c>
      <c r="H2" t="s">
        <v>63</v>
      </c>
    </row>
    <row r="3" spans="1:9" x14ac:dyDescent="0.2">
      <c r="A3">
        <v>2019</v>
      </c>
      <c r="B3" s="8">
        <v>76249805815.498596</v>
      </c>
      <c r="C3" s="8">
        <v>15815860</v>
      </c>
      <c r="D3">
        <f>B3/C3</f>
        <v>4821.097671293157</v>
      </c>
      <c r="F3" s="8">
        <v>70666275345.466003</v>
      </c>
      <c r="G3" s="8">
        <v>15838600</v>
      </c>
      <c r="H3">
        <f>F3/G3</f>
        <v>4461.6490943306862</v>
      </c>
    </row>
    <row r="4" spans="1:9" x14ac:dyDescent="0.2">
      <c r="A4">
        <v>2023</v>
      </c>
      <c r="B4" s="8">
        <v>68044047323.8731</v>
      </c>
      <c r="C4" s="8">
        <v>16239855</v>
      </c>
      <c r="D4">
        <f>B4/C4</f>
        <v>4189.9418020587682</v>
      </c>
      <c r="F4" s="8">
        <v>62883159164.522697</v>
      </c>
      <c r="G4" s="8">
        <v>16247430</v>
      </c>
      <c r="H4">
        <f>F4/G4</f>
        <v>3870.3449816077186</v>
      </c>
    </row>
    <row r="5" spans="1:9" x14ac:dyDescent="0.2">
      <c r="C5">
        <v>17400000</v>
      </c>
      <c r="G5">
        <v>17400000</v>
      </c>
    </row>
    <row r="7" spans="1:9" x14ac:dyDescent="0.2">
      <c r="A7" s="3" t="s">
        <v>71</v>
      </c>
      <c r="F7" s="3" t="s">
        <v>67</v>
      </c>
    </row>
    <row r="8" spans="1:9" x14ac:dyDescent="0.2">
      <c r="B8" t="s">
        <v>0</v>
      </c>
      <c r="C8" t="s">
        <v>1</v>
      </c>
      <c r="D8" t="s">
        <v>2</v>
      </c>
      <c r="G8" t="s">
        <v>0</v>
      </c>
      <c r="H8" t="s">
        <v>1</v>
      </c>
      <c r="I8" t="s">
        <v>2</v>
      </c>
    </row>
    <row r="9" spans="1:9" x14ac:dyDescent="0.2">
      <c r="A9" t="s">
        <v>54</v>
      </c>
      <c r="B9">
        <f>'Dutch Carbon Budget'!D52*1000000000/Sheet1!$B$3*$C$3/$C$5</f>
        <v>-90.19539464720151</v>
      </c>
      <c r="C9">
        <f>'Dutch Carbon Budget'!E52*1000000000/Sheet1!$B$3*$C$3/$C$5</f>
        <v>-82.184306155747365</v>
      </c>
      <c r="D9">
        <f>'Dutch Carbon Budget'!F52*1000000000/Sheet1!$B$3*$C$3/$C$5</f>
        <v>-70.167673418566181</v>
      </c>
      <c r="F9" t="s">
        <v>54</v>
      </c>
      <c r="G9">
        <f>'Dutch Carbon Budget'!D52*1000000000/Sheet1!$F$3*$G$3/$G$5</f>
        <v>-97.461902068347896</v>
      </c>
      <c r="H9">
        <f>'Dutch Carbon Budget'!E52*1000000000/Sheet1!$F$3*$G$3/$G$5</f>
        <v>-88.805407742124601</v>
      </c>
      <c r="I9">
        <f>'Dutch Carbon Budget'!F52*1000000000/Sheet1!$F$3*$G$3/$G$5</f>
        <v>-75.820666252789664</v>
      </c>
    </row>
    <row r="10" spans="1:9" x14ac:dyDescent="0.2">
      <c r="A10" t="s">
        <v>55</v>
      </c>
      <c r="B10">
        <f>'Dutch Carbon Budget'!D53*1000000000/Sheet1!$B$3*$C$3/$C$5</f>
        <v>4.0055442457270658</v>
      </c>
      <c r="C10">
        <f>'Dutch Carbon Budget'!E53*1000000000/Sheet1!$B$3*$C$3/$C$5</f>
        <v>12.016632737181197</v>
      </c>
      <c r="D10">
        <f>'Dutch Carbon Budget'!F53*1000000000/Sheet1!$B$3*$C$3/$C$5</f>
        <v>24.033265474362395</v>
      </c>
      <c r="F10" t="s">
        <v>55</v>
      </c>
      <c r="G10">
        <f>'Dutch Carbon Budget'!D53*1000000000/Sheet1!$F$3*$G$3/$G$5</f>
        <v>4.3282471631116524</v>
      </c>
      <c r="H10">
        <f>'Dutch Carbon Budget'!E53*1000000000/Sheet1!$F$3*$G$3/$G$5</f>
        <v>12.984741489334956</v>
      </c>
      <c r="I10">
        <f>'Dutch Carbon Budget'!F53*1000000000/Sheet1!$F$3*$G$3/$G$5</f>
        <v>25.969482978669912</v>
      </c>
    </row>
    <row r="11" spans="1:9" x14ac:dyDescent="0.2">
      <c r="A11" t="s">
        <v>53</v>
      </c>
      <c r="B11">
        <f>'Dutch Carbon Budget'!D54*1000000000/Sheet1!$B$3*$C$3/$C$5</f>
        <v>7.322033324966819</v>
      </c>
      <c r="C11">
        <f>'Dutch Carbon Budget'!E54*1000000000/Sheet1!$B$3*$C$3/$C$5</f>
        <v>21.966099974900455</v>
      </c>
      <c r="D11">
        <f>'Dutch Carbon Budget'!F54*1000000000/Sheet1!$B$3*$C$3/$C$5</f>
        <v>43.932199949800911</v>
      </c>
      <c r="F11" t="s">
        <v>53</v>
      </c>
      <c r="G11">
        <f>'Dutch Carbon Budget'!D54*1000000000/Sheet1!$F$3*$G$3/$G$5</f>
        <v>7.9119260761639936</v>
      </c>
      <c r="H11">
        <f>'Dutch Carbon Budget'!E54*1000000000/Sheet1!$F$3*$G$3/$G$5</f>
        <v>23.735778228491984</v>
      </c>
      <c r="I11">
        <f>'Dutch Carbon Budget'!F54*1000000000/Sheet1!$F$3*$G$3/$G$5</f>
        <v>47.471556456983969</v>
      </c>
    </row>
    <row r="12" spans="1:9" x14ac:dyDescent="0.2">
      <c r="A12" t="s">
        <v>52</v>
      </c>
      <c r="B12">
        <f>'Dutch Carbon Budget'!D55*1000000000/Sheet1!$B$3*$C$3/$C$5</f>
        <v>17.54631287831339</v>
      </c>
      <c r="C12">
        <f>'Dutch Carbon Budget'!E55*1000000000/Sheet1!$B$3*$C$3/$C$5</f>
        <v>52.638938634940168</v>
      </c>
      <c r="D12">
        <f>'Dutch Carbon Budget'!F55*1000000000/Sheet1!$B$3*$C$3/$C$5</f>
        <v>105.27787726988034</v>
      </c>
      <c r="F12" t="s">
        <v>52</v>
      </c>
      <c r="G12">
        <f>'Dutch Carbon Budget'!D55*1000000000/Sheet1!$F$3*$G$3/$G$5</f>
        <v>18.959915127549483</v>
      </c>
      <c r="H12">
        <f>'Dutch Carbon Budget'!E55*1000000000/Sheet1!$F$3*$G$3/$G$5</f>
        <v>56.879745382648444</v>
      </c>
      <c r="I12">
        <f>'Dutch Carbon Budget'!F55*1000000000/Sheet1!$F$3*$G$3/$G$5</f>
        <v>113.75949076529689</v>
      </c>
    </row>
    <row r="14" spans="1:9" x14ac:dyDescent="0.2">
      <c r="A14" s="3" t="s">
        <v>72</v>
      </c>
      <c r="F14" s="3" t="s">
        <v>67</v>
      </c>
    </row>
    <row r="15" spans="1:9" x14ac:dyDescent="0.2">
      <c r="B15" t="s">
        <v>0</v>
      </c>
      <c r="C15" t="s">
        <v>1</v>
      </c>
      <c r="D15" t="s">
        <v>2</v>
      </c>
      <c r="G15" t="s">
        <v>0</v>
      </c>
      <c r="H15" t="s">
        <v>1</v>
      </c>
      <c r="I15" t="s">
        <v>2</v>
      </c>
    </row>
    <row r="16" spans="1:9" x14ac:dyDescent="0.2">
      <c r="A16" t="s">
        <v>54</v>
      </c>
      <c r="B16">
        <f>'Dutch Carbon Budget'!D52*1000000000/Sheet1!$B$4*$C$4/$C$5</f>
        <v>-103.78206372253838</v>
      </c>
      <c r="C16">
        <f>'Dutch Carbon Budget'!E52*1000000000/Sheet1!$B$4*$C$4/$C$5</f>
        <v>-94.564217295245413</v>
      </c>
      <c r="D16">
        <f>'Dutch Carbon Budget'!F52*1000000000/Sheet1!$B$4*$C$4/$C$5</f>
        <v>-80.737447654305953</v>
      </c>
      <c r="F16" t="s">
        <v>54</v>
      </c>
      <c r="G16">
        <f>'Dutch Carbon Budget'!D52*1000000000/Sheet1!$F$4*$G$4/$G$5</f>
        <v>-112.35195032003585</v>
      </c>
      <c r="H16">
        <f>'Dutch Carbon Budget'!E52*1000000000/Sheet1!$F$4*$G$4/$G$5</f>
        <v>-102.3729328799343</v>
      </c>
      <c r="I16">
        <f>'Dutch Carbon Budget'!F52*1000000000/Sheet1!$F$4*$G$4/$G$5</f>
        <v>-87.404406719782003</v>
      </c>
    </row>
    <row r="17" spans="1:9" x14ac:dyDescent="0.2">
      <c r="A17" t="s">
        <v>55</v>
      </c>
      <c r="B17">
        <f>'Dutch Carbon Budget'!D53*1000000000/Sheet1!$B$4*$C$4/$C$5</f>
        <v>4.6089232136464897</v>
      </c>
      <c r="C17">
        <f>'Dutch Carbon Budget'!E53*1000000000/Sheet1!$B$4*$C$4/$C$5</f>
        <v>13.826769640939469</v>
      </c>
      <c r="D17">
        <f>'Dutch Carbon Budget'!F53*1000000000/Sheet1!$B$4*$C$4/$C$5</f>
        <v>27.653539281878938</v>
      </c>
      <c r="F17" t="s">
        <v>55</v>
      </c>
      <c r="G17">
        <f>'Dutch Carbon Budget'!D53*1000000000/Sheet1!$F$4*$G$4/$G$5</f>
        <v>4.9895087200507735</v>
      </c>
      <c r="H17">
        <f>'Dutch Carbon Budget'!E53*1000000000/Sheet1!$F$4*$G$4/$G$5</f>
        <v>14.968526160152322</v>
      </c>
      <c r="I17">
        <f>'Dutch Carbon Budget'!F53*1000000000/Sheet1!$F$4*$G$4/$G$5</f>
        <v>29.937052320304645</v>
      </c>
    </row>
    <row r="18" spans="1:9" x14ac:dyDescent="0.2">
      <c r="A18" t="s">
        <v>53</v>
      </c>
      <c r="B18">
        <f>'Dutch Carbon Budget'!D54*1000000000/Sheet1!$B$4*$C$4/$C$5</f>
        <v>8.4249947803053757</v>
      </c>
      <c r="C18">
        <f>'Dutch Carbon Budget'!E54*1000000000/Sheet1!$B$4*$C$4/$C$5</f>
        <v>25.274984340916127</v>
      </c>
      <c r="D18">
        <f>'Dutch Carbon Budget'!F54*1000000000/Sheet1!$B$4*$C$4/$C$5</f>
        <v>50.549968681832254</v>
      </c>
      <c r="F18" t="s">
        <v>53</v>
      </c>
      <c r="G18">
        <f>'Dutch Carbon Budget'!D54*1000000000/Sheet1!$F$4*$G$4/$G$5</f>
        <v>9.1206954366804034</v>
      </c>
      <c r="H18">
        <f>'Dutch Carbon Budget'!E54*1000000000/Sheet1!$F$4*$G$4/$G$5</f>
        <v>27.362086310041214</v>
      </c>
      <c r="I18">
        <f>'Dutch Carbon Budget'!F54*1000000000/Sheet1!$F$4*$G$4/$G$5</f>
        <v>54.724172620082427</v>
      </c>
    </row>
    <row r="19" spans="1:9" x14ac:dyDescent="0.2">
      <c r="A19" t="s">
        <v>52</v>
      </c>
      <c r="B19">
        <f>'Dutch Carbon Budget'!D55*1000000000/Sheet1!$B$4*$C$4/$C$5</f>
        <v>20.189418410502142</v>
      </c>
      <c r="C19">
        <f>'Dutch Carbon Budget'!E55*1000000000/Sheet1!$B$4*$C$4/$C$5</f>
        <v>60.568255231506413</v>
      </c>
      <c r="D19">
        <f>'Dutch Carbon Budget'!F55*1000000000/Sheet1!$B$4*$C$4/$C$5</f>
        <v>121.13651046301283</v>
      </c>
      <c r="F19" t="s">
        <v>52</v>
      </c>
      <c r="G19">
        <f>'Dutch Carbon Budget'!D55*1000000000/Sheet1!$F$4*$G$4/$G$5</f>
        <v>21.856575721133417</v>
      </c>
      <c r="H19">
        <f>'Dutch Carbon Budget'!E55*1000000000/Sheet1!$F$4*$G$4/$G$5</f>
        <v>65.569727163400245</v>
      </c>
      <c r="I19">
        <f>'Dutch Carbon Budget'!F55*1000000000/Sheet1!$F$4*$G$4/$G$5</f>
        <v>131.13945432680049</v>
      </c>
    </row>
    <row r="22" spans="1:9" x14ac:dyDescent="0.2">
      <c r="A22">
        <v>2019</v>
      </c>
      <c r="F22">
        <v>2019</v>
      </c>
    </row>
    <row r="23" spans="1:9" x14ac:dyDescent="0.2">
      <c r="A23" t="s">
        <v>73</v>
      </c>
      <c r="F23" t="s">
        <v>73</v>
      </c>
    </row>
    <row r="24" spans="1:9" x14ac:dyDescent="0.2">
      <c r="B24" t="s">
        <v>0</v>
      </c>
      <c r="C24" t="s">
        <v>1</v>
      </c>
      <c r="D24" t="s">
        <v>2</v>
      </c>
      <c r="G24" t="s">
        <v>0</v>
      </c>
      <c r="H24" t="s">
        <v>1</v>
      </c>
      <c r="I24" t="s">
        <v>2</v>
      </c>
    </row>
    <row r="25" spans="1:9" x14ac:dyDescent="0.2">
      <c r="A25" t="s">
        <v>54</v>
      </c>
      <c r="B25">
        <f>B9*'Dutch Carbon Budget'!$D$39</f>
        <v>-32.289951283698137</v>
      </c>
      <c r="C25">
        <f>C9*'Dutch Carbon Budget'!$D$39</f>
        <v>-29.421981603757555</v>
      </c>
      <c r="D25">
        <f>D9*'Dutch Carbon Budget'!$D$39</f>
        <v>-25.120027083846693</v>
      </c>
      <c r="F25" t="s">
        <v>54</v>
      </c>
      <c r="G25">
        <f>G9*'Dutch Carbon Budget'!$D$39</f>
        <v>-34.891360940468545</v>
      </c>
      <c r="H25">
        <f>H9*'Dutch Carbon Budget'!$D$39</f>
        <v>-31.792335971680604</v>
      </c>
      <c r="I25">
        <f>I9*'Dutch Carbon Budget'!$D$39</f>
        <v>-27.143798518498699</v>
      </c>
    </row>
    <row r="26" spans="1:9" x14ac:dyDescent="0.2">
      <c r="A26" t="s">
        <v>55</v>
      </c>
      <c r="B26">
        <f>B10*'Dutch Carbon Budget'!$D$39</f>
        <v>1.4339848399702895</v>
      </c>
      <c r="C26">
        <f>C10*'Dutch Carbon Budget'!$D$39</f>
        <v>4.3019545199108684</v>
      </c>
      <c r="D26">
        <f>D10*'Dutch Carbon Budget'!$D$39</f>
        <v>8.6039090398217368</v>
      </c>
      <c r="F26" t="s">
        <v>55</v>
      </c>
      <c r="G26">
        <f>G10*'Dutch Carbon Budget'!$D$39</f>
        <v>1.5495124843939714</v>
      </c>
      <c r="H26">
        <f>H10*'Dutch Carbon Budget'!$D$39</f>
        <v>4.6485374531819144</v>
      </c>
      <c r="I26">
        <f>I10*'Dutch Carbon Budget'!$D$39</f>
        <v>9.2970749063638287</v>
      </c>
    </row>
    <row r="27" spans="1:9" x14ac:dyDescent="0.2">
      <c r="A27" t="s">
        <v>53</v>
      </c>
      <c r="B27">
        <f>B11*'Dutch Carbon Budget'!$D$39</f>
        <v>2.6212879303381209</v>
      </c>
      <c r="C27">
        <f>C11*'Dutch Carbon Budget'!$D$39</f>
        <v>7.8638637910143627</v>
      </c>
      <c r="D27">
        <f>D11*'Dutch Carbon Budget'!$D$39</f>
        <v>15.727727582028725</v>
      </c>
      <c r="F27" t="s">
        <v>53</v>
      </c>
      <c r="G27">
        <f>G11*'Dutch Carbon Budget'!$D$39</f>
        <v>2.8324695352667097</v>
      </c>
      <c r="H27">
        <f>H11*'Dutch Carbon Budget'!$D$39</f>
        <v>8.4974086058001301</v>
      </c>
      <c r="I27">
        <f>I11*'Dutch Carbon Budget'!$D$39</f>
        <v>16.99481721160026</v>
      </c>
    </row>
    <row r="28" spans="1:9" x14ac:dyDescent="0.2">
      <c r="A28" t="s">
        <v>52</v>
      </c>
      <c r="B28">
        <f>B12*'Dutch Carbon Budget'!$D$39</f>
        <v>6.2815800104361932</v>
      </c>
      <c r="C28">
        <f>C12*'Dutch Carbon Budget'!$D$39</f>
        <v>18.844740031308579</v>
      </c>
      <c r="D28">
        <f>D12*'Dutch Carbon Budget'!$D$39</f>
        <v>37.689480062617157</v>
      </c>
      <c r="F28" t="s">
        <v>52</v>
      </c>
      <c r="G28">
        <f>G12*'Dutch Carbon Budget'!$D$39</f>
        <v>6.7876496156627146</v>
      </c>
      <c r="H28">
        <f>H12*'Dutch Carbon Budget'!$D$39</f>
        <v>20.362948846988143</v>
      </c>
      <c r="I28">
        <f>I12*'Dutch Carbon Budget'!$D$39</f>
        <v>40.725897693976286</v>
      </c>
    </row>
    <row r="29" spans="1:9" x14ac:dyDescent="0.2">
      <c r="A29">
        <v>2023</v>
      </c>
      <c r="F29">
        <v>2023</v>
      </c>
    </row>
    <row r="30" spans="1:9" x14ac:dyDescent="0.2">
      <c r="A30" t="s">
        <v>73</v>
      </c>
      <c r="F30" t="s">
        <v>73</v>
      </c>
    </row>
    <row r="31" spans="1:9" x14ac:dyDescent="0.2">
      <c r="B31" t="s">
        <v>0</v>
      </c>
      <c r="C31" t="s">
        <v>1</v>
      </c>
      <c r="D31" t="s">
        <v>2</v>
      </c>
      <c r="G31" t="s">
        <v>0</v>
      </c>
      <c r="H31" t="s">
        <v>1</v>
      </c>
      <c r="I31" t="s">
        <v>2</v>
      </c>
    </row>
    <row r="32" spans="1:9" x14ac:dyDescent="0.2">
      <c r="A32" t="s">
        <v>54</v>
      </c>
      <c r="B32">
        <f>B16*'Dutch Carbon Budget'!$D$39</f>
        <v>-37.15397881266874</v>
      </c>
      <c r="C32">
        <f>C16*'Dutch Carbon Budget'!$D$39</f>
        <v>-33.853989791697856</v>
      </c>
      <c r="D32">
        <f>D16*'Dutch Carbon Budget'!$D$39</f>
        <v>-28.90400626024153</v>
      </c>
      <c r="F32" t="s">
        <v>54</v>
      </c>
      <c r="G32">
        <f>G16*'Dutch Carbon Budget'!$D$39</f>
        <v>-40.221998214572835</v>
      </c>
      <c r="H32">
        <f>H16*'Dutch Carbon Budget'!$D$39</f>
        <v>-36.649509971016478</v>
      </c>
      <c r="I32">
        <f>I16*'Dutch Carbon Budget'!$D$39</f>
        <v>-31.290777605681956</v>
      </c>
    </row>
    <row r="33" spans="1:9" x14ac:dyDescent="0.2">
      <c r="A33" t="s">
        <v>55</v>
      </c>
      <c r="B33">
        <f>B17*'Dutch Carbon Budget'!$D$39</f>
        <v>1.6499945104854432</v>
      </c>
      <c r="C33">
        <f>C17*'Dutch Carbon Budget'!$D$39</f>
        <v>4.9499835314563301</v>
      </c>
      <c r="D33">
        <f>D17*'Dutch Carbon Budget'!$D$39</f>
        <v>9.8999670629126602</v>
      </c>
      <c r="F33" t="s">
        <v>55</v>
      </c>
      <c r="G33">
        <f>G17*'Dutch Carbon Budget'!$D$39</f>
        <v>1.7862441217781768</v>
      </c>
      <c r="H33">
        <f>H17*'Dutch Carbon Budget'!$D$39</f>
        <v>5.3587323653345313</v>
      </c>
      <c r="I33">
        <f>I17*'Dutch Carbon Budget'!$D$39</f>
        <v>10.717464730669063</v>
      </c>
    </row>
    <row r="34" spans="1:9" x14ac:dyDescent="0.2">
      <c r="A34" t="s">
        <v>53</v>
      </c>
      <c r="B34">
        <f>B18*'Dutch Carbon Budget'!$D$39</f>
        <v>3.0161481313493246</v>
      </c>
      <c r="C34">
        <f>C18*'Dutch Carbon Budget'!$D$39</f>
        <v>9.0484443940479728</v>
      </c>
      <c r="D34">
        <f>D18*'Dutch Carbon Budget'!$D$39</f>
        <v>18.096888788095946</v>
      </c>
      <c r="F34" t="s">
        <v>53</v>
      </c>
      <c r="G34">
        <f>G18*'Dutch Carbon Budget'!$D$39</f>
        <v>3.2652089663315844</v>
      </c>
      <c r="H34">
        <f>H18*'Dutch Carbon Budget'!$D$39</f>
        <v>9.7956268989947546</v>
      </c>
      <c r="I34">
        <f>I18*'Dutch Carbon Budget'!$D$39</f>
        <v>19.591253797989509</v>
      </c>
    </row>
    <row r="35" spans="1:9" x14ac:dyDescent="0.2">
      <c r="A35" t="s">
        <v>52</v>
      </c>
      <c r="B35">
        <f>B19*'Dutch Carbon Budget'!$D$39</f>
        <v>7.227811790959767</v>
      </c>
      <c r="C35">
        <f>C19*'Dutch Carbon Budget'!$D$39</f>
        <v>21.683435372879295</v>
      </c>
      <c r="D35">
        <f>D19*'Dutch Carbon Budget'!$D$39</f>
        <v>43.36687074575859</v>
      </c>
      <c r="F35" t="s">
        <v>52</v>
      </c>
      <c r="G35">
        <f>G19*'Dutch Carbon Budget'!$D$39</f>
        <v>7.8246541081657632</v>
      </c>
      <c r="H35">
        <f>H19*'Dutch Carbon Budget'!$D$39</f>
        <v>23.473962324497286</v>
      </c>
      <c r="I35">
        <f>I19*'Dutch Carbon Budget'!$D$39</f>
        <v>46.947924648994572</v>
      </c>
    </row>
    <row r="37" spans="1:9" x14ac:dyDescent="0.2">
      <c r="B37" t="s">
        <v>74</v>
      </c>
    </row>
    <row r="38" spans="1:9" x14ac:dyDescent="0.2">
      <c r="A38">
        <v>2019</v>
      </c>
      <c r="B38" s="9">
        <v>4.8210976700000003</v>
      </c>
    </row>
    <row r="39" spans="1:9" x14ac:dyDescent="0.2">
      <c r="A39">
        <v>2020</v>
      </c>
    </row>
    <row r="40" spans="1:9" x14ac:dyDescent="0.2">
      <c r="A40">
        <v>2021</v>
      </c>
    </row>
    <row r="41" spans="1:9" x14ac:dyDescent="0.2">
      <c r="A41">
        <v>2022</v>
      </c>
    </row>
    <row r="42" spans="1:9" x14ac:dyDescent="0.2">
      <c r="A42">
        <v>2023</v>
      </c>
      <c r="B42">
        <v>4.1899418020587698</v>
      </c>
    </row>
    <row r="43" spans="1:9" x14ac:dyDescent="0.2">
      <c r="A43">
        <v>2024</v>
      </c>
    </row>
    <row r="44" spans="1:9" x14ac:dyDescent="0.2">
      <c r="A44">
        <v>2025</v>
      </c>
    </row>
    <row r="45" spans="1:9" x14ac:dyDescent="0.2">
      <c r="A45">
        <v>2026</v>
      </c>
    </row>
    <row r="46" spans="1:9" x14ac:dyDescent="0.2">
      <c r="A46">
        <v>2027</v>
      </c>
    </row>
    <row r="47" spans="1:9" x14ac:dyDescent="0.2">
      <c r="A47">
        <v>2028</v>
      </c>
    </row>
    <row r="48" spans="1:9" x14ac:dyDescent="0.2">
      <c r="A48">
        <v>2029</v>
      </c>
    </row>
    <row r="49" spans="1:13" x14ac:dyDescent="0.2">
      <c r="A49">
        <v>2030</v>
      </c>
    </row>
    <row r="50" spans="1:13" x14ac:dyDescent="0.2">
      <c r="A50">
        <v>2031</v>
      </c>
    </row>
    <row r="51" spans="1:13" x14ac:dyDescent="0.2">
      <c r="A51">
        <v>2032</v>
      </c>
      <c r="M51">
        <f>0.57*4.54</f>
        <v>2.5877999999999997</v>
      </c>
    </row>
    <row r="52" spans="1:13" x14ac:dyDescent="0.2">
      <c r="A52">
        <v>2033</v>
      </c>
      <c r="M52">
        <f>1.57*1.65</f>
        <v>2.5905</v>
      </c>
    </row>
    <row r="53" spans="1:13" x14ac:dyDescent="0.2">
      <c r="A53">
        <v>2034</v>
      </c>
    </row>
    <row r="54" spans="1:13" x14ac:dyDescent="0.2">
      <c r="A54">
        <v>2035</v>
      </c>
    </row>
    <row r="55" spans="1:13" x14ac:dyDescent="0.2">
      <c r="A55">
        <v>2036</v>
      </c>
    </row>
    <row r="56" spans="1:13" x14ac:dyDescent="0.2">
      <c r="A56">
        <v>2037</v>
      </c>
    </row>
    <row r="57" spans="1:13" x14ac:dyDescent="0.2">
      <c r="A57">
        <v>2038</v>
      </c>
    </row>
    <row r="58" spans="1:13" x14ac:dyDescent="0.2">
      <c r="A58">
        <v>2039</v>
      </c>
    </row>
    <row r="59" spans="1:13" x14ac:dyDescent="0.2">
      <c r="A59">
        <v>2040</v>
      </c>
    </row>
    <row r="60" spans="1:13" x14ac:dyDescent="0.2">
      <c r="A60">
        <v>2041</v>
      </c>
    </row>
    <row r="61" spans="1:13" x14ac:dyDescent="0.2">
      <c r="A61">
        <v>2042</v>
      </c>
    </row>
    <row r="62" spans="1:13" x14ac:dyDescent="0.2">
      <c r="A62">
        <v>2043</v>
      </c>
    </row>
    <row r="63" spans="1:13" x14ac:dyDescent="0.2">
      <c r="A63">
        <v>2044</v>
      </c>
    </row>
    <row r="64" spans="1:13" x14ac:dyDescent="0.2">
      <c r="A64">
        <v>2045</v>
      </c>
    </row>
    <row r="65" spans="1:2" x14ac:dyDescent="0.2">
      <c r="A65">
        <v>2046</v>
      </c>
    </row>
    <row r="66" spans="1:2" x14ac:dyDescent="0.2">
      <c r="A66">
        <v>2047</v>
      </c>
    </row>
    <row r="67" spans="1:2" x14ac:dyDescent="0.2">
      <c r="A67">
        <v>2048</v>
      </c>
    </row>
    <row r="68" spans="1:2" x14ac:dyDescent="0.2">
      <c r="A68">
        <v>2049</v>
      </c>
    </row>
    <row r="69" spans="1:2" x14ac:dyDescent="0.2">
      <c r="A69">
        <v>2050</v>
      </c>
      <c r="B69"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Dutch Carbon Budget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Kopp</dc:creator>
  <cp:lastModifiedBy>Kopp</cp:lastModifiedBy>
  <cp:lastPrinted>2025-04-02T15:45:34Z</cp:lastPrinted>
  <dcterms:created xsi:type="dcterms:W3CDTF">2025-02-18T16:27:40Z</dcterms:created>
  <dcterms:modified xsi:type="dcterms:W3CDTF">2025-04-02T16:55:46Z</dcterms:modified>
</cp:coreProperties>
</file>