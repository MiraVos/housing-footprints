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/Documents/Post-GrowthHousingScenarios/"/>
    </mc:Choice>
  </mc:AlternateContent>
  <xr:revisionPtr revIDLastSave="0" documentId="13_ncr:1_{5B0E6907-0728-AD4A-8859-2332CF9E1D6B}" xr6:coauthVersionLast="47" xr6:coauthVersionMax="47" xr10:uidLastSave="{00000000-0000-0000-0000-000000000000}"/>
  <bookViews>
    <workbookView xWindow="30620" yWindow="1480" windowWidth="24640" windowHeight="13900" xr2:uid="{4EC9151E-1AD3-8A49-B143-BF06D4EA386D}"/>
  </bookViews>
  <sheets>
    <sheet name="0_EnergyDemandIntensit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D73" i="1" s="1"/>
  <c r="B73" i="1"/>
  <c r="C72" i="1"/>
  <c r="B72" i="1"/>
  <c r="C71" i="1"/>
  <c r="B71" i="1"/>
  <c r="C70" i="1"/>
  <c r="B70" i="1"/>
  <c r="C69" i="1"/>
  <c r="B69" i="1"/>
  <c r="D69" i="1" s="1"/>
  <c r="D68" i="1"/>
  <c r="C68" i="1"/>
  <c r="B68" i="1"/>
  <c r="C67" i="1"/>
  <c r="B67" i="1"/>
  <c r="C66" i="1"/>
  <c r="B66" i="1"/>
  <c r="D66" i="1" s="1"/>
  <c r="C65" i="1"/>
  <c r="B65" i="1"/>
  <c r="C64" i="1"/>
  <c r="B64" i="1"/>
  <c r="D64" i="1" s="1"/>
  <c r="C63" i="1"/>
  <c r="B63" i="1"/>
  <c r="D63" i="1" s="1"/>
  <c r="C62" i="1"/>
  <c r="B62" i="1"/>
  <c r="D62" i="1" s="1"/>
  <c r="C61" i="1"/>
  <c r="D61" i="1" s="1"/>
  <c r="B61" i="1"/>
  <c r="D60" i="1"/>
  <c r="C60" i="1"/>
  <c r="B60" i="1"/>
  <c r="C59" i="1"/>
  <c r="B59" i="1"/>
  <c r="D59" i="1" s="1"/>
  <c r="C58" i="1"/>
  <c r="B58" i="1"/>
  <c r="D58" i="1" s="1"/>
  <c r="C57" i="1"/>
  <c r="B57" i="1"/>
  <c r="D57" i="1" s="1"/>
  <c r="C56" i="1"/>
  <c r="D56" i="1" s="1"/>
  <c r="B56" i="1"/>
  <c r="C55" i="1"/>
  <c r="B55" i="1"/>
  <c r="C54" i="1"/>
  <c r="B54" i="1"/>
  <c r="C53" i="1"/>
  <c r="B53" i="1"/>
  <c r="C52" i="1"/>
  <c r="B52" i="1"/>
  <c r="D51" i="1"/>
  <c r="C51" i="1"/>
  <c r="B51" i="1"/>
  <c r="C50" i="1"/>
  <c r="B50" i="1"/>
  <c r="D50" i="1" s="1"/>
  <c r="C49" i="1"/>
  <c r="B49" i="1"/>
  <c r="D49" i="1" s="1"/>
  <c r="C48" i="1"/>
  <c r="B48" i="1"/>
  <c r="C47" i="1"/>
  <c r="B47" i="1"/>
  <c r="D47" i="1" s="1"/>
  <c r="C46" i="1"/>
  <c r="B46" i="1"/>
  <c r="C45" i="1"/>
  <c r="B45" i="1"/>
  <c r="D45" i="1" s="1"/>
  <c r="C44" i="1"/>
  <c r="B44" i="1"/>
  <c r="C43" i="1"/>
  <c r="B43" i="1"/>
  <c r="D43" i="1" s="1"/>
  <c r="C42" i="1"/>
  <c r="B42" i="1"/>
  <c r="C41" i="1"/>
  <c r="B41" i="1"/>
  <c r="D41" i="1" s="1"/>
  <c r="C40" i="1"/>
  <c r="B40" i="1"/>
  <c r="C39" i="1"/>
  <c r="B39" i="1"/>
  <c r="D39" i="1" s="1"/>
  <c r="D38" i="1"/>
  <c r="C38" i="1"/>
  <c r="B38" i="1"/>
  <c r="D37" i="1"/>
  <c r="C37" i="1"/>
  <c r="B37" i="1"/>
  <c r="C36" i="1"/>
  <c r="B36" i="1"/>
  <c r="D36" i="1" s="1"/>
  <c r="C35" i="1"/>
  <c r="B35" i="1"/>
  <c r="D35" i="1" s="1"/>
  <c r="C34" i="1"/>
  <c r="B34" i="1"/>
  <c r="D34" i="1" s="1"/>
  <c r="C33" i="1"/>
  <c r="B33" i="1"/>
  <c r="D33" i="1" s="1"/>
  <c r="C32" i="1"/>
  <c r="B32" i="1"/>
  <c r="D32" i="1" s="1"/>
  <c r="C31" i="1"/>
  <c r="B31" i="1"/>
  <c r="D31" i="1" s="1"/>
  <c r="C30" i="1"/>
  <c r="D30" i="1" s="1"/>
  <c r="B30" i="1"/>
  <c r="C29" i="1"/>
  <c r="B29" i="1"/>
  <c r="D29" i="1" s="1"/>
  <c r="C28" i="1"/>
  <c r="B28" i="1"/>
  <c r="D28" i="1" s="1"/>
  <c r="C27" i="1"/>
  <c r="B27" i="1"/>
  <c r="D27" i="1" s="1"/>
  <c r="C26" i="1"/>
  <c r="B26" i="1"/>
  <c r="D26" i="1" s="1"/>
  <c r="C25" i="1"/>
  <c r="D25" i="1" s="1"/>
  <c r="B25" i="1"/>
  <c r="C24" i="1"/>
  <c r="B24" i="1"/>
  <c r="D24" i="1" s="1"/>
  <c r="C23" i="1"/>
  <c r="B23" i="1"/>
  <c r="D23" i="1" s="1"/>
  <c r="C22" i="1"/>
  <c r="B22" i="1"/>
  <c r="D22" i="1" s="1"/>
  <c r="C21" i="1"/>
  <c r="B21" i="1"/>
  <c r="D21" i="1" s="1"/>
  <c r="C20" i="1"/>
  <c r="B20" i="1"/>
  <c r="D20" i="1" s="1"/>
  <c r="C19" i="1"/>
  <c r="B19" i="1"/>
  <c r="D19" i="1" s="1"/>
  <c r="C18" i="1"/>
  <c r="B18" i="1"/>
  <c r="D18" i="1" s="1"/>
  <c r="C17" i="1"/>
  <c r="B17" i="1"/>
  <c r="D17" i="1" s="1"/>
  <c r="D16" i="1"/>
  <c r="C16" i="1"/>
  <c r="B16" i="1"/>
  <c r="C15" i="1"/>
  <c r="B15" i="1"/>
  <c r="D15" i="1" s="1"/>
  <c r="C14" i="1"/>
  <c r="B14" i="1"/>
  <c r="D14" i="1" s="1"/>
  <c r="C13" i="1"/>
  <c r="B13" i="1"/>
  <c r="D13" i="1" s="1"/>
  <c r="C12" i="1"/>
  <c r="B12" i="1"/>
  <c r="D12" i="1" s="1"/>
  <c r="C11" i="1"/>
  <c r="D11" i="1" s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D4" i="1" s="1"/>
  <c r="C3" i="1"/>
  <c r="B3" i="1"/>
  <c r="D3" i="1" s="1"/>
  <c r="C2" i="1"/>
  <c r="B2" i="1"/>
  <c r="D2" i="1" l="1"/>
  <c r="D5" i="1"/>
  <c r="D7" i="1"/>
  <c r="D9" i="1"/>
  <c r="D44" i="1"/>
  <c r="D46" i="1"/>
  <c r="D48" i="1"/>
  <c r="D53" i="1"/>
  <c r="D55" i="1"/>
  <c r="D67" i="1"/>
  <c r="D70" i="1"/>
  <c r="D72" i="1"/>
  <c r="D6" i="1"/>
  <c r="D8" i="1"/>
  <c r="D10" i="1"/>
  <c r="D52" i="1"/>
  <c r="D54" i="1"/>
  <c r="D71" i="1"/>
  <c r="D40" i="1"/>
  <c r="D42" i="1"/>
  <c r="D65" i="1"/>
</calcChain>
</file>

<file path=xl/sharedStrings.xml><?xml version="1.0" encoding="utf-8"?>
<sst xmlns="http://schemas.openxmlformats.org/spreadsheetml/2006/main" count="76" uniqueCount="76">
  <si>
    <t>Building Archetype</t>
  </si>
  <si>
    <t>Electricity max</t>
  </si>
  <si>
    <t>Electricity min</t>
  </si>
  <si>
    <t>SFH_old</t>
  </si>
  <si>
    <t>SFH_old_NZEB</t>
  </si>
  <si>
    <t>SFH_1965</t>
  </si>
  <si>
    <t>SFH_1965_NZEB</t>
  </si>
  <si>
    <t>SFH_1975</t>
  </si>
  <si>
    <t>SFH_1975_NZEB</t>
  </si>
  <si>
    <t>SFH_1992</t>
  </si>
  <si>
    <t>SFH_1992_NZEB</t>
  </si>
  <si>
    <t>SFH_2006</t>
  </si>
  <si>
    <t>SFH_2006_NZEB</t>
  </si>
  <si>
    <t>SFH_2015</t>
  </si>
  <si>
    <t>SFH_2015_NZEB</t>
  </si>
  <si>
    <t>SFH_new_NZEB</t>
  </si>
  <si>
    <t>Mid_TH_old</t>
  </si>
  <si>
    <t>Mid_TH_old_NZEB</t>
  </si>
  <si>
    <t>Mid_TH_1945</t>
  </si>
  <si>
    <t>Mid_TH_1945_NZEB</t>
  </si>
  <si>
    <t>Mid_TH_1965</t>
  </si>
  <si>
    <t>Mid_TH_1965_NZEB</t>
  </si>
  <si>
    <t>Mid_TH_1975</t>
  </si>
  <si>
    <t>Mid_TH_1975_NZEB</t>
  </si>
  <si>
    <t>Mid_TH_1992</t>
  </si>
  <si>
    <t>Mid_TH_1992_NZEB</t>
  </si>
  <si>
    <t>Mid_TH_2006</t>
  </si>
  <si>
    <t>Mid_TH_2006_NZEB</t>
  </si>
  <si>
    <t>Mid_TH_2015</t>
  </si>
  <si>
    <t>Mid_TH_2015_NZEB</t>
  </si>
  <si>
    <t>Mid_TH_new_NZEB</t>
  </si>
  <si>
    <t>End_TH_old</t>
  </si>
  <si>
    <t>End_TH_old_NZEB</t>
  </si>
  <si>
    <t>End_TH_1945</t>
  </si>
  <si>
    <t>End_TH_1945_NZEB</t>
  </si>
  <si>
    <t>End_TH_1965</t>
  </si>
  <si>
    <t>End_TH_1965_NZEB</t>
  </si>
  <si>
    <t>End_TH_1975</t>
  </si>
  <si>
    <t>End_TH_1975_NZEB</t>
  </si>
  <si>
    <t>End_TH_1992</t>
  </si>
  <si>
    <t>End_TH_1992_NZEB</t>
  </si>
  <si>
    <t>End_TH_2006</t>
  </si>
  <si>
    <t>End_TH_2006_NZEB</t>
  </si>
  <si>
    <t>End_TH_2015</t>
  </si>
  <si>
    <t>End_TH_2015_NZEB</t>
  </si>
  <si>
    <t>End_TH_new_NZEB</t>
  </si>
  <si>
    <t>AB_old</t>
  </si>
  <si>
    <t>AB_old_NZEB</t>
  </si>
  <si>
    <t>AB_1965</t>
  </si>
  <si>
    <t>AB_1965_NZEB</t>
  </si>
  <si>
    <t>AB_1975</t>
  </si>
  <si>
    <t>AB_1975_NZEB</t>
  </si>
  <si>
    <t>AB_1992</t>
  </si>
  <si>
    <t>AB_1992_NZEB</t>
  </si>
  <si>
    <t>AB_2006</t>
  </si>
  <si>
    <t>AB_2006_NZEB</t>
  </si>
  <si>
    <t>AB_2015</t>
  </si>
  <si>
    <t>AB_2015_NZEB</t>
  </si>
  <si>
    <t>AB_2015_wood</t>
  </si>
  <si>
    <t>AB_2015_wood_NZEB</t>
  </si>
  <si>
    <t>AB_new_NZEB</t>
  </si>
  <si>
    <t>AB_new_NZEB_wood</t>
  </si>
  <si>
    <t>MFH_old</t>
  </si>
  <si>
    <t>MFH_old_NZEB</t>
  </si>
  <si>
    <t>MFH_1965</t>
  </si>
  <si>
    <t>MFH_1965_NZEB</t>
  </si>
  <si>
    <t>MFH_1975</t>
  </si>
  <si>
    <t>MFH_1975_NZEB</t>
  </si>
  <si>
    <t>MFH_1992</t>
  </si>
  <si>
    <t>MFH_1992_NZEB</t>
  </si>
  <si>
    <t>MFH_2006</t>
  </si>
  <si>
    <t>MFH_2006_NZEB</t>
  </si>
  <si>
    <t>MFH_2015</t>
  </si>
  <si>
    <t>MFH_2015_NZEB</t>
  </si>
  <si>
    <t>MFH_new_NZEB</t>
  </si>
  <si>
    <t>Electricity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</si>
</sst>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7337-AE92-9F4C-9C9D-B54A73882B8B}">
  <dimension ref="A1:I82"/>
  <sheetViews>
    <sheetView tabSelected="1" zoomScale="109" workbookViewId="0">
      <selection activeCell="E10" sqref="E10"/>
    </sheetView>
  </sheetViews>
  <sheetFormatPr baseColWidth="10" defaultColWidth="11" defaultRowHeight="16" x14ac:dyDescent="0.2"/>
  <cols>
    <col min="1" max="1" width="19" customWidth="1"/>
    <col min="2" max="2" width="9" customWidth="1"/>
    <col min="3" max="3" width="10.6640625" customWidth="1"/>
    <col min="4" max="4" width="13.1640625" customWidth="1"/>
    <col min="5" max="5" width="14" customWidth="1"/>
    <col min="6" max="6" width="26.6640625" customWidth="1"/>
    <col min="7" max="7" width="16.6640625" customWidth="1"/>
    <col min="8" max="8" width="18.1640625" customWidth="1"/>
    <col min="9" max="9" width="1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75</v>
      </c>
    </row>
    <row r="2" spans="1:9" x14ac:dyDescent="0.2">
      <c r="A2" t="s">
        <v>3</v>
      </c>
      <c r="B2" s="3">
        <f t="shared" ref="B2:B65" si="0">15*8766/2/1000</f>
        <v>65.745000000000005</v>
      </c>
      <c r="C2" s="3">
        <f t="shared" ref="C2:C65" si="1">4*8766/2/1000</f>
        <v>17.532</v>
      </c>
      <c r="D2" s="4">
        <f>AVERAGE(B2,C2)</f>
        <v>41.638500000000001</v>
      </c>
      <c r="F2" s="2"/>
    </row>
    <row r="3" spans="1:9" x14ac:dyDescent="0.2">
      <c r="A3" t="s">
        <v>4</v>
      </c>
      <c r="B3" s="3">
        <f t="shared" si="0"/>
        <v>65.745000000000005</v>
      </c>
      <c r="C3" s="3">
        <f t="shared" si="1"/>
        <v>17.532</v>
      </c>
      <c r="D3" s="4">
        <f>AVERAGE(B3,C3)</f>
        <v>41.638500000000001</v>
      </c>
    </row>
    <row r="4" spans="1:9" x14ac:dyDescent="0.2">
      <c r="A4" t="s">
        <v>5</v>
      </c>
      <c r="B4" s="3">
        <f t="shared" si="0"/>
        <v>65.745000000000005</v>
      </c>
      <c r="C4" s="3">
        <f t="shared" si="1"/>
        <v>17.532</v>
      </c>
      <c r="D4" s="4">
        <f>AVERAGE(B4,C4)</f>
        <v>41.638500000000001</v>
      </c>
    </row>
    <row r="5" spans="1:9" x14ac:dyDescent="0.2">
      <c r="A5" t="s">
        <v>6</v>
      </c>
      <c r="B5" s="3">
        <f t="shared" si="0"/>
        <v>65.745000000000005</v>
      </c>
      <c r="C5" s="3">
        <f t="shared" si="1"/>
        <v>17.532</v>
      </c>
      <c r="D5" s="4">
        <f>AVERAGE(B5,C5)</f>
        <v>41.638500000000001</v>
      </c>
    </row>
    <row r="6" spans="1:9" x14ac:dyDescent="0.2">
      <c r="A6" t="s">
        <v>7</v>
      </c>
      <c r="B6" s="3">
        <f t="shared" si="0"/>
        <v>65.745000000000005</v>
      </c>
      <c r="C6" s="3">
        <f t="shared" si="1"/>
        <v>17.532</v>
      </c>
      <c r="D6" s="4">
        <f>AVERAGE(B6,C6)</f>
        <v>41.638500000000001</v>
      </c>
    </row>
    <row r="7" spans="1:9" x14ac:dyDescent="0.2">
      <c r="A7" t="s">
        <v>8</v>
      </c>
      <c r="B7" s="3">
        <f t="shared" si="0"/>
        <v>65.745000000000005</v>
      </c>
      <c r="C7" s="3">
        <f t="shared" si="1"/>
        <v>17.532</v>
      </c>
      <c r="D7" s="4">
        <f>AVERAGE(B7,C7)</f>
        <v>41.638500000000001</v>
      </c>
    </row>
    <row r="8" spans="1:9" x14ac:dyDescent="0.2">
      <c r="A8" t="s">
        <v>9</v>
      </c>
      <c r="B8" s="3">
        <f t="shared" si="0"/>
        <v>65.745000000000005</v>
      </c>
      <c r="C8" s="3">
        <f t="shared" si="1"/>
        <v>17.532</v>
      </c>
      <c r="D8" s="4">
        <f>AVERAGE(B8,C8)</f>
        <v>41.638500000000001</v>
      </c>
      <c r="I8" s="1"/>
    </row>
    <row r="9" spans="1:9" x14ac:dyDescent="0.2">
      <c r="A9" t="s">
        <v>10</v>
      </c>
      <c r="B9" s="3">
        <f t="shared" si="0"/>
        <v>65.745000000000005</v>
      </c>
      <c r="C9" s="3">
        <f t="shared" si="1"/>
        <v>17.532</v>
      </c>
      <c r="D9" s="4">
        <f>AVERAGE(B9,C9)</f>
        <v>41.638500000000001</v>
      </c>
    </row>
    <row r="10" spans="1:9" x14ac:dyDescent="0.2">
      <c r="A10" t="s">
        <v>11</v>
      </c>
      <c r="B10" s="3">
        <f t="shared" si="0"/>
        <v>65.745000000000005</v>
      </c>
      <c r="C10" s="3">
        <f t="shared" si="1"/>
        <v>17.532</v>
      </c>
      <c r="D10" s="4">
        <f>AVERAGE(B10,C10)</f>
        <v>41.638500000000001</v>
      </c>
    </row>
    <row r="11" spans="1:9" x14ac:dyDescent="0.2">
      <c r="A11" t="s">
        <v>12</v>
      </c>
      <c r="B11" s="3">
        <f t="shared" si="0"/>
        <v>65.745000000000005</v>
      </c>
      <c r="C11" s="3">
        <f t="shared" si="1"/>
        <v>17.532</v>
      </c>
      <c r="D11" s="4">
        <f>AVERAGE(B11,C11)</f>
        <v>41.638500000000001</v>
      </c>
    </row>
    <row r="12" spans="1:9" x14ac:dyDescent="0.2">
      <c r="A12" t="s">
        <v>13</v>
      </c>
      <c r="B12" s="3">
        <f t="shared" si="0"/>
        <v>65.745000000000005</v>
      </c>
      <c r="C12" s="3">
        <f t="shared" si="1"/>
        <v>17.532</v>
      </c>
      <c r="D12" s="4">
        <f>AVERAGE(B12,C12)</f>
        <v>41.638500000000001</v>
      </c>
    </row>
    <row r="13" spans="1:9" x14ac:dyDescent="0.2">
      <c r="A13" t="s">
        <v>14</v>
      </c>
      <c r="B13" s="3">
        <f t="shared" si="0"/>
        <v>65.745000000000005</v>
      </c>
      <c r="C13" s="3">
        <f t="shared" si="1"/>
        <v>17.532</v>
      </c>
      <c r="D13" s="4">
        <f>AVERAGE(B13,C13)</f>
        <v>41.638500000000001</v>
      </c>
    </row>
    <row r="14" spans="1:9" x14ac:dyDescent="0.2">
      <c r="A14" t="s">
        <v>15</v>
      </c>
      <c r="B14" s="3">
        <f t="shared" si="0"/>
        <v>65.745000000000005</v>
      </c>
      <c r="C14" s="3">
        <f t="shared" si="1"/>
        <v>17.532</v>
      </c>
      <c r="D14" s="4">
        <f>AVERAGE(B14,C14)</f>
        <v>41.638500000000001</v>
      </c>
    </row>
    <row r="15" spans="1:9" x14ac:dyDescent="0.2">
      <c r="A15" t="s">
        <v>16</v>
      </c>
      <c r="B15" s="3">
        <f t="shared" si="0"/>
        <v>65.745000000000005</v>
      </c>
      <c r="C15" s="3">
        <f t="shared" si="1"/>
        <v>17.532</v>
      </c>
      <c r="D15" s="4">
        <f>AVERAGE(B15,C15)</f>
        <v>41.638500000000001</v>
      </c>
    </row>
    <row r="16" spans="1:9" x14ac:dyDescent="0.2">
      <c r="A16" t="s">
        <v>17</v>
      </c>
      <c r="B16" s="3">
        <f t="shared" si="0"/>
        <v>65.745000000000005</v>
      </c>
      <c r="C16" s="3">
        <f t="shared" si="1"/>
        <v>17.532</v>
      </c>
      <c r="D16" s="4">
        <f>AVERAGE(B16,C16)</f>
        <v>41.638500000000001</v>
      </c>
    </row>
    <row r="17" spans="1:4" x14ac:dyDescent="0.2">
      <c r="A17" t="s">
        <v>18</v>
      </c>
      <c r="B17" s="3">
        <f t="shared" si="0"/>
        <v>65.745000000000005</v>
      </c>
      <c r="C17" s="3">
        <f t="shared" si="1"/>
        <v>17.532</v>
      </c>
      <c r="D17" s="4">
        <f>AVERAGE(B17,C17)</f>
        <v>41.638500000000001</v>
      </c>
    </row>
    <row r="18" spans="1:4" x14ac:dyDescent="0.2">
      <c r="A18" t="s">
        <v>19</v>
      </c>
      <c r="B18" s="3">
        <f t="shared" si="0"/>
        <v>65.745000000000005</v>
      </c>
      <c r="C18" s="3">
        <f t="shared" si="1"/>
        <v>17.532</v>
      </c>
      <c r="D18" s="4">
        <f>AVERAGE(B18,C18)</f>
        <v>41.638500000000001</v>
      </c>
    </row>
    <row r="19" spans="1:4" x14ac:dyDescent="0.2">
      <c r="A19" t="s">
        <v>20</v>
      </c>
      <c r="B19" s="3">
        <f t="shared" si="0"/>
        <v>65.745000000000005</v>
      </c>
      <c r="C19" s="3">
        <f t="shared" si="1"/>
        <v>17.532</v>
      </c>
      <c r="D19" s="4">
        <f>AVERAGE(B19,C19)</f>
        <v>41.638500000000001</v>
      </c>
    </row>
    <row r="20" spans="1:4" x14ac:dyDescent="0.2">
      <c r="A20" t="s">
        <v>21</v>
      </c>
      <c r="B20" s="3">
        <f t="shared" si="0"/>
        <v>65.745000000000005</v>
      </c>
      <c r="C20" s="3">
        <f t="shared" si="1"/>
        <v>17.532</v>
      </c>
      <c r="D20" s="4">
        <f>AVERAGE(B20,C20)</f>
        <v>41.638500000000001</v>
      </c>
    </row>
    <row r="21" spans="1:4" x14ac:dyDescent="0.2">
      <c r="A21" t="s">
        <v>22</v>
      </c>
      <c r="B21" s="3">
        <f t="shared" si="0"/>
        <v>65.745000000000005</v>
      </c>
      <c r="C21" s="3">
        <f t="shared" si="1"/>
        <v>17.532</v>
      </c>
      <c r="D21" s="4">
        <f>AVERAGE(B21,C21)</f>
        <v>41.638500000000001</v>
      </c>
    </row>
    <row r="22" spans="1:4" x14ac:dyDescent="0.2">
      <c r="A22" t="s">
        <v>23</v>
      </c>
      <c r="B22" s="3">
        <f t="shared" si="0"/>
        <v>65.745000000000005</v>
      </c>
      <c r="C22" s="3">
        <f t="shared" si="1"/>
        <v>17.532</v>
      </c>
      <c r="D22" s="4">
        <f>AVERAGE(B22,C22)</f>
        <v>41.638500000000001</v>
      </c>
    </row>
    <row r="23" spans="1:4" x14ac:dyDescent="0.2">
      <c r="A23" t="s">
        <v>24</v>
      </c>
      <c r="B23" s="3">
        <f t="shared" si="0"/>
        <v>65.745000000000005</v>
      </c>
      <c r="C23" s="3">
        <f t="shared" si="1"/>
        <v>17.532</v>
      </c>
      <c r="D23" s="4">
        <f>AVERAGE(B23,C23)</f>
        <v>41.638500000000001</v>
      </c>
    </row>
    <row r="24" spans="1:4" x14ac:dyDescent="0.2">
      <c r="A24" t="s">
        <v>25</v>
      </c>
      <c r="B24" s="3">
        <f t="shared" si="0"/>
        <v>65.745000000000005</v>
      </c>
      <c r="C24" s="3">
        <f t="shared" si="1"/>
        <v>17.532</v>
      </c>
      <c r="D24" s="4">
        <f>AVERAGE(B24,C24)</f>
        <v>41.638500000000001</v>
      </c>
    </row>
    <row r="25" spans="1:4" x14ac:dyDescent="0.2">
      <c r="A25" t="s">
        <v>26</v>
      </c>
      <c r="B25" s="3">
        <f t="shared" si="0"/>
        <v>65.745000000000005</v>
      </c>
      <c r="C25" s="3">
        <f t="shared" si="1"/>
        <v>17.532</v>
      </c>
      <c r="D25" s="4">
        <f>AVERAGE(B25,C25)</f>
        <v>41.638500000000001</v>
      </c>
    </row>
    <row r="26" spans="1:4" x14ac:dyDescent="0.2">
      <c r="A26" t="s">
        <v>27</v>
      </c>
      <c r="B26" s="3">
        <f t="shared" si="0"/>
        <v>65.745000000000005</v>
      </c>
      <c r="C26" s="3">
        <f t="shared" si="1"/>
        <v>17.532</v>
      </c>
      <c r="D26" s="4">
        <f>AVERAGE(B26,C26)</f>
        <v>41.638500000000001</v>
      </c>
    </row>
    <row r="27" spans="1:4" x14ac:dyDescent="0.2">
      <c r="A27" t="s">
        <v>28</v>
      </c>
      <c r="B27" s="3">
        <f t="shared" si="0"/>
        <v>65.745000000000005</v>
      </c>
      <c r="C27" s="3">
        <f t="shared" si="1"/>
        <v>17.532</v>
      </c>
      <c r="D27" s="4">
        <f>AVERAGE(B27,C27)</f>
        <v>41.638500000000001</v>
      </c>
    </row>
    <row r="28" spans="1:4" x14ac:dyDescent="0.2">
      <c r="A28" t="s">
        <v>29</v>
      </c>
      <c r="B28" s="3">
        <f t="shared" si="0"/>
        <v>65.745000000000005</v>
      </c>
      <c r="C28" s="3">
        <f t="shared" si="1"/>
        <v>17.532</v>
      </c>
      <c r="D28" s="4">
        <f>AVERAGE(B28,C28)</f>
        <v>41.638500000000001</v>
      </c>
    </row>
    <row r="29" spans="1:4" x14ac:dyDescent="0.2">
      <c r="A29" t="s">
        <v>30</v>
      </c>
      <c r="B29" s="3">
        <f t="shared" si="0"/>
        <v>65.745000000000005</v>
      </c>
      <c r="C29" s="3">
        <f t="shared" si="1"/>
        <v>17.532</v>
      </c>
      <c r="D29" s="4">
        <f>AVERAGE(B29,C29)</f>
        <v>41.638500000000001</v>
      </c>
    </row>
    <row r="30" spans="1:4" x14ac:dyDescent="0.2">
      <c r="A30" t="s">
        <v>31</v>
      </c>
      <c r="B30" s="3">
        <f t="shared" si="0"/>
        <v>65.745000000000005</v>
      </c>
      <c r="C30" s="3">
        <f t="shared" si="1"/>
        <v>17.532</v>
      </c>
      <c r="D30" s="4">
        <f>AVERAGE(B30,C30)</f>
        <v>41.638500000000001</v>
      </c>
    </row>
    <row r="31" spans="1:4" x14ac:dyDescent="0.2">
      <c r="A31" t="s">
        <v>32</v>
      </c>
      <c r="B31" s="3">
        <f t="shared" si="0"/>
        <v>65.745000000000005</v>
      </c>
      <c r="C31" s="3">
        <f t="shared" si="1"/>
        <v>17.532</v>
      </c>
      <c r="D31" s="4">
        <f>AVERAGE(B31,C31)</f>
        <v>41.638500000000001</v>
      </c>
    </row>
    <row r="32" spans="1:4" x14ac:dyDescent="0.2">
      <c r="A32" t="s">
        <v>33</v>
      </c>
      <c r="B32" s="3">
        <f t="shared" si="0"/>
        <v>65.745000000000005</v>
      </c>
      <c r="C32" s="3">
        <f t="shared" si="1"/>
        <v>17.532</v>
      </c>
      <c r="D32" s="4">
        <f>AVERAGE(B32,C32)</f>
        <v>41.638500000000001</v>
      </c>
    </row>
    <row r="33" spans="1:4" x14ac:dyDescent="0.2">
      <c r="A33" t="s">
        <v>34</v>
      </c>
      <c r="B33" s="3">
        <f t="shared" si="0"/>
        <v>65.745000000000005</v>
      </c>
      <c r="C33" s="3">
        <f t="shared" si="1"/>
        <v>17.532</v>
      </c>
      <c r="D33" s="4">
        <f>AVERAGE(B33,C33)</f>
        <v>41.638500000000001</v>
      </c>
    </row>
    <row r="34" spans="1:4" x14ac:dyDescent="0.2">
      <c r="A34" t="s">
        <v>35</v>
      </c>
      <c r="B34" s="3">
        <f t="shared" si="0"/>
        <v>65.745000000000005</v>
      </c>
      <c r="C34" s="3">
        <f t="shared" si="1"/>
        <v>17.532</v>
      </c>
      <c r="D34" s="4">
        <f>AVERAGE(B34,C34)</f>
        <v>41.638500000000001</v>
      </c>
    </row>
    <row r="35" spans="1:4" x14ac:dyDescent="0.2">
      <c r="A35" t="s">
        <v>36</v>
      </c>
      <c r="B35" s="3">
        <f t="shared" si="0"/>
        <v>65.745000000000005</v>
      </c>
      <c r="C35" s="3">
        <f t="shared" si="1"/>
        <v>17.532</v>
      </c>
      <c r="D35" s="4">
        <f>AVERAGE(B35,C35)</f>
        <v>41.638500000000001</v>
      </c>
    </row>
    <row r="36" spans="1:4" x14ac:dyDescent="0.2">
      <c r="A36" t="s">
        <v>37</v>
      </c>
      <c r="B36" s="3">
        <f t="shared" si="0"/>
        <v>65.745000000000005</v>
      </c>
      <c r="C36" s="3">
        <f t="shared" si="1"/>
        <v>17.532</v>
      </c>
      <c r="D36" s="4">
        <f>AVERAGE(B36,C36)</f>
        <v>41.638500000000001</v>
      </c>
    </row>
    <row r="37" spans="1:4" x14ac:dyDescent="0.2">
      <c r="A37" t="s">
        <v>38</v>
      </c>
      <c r="B37" s="3">
        <f t="shared" si="0"/>
        <v>65.745000000000005</v>
      </c>
      <c r="C37" s="3">
        <f t="shared" si="1"/>
        <v>17.532</v>
      </c>
      <c r="D37" s="4">
        <f>AVERAGE(B37,C37)</f>
        <v>41.638500000000001</v>
      </c>
    </row>
    <row r="38" spans="1:4" x14ac:dyDescent="0.2">
      <c r="A38" t="s">
        <v>39</v>
      </c>
      <c r="B38" s="3">
        <f t="shared" si="0"/>
        <v>65.745000000000005</v>
      </c>
      <c r="C38" s="3">
        <f t="shared" si="1"/>
        <v>17.532</v>
      </c>
      <c r="D38" s="4">
        <f>AVERAGE(B38,C38)</f>
        <v>41.638500000000001</v>
      </c>
    </row>
    <row r="39" spans="1:4" x14ac:dyDescent="0.2">
      <c r="A39" t="s">
        <v>40</v>
      </c>
      <c r="B39" s="3">
        <f t="shared" si="0"/>
        <v>65.745000000000005</v>
      </c>
      <c r="C39" s="3">
        <f t="shared" si="1"/>
        <v>17.532</v>
      </c>
      <c r="D39" s="4">
        <f>AVERAGE(B39,C39)</f>
        <v>41.638500000000001</v>
      </c>
    </row>
    <row r="40" spans="1:4" x14ac:dyDescent="0.2">
      <c r="A40" t="s">
        <v>41</v>
      </c>
      <c r="B40" s="3">
        <f t="shared" si="0"/>
        <v>65.745000000000005</v>
      </c>
      <c r="C40" s="3">
        <f t="shared" si="1"/>
        <v>17.532</v>
      </c>
      <c r="D40" s="4">
        <f>AVERAGE(B40,C40)</f>
        <v>41.638500000000001</v>
      </c>
    </row>
    <row r="41" spans="1:4" x14ac:dyDescent="0.2">
      <c r="A41" t="s">
        <v>42</v>
      </c>
      <c r="B41" s="3">
        <f t="shared" si="0"/>
        <v>65.745000000000005</v>
      </c>
      <c r="C41" s="3">
        <f t="shared" si="1"/>
        <v>17.532</v>
      </c>
      <c r="D41" s="4">
        <f>AVERAGE(B41,C41)</f>
        <v>41.638500000000001</v>
      </c>
    </row>
    <row r="42" spans="1:4" x14ac:dyDescent="0.2">
      <c r="A42" t="s">
        <v>43</v>
      </c>
      <c r="B42" s="3">
        <f t="shared" si="0"/>
        <v>65.745000000000005</v>
      </c>
      <c r="C42" s="3">
        <f t="shared" si="1"/>
        <v>17.532</v>
      </c>
      <c r="D42" s="4">
        <f>AVERAGE(B42,C42)</f>
        <v>41.638500000000001</v>
      </c>
    </row>
    <row r="43" spans="1:4" x14ac:dyDescent="0.2">
      <c r="A43" t="s">
        <v>44</v>
      </c>
      <c r="B43" s="3">
        <f t="shared" si="0"/>
        <v>65.745000000000005</v>
      </c>
      <c r="C43" s="3">
        <f t="shared" si="1"/>
        <v>17.532</v>
      </c>
      <c r="D43" s="4">
        <f>AVERAGE(B43,C43)</f>
        <v>41.638500000000001</v>
      </c>
    </row>
    <row r="44" spans="1:4" x14ac:dyDescent="0.2">
      <c r="A44" t="s">
        <v>45</v>
      </c>
      <c r="B44" s="3">
        <f t="shared" si="0"/>
        <v>65.745000000000005</v>
      </c>
      <c r="C44" s="3">
        <f t="shared" si="1"/>
        <v>17.532</v>
      </c>
      <c r="D44" s="4">
        <f>AVERAGE(B44,C44)</f>
        <v>41.638500000000001</v>
      </c>
    </row>
    <row r="45" spans="1:4" x14ac:dyDescent="0.2">
      <c r="A45" t="s">
        <v>46</v>
      </c>
      <c r="B45" s="3">
        <f t="shared" si="0"/>
        <v>65.745000000000005</v>
      </c>
      <c r="C45" s="3">
        <f t="shared" si="1"/>
        <v>17.532</v>
      </c>
      <c r="D45" s="4">
        <f>AVERAGE(B45,C45)</f>
        <v>41.638500000000001</v>
      </c>
    </row>
    <row r="46" spans="1:4" x14ac:dyDescent="0.2">
      <c r="A46" t="s">
        <v>47</v>
      </c>
      <c r="B46" s="3">
        <f t="shared" si="0"/>
        <v>65.745000000000005</v>
      </c>
      <c r="C46" s="3">
        <f t="shared" si="1"/>
        <v>17.532</v>
      </c>
      <c r="D46" s="4">
        <f>AVERAGE(B46,C46)</f>
        <v>41.638500000000001</v>
      </c>
    </row>
    <row r="47" spans="1:4" x14ac:dyDescent="0.2">
      <c r="A47" t="s">
        <v>48</v>
      </c>
      <c r="B47" s="3">
        <f t="shared" si="0"/>
        <v>65.745000000000005</v>
      </c>
      <c r="C47" s="3">
        <f t="shared" si="1"/>
        <v>17.532</v>
      </c>
      <c r="D47" s="4">
        <f>AVERAGE(B47,C47)</f>
        <v>41.638500000000001</v>
      </c>
    </row>
    <row r="48" spans="1:4" x14ac:dyDescent="0.2">
      <c r="A48" t="s">
        <v>49</v>
      </c>
      <c r="B48" s="3">
        <f t="shared" si="0"/>
        <v>65.745000000000005</v>
      </c>
      <c r="C48" s="3">
        <f t="shared" si="1"/>
        <v>17.532</v>
      </c>
      <c r="D48" s="4">
        <f>AVERAGE(B48,C48)</f>
        <v>41.638500000000001</v>
      </c>
    </row>
    <row r="49" spans="1:4" x14ac:dyDescent="0.2">
      <c r="A49" t="s">
        <v>50</v>
      </c>
      <c r="B49" s="3">
        <f t="shared" si="0"/>
        <v>65.745000000000005</v>
      </c>
      <c r="C49" s="3">
        <f t="shared" si="1"/>
        <v>17.532</v>
      </c>
      <c r="D49" s="4">
        <f>AVERAGE(B49,C49)</f>
        <v>41.638500000000001</v>
      </c>
    </row>
    <row r="50" spans="1:4" x14ac:dyDescent="0.2">
      <c r="A50" t="s">
        <v>51</v>
      </c>
      <c r="B50" s="3">
        <f t="shared" si="0"/>
        <v>65.745000000000005</v>
      </c>
      <c r="C50" s="3">
        <f t="shared" si="1"/>
        <v>17.532</v>
      </c>
      <c r="D50" s="4">
        <f>AVERAGE(B50,C50)</f>
        <v>41.638500000000001</v>
      </c>
    </row>
    <row r="51" spans="1:4" x14ac:dyDescent="0.2">
      <c r="A51" t="s">
        <v>52</v>
      </c>
      <c r="B51" s="3">
        <f t="shared" si="0"/>
        <v>65.745000000000005</v>
      </c>
      <c r="C51" s="3">
        <f t="shared" si="1"/>
        <v>17.532</v>
      </c>
      <c r="D51" s="4">
        <f>AVERAGE(B51,C51)</f>
        <v>41.638500000000001</v>
      </c>
    </row>
    <row r="52" spans="1:4" x14ac:dyDescent="0.2">
      <c r="A52" t="s">
        <v>53</v>
      </c>
      <c r="B52" s="3">
        <f t="shared" si="0"/>
        <v>65.745000000000005</v>
      </c>
      <c r="C52" s="3">
        <f t="shared" si="1"/>
        <v>17.532</v>
      </c>
      <c r="D52" s="4">
        <f>AVERAGE(B52,C52)</f>
        <v>41.638500000000001</v>
      </c>
    </row>
    <row r="53" spans="1:4" x14ac:dyDescent="0.2">
      <c r="A53" t="s">
        <v>54</v>
      </c>
      <c r="B53" s="3">
        <f t="shared" si="0"/>
        <v>65.745000000000005</v>
      </c>
      <c r="C53" s="3">
        <f t="shared" si="1"/>
        <v>17.532</v>
      </c>
      <c r="D53" s="4">
        <f>AVERAGE(B53,C53)</f>
        <v>41.638500000000001</v>
      </c>
    </row>
    <row r="54" spans="1:4" x14ac:dyDescent="0.2">
      <c r="A54" t="s">
        <v>55</v>
      </c>
      <c r="B54" s="3">
        <f t="shared" si="0"/>
        <v>65.745000000000005</v>
      </c>
      <c r="C54" s="3">
        <f t="shared" si="1"/>
        <v>17.532</v>
      </c>
      <c r="D54" s="4">
        <f>AVERAGE(B54,C54)</f>
        <v>41.638500000000001</v>
      </c>
    </row>
    <row r="55" spans="1:4" x14ac:dyDescent="0.2">
      <c r="A55" t="s">
        <v>56</v>
      </c>
      <c r="B55" s="3">
        <f t="shared" si="0"/>
        <v>65.745000000000005</v>
      </c>
      <c r="C55" s="3">
        <f t="shared" si="1"/>
        <v>17.532</v>
      </c>
      <c r="D55" s="4">
        <f>AVERAGE(B55,C55)</f>
        <v>41.638500000000001</v>
      </c>
    </row>
    <row r="56" spans="1:4" x14ac:dyDescent="0.2">
      <c r="A56" t="s">
        <v>57</v>
      </c>
      <c r="B56" s="3">
        <f t="shared" si="0"/>
        <v>65.745000000000005</v>
      </c>
      <c r="C56" s="3">
        <f t="shared" si="1"/>
        <v>17.532</v>
      </c>
      <c r="D56" s="4">
        <f>AVERAGE(B56,C56)</f>
        <v>41.638500000000001</v>
      </c>
    </row>
    <row r="57" spans="1:4" x14ac:dyDescent="0.2">
      <c r="A57" t="s">
        <v>58</v>
      </c>
      <c r="B57" s="3">
        <f t="shared" si="0"/>
        <v>65.745000000000005</v>
      </c>
      <c r="C57" s="3">
        <f t="shared" si="1"/>
        <v>17.532</v>
      </c>
      <c r="D57" s="4">
        <f>AVERAGE(B57,C57)</f>
        <v>41.638500000000001</v>
      </c>
    </row>
    <row r="58" spans="1:4" x14ac:dyDescent="0.2">
      <c r="A58" t="s">
        <v>59</v>
      </c>
      <c r="B58" s="3">
        <f t="shared" si="0"/>
        <v>65.745000000000005</v>
      </c>
      <c r="C58" s="3">
        <f t="shared" si="1"/>
        <v>17.532</v>
      </c>
      <c r="D58" s="4">
        <f>AVERAGE(B58,C58)</f>
        <v>41.638500000000001</v>
      </c>
    </row>
    <row r="59" spans="1:4" x14ac:dyDescent="0.2">
      <c r="A59" t="s">
        <v>60</v>
      </c>
      <c r="B59" s="3">
        <f t="shared" si="0"/>
        <v>65.745000000000005</v>
      </c>
      <c r="C59" s="3">
        <f t="shared" si="1"/>
        <v>17.532</v>
      </c>
      <c r="D59" s="4">
        <f>AVERAGE(B59,C59)</f>
        <v>41.638500000000001</v>
      </c>
    </row>
    <row r="60" spans="1:4" x14ac:dyDescent="0.2">
      <c r="A60" t="s">
        <v>61</v>
      </c>
      <c r="B60" s="3">
        <f t="shared" si="0"/>
        <v>65.745000000000005</v>
      </c>
      <c r="C60" s="3">
        <f t="shared" si="1"/>
        <v>17.532</v>
      </c>
      <c r="D60" s="4">
        <f>AVERAGE(B60,C60)</f>
        <v>41.638500000000001</v>
      </c>
    </row>
    <row r="61" spans="1:4" x14ac:dyDescent="0.2">
      <c r="A61" t="s">
        <v>62</v>
      </c>
      <c r="B61" s="3">
        <f t="shared" si="0"/>
        <v>65.745000000000005</v>
      </c>
      <c r="C61" s="3">
        <f t="shared" si="1"/>
        <v>17.532</v>
      </c>
      <c r="D61" s="4">
        <f>AVERAGE(B61,C61)</f>
        <v>41.638500000000001</v>
      </c>
    </row>
    <row r="62" spans="1:4" x14ac:dyDescent="0.2">
      <c r="A62" t="s">
        <v>63</v>
      </c>
      <c r="B62" s="3">
        <f t="shared" si="0"/>
        <v>65.745000000000005</v>
      </c>
      <c r="C62" s="3">
        <f t="shared" si="1"/>
        <v>17.532</v>
      </c>
      <c r="D62" s="4">
        <f>AVERAGE(B62,C62)</f>
        <v>41.638500000000001</v>
      </c>
    </row>
    <row r="63" spans="1:4" x14ac:dyDescent="0.2">
      <c r="A63" t="s">
        <v>64</v>
      </c>
      <c r="B63" s="3">
        <f t="shared" si="0"/>
        <v>65.745000000000005</v>
      </c>
      <c r="C63" s="3">
        <f t="shared" si="1"/>
        <v>17.532</v>
      </c>
      <c r="D63" s="4">
        <f>AVERAGE(B63,C63)</f>
        <v>41.638500000000001</v>
      </c>
    </row>
    <row r="64" spans="1:4" x14ac:dyDescent="0.2">
      <c r="A64" t="s">
        <v>65</v>
      </c>
      <c r="B64" s="3">
        <f t="shared" si="0"/>
        <v>65.745000000000005</v>
      </c>
      <c r="C64" s="3">
        <f t="shared" si="1"/>
        <v>17.532</v>
      </c>
      <c r="D64" s="4">
        <f>AVERAGE(B64,C64)</f>
        <v>41.638500000000001</v>
      </c>
    </row>
    <row r="65" spans="1:4" x14ac:dyDescent="0.2">
      <c r="A65" t="s">
        <v>66</v>
      </c>
      <c r="B65" s="3">
        <f t="shared" si="0"/>
        <v>65.745000000000005</v>
      </c>
      <c r="C65" s="3">
        <f t="shared" si="1"/>
        <v>17.532</v>
      </c>
      <c r="D65" s="4">
        <f>AVERAGE(B65,C65)</f>
        <v>41.638500000000001</v>
      </c>
    </row>
    <row r="66" spans="1:4" x14ac:dyDescent="0.2">
      <c r="A66" t="s">
        <v>67</v>
      </c>
      <c r="B66" s="3">
        <f t="shared" ref="B66:B73" si="2">15*8766/2/1000</f>
        <v>65.745000000000005</v>
      </c>
      <c r="C66" s="3">
        <f t="shared" ref="C66:C73" si="3">4*8766/2/1000</f>
        <v>17.532</v>
      </c>
      <c r="D66" s="4">
        <f>AVERAGE(B66,C66)</f>
        <v>41.638500000000001</v>
      </c>
    </row>
    <row r="67" spans="1:4" x14ac:dyDescent="0.2">
      <c r="A67" t="s">
        <v>68</v>
      </c>
      <c r="B67" s="3">
        <f t="shared" si="2"/>
        <v>65.745000000000005</v>
      </c>
      <c r="C67" s="3">
        <f t="shared" si="3"/>
        <v>17.532</v>
      </c>
      <c r="D67" s="4">
        <f>AVERAGE(B67,C67)</f>
        <v>41.638500000000001</v>
      </c>
    </row>
    <row r="68" spans="1:4" x14ac:dyDescent="0.2">
      <c r="A68" t="s">
        <v>69</v>
      </c>
      <c r="B68" s="3">
        <f t="shared" si="2"/>
        <v>65.745000000000005</v>
      </c>
      <c r="C68" s="3">
        <f t="shared" si="3"/>
        <v>17.532</v>
      </c>
      <c r="D68" s="4">
        <f>AVERAGE(B68,C68)</f>
        <v>41.638500000000001</v>
      </c>
    </row>
    <row r="69" spans="1:4" x14ac:dyDescent="0.2">
      <c r="A69" t="s">
        <v>70</v>
      </c>
      <c r="B69" s="3">
        <f t="shared" si="2"/>
        <v>65.745000000000005</v>
      </c>
      <c r="C69" s="3">
        <f t="shared" si="3"/>
        <v>17.532</v>
      </c>
      <c r="D69" s="4">
        <f>AVERAGE(B69,C69)</f>
        <v>41.638500000000001</v>
      </c>
    </row>
    <row r="70" spans="1:4" x14ac:dyDescent="0.2">
      <c r="A70" t="s">
        <v>71</v>
      </c>
      <c r="B70" s="3">
        <f t="shared" si="2"/>
        <v>65.745000000000005</v>
      </c>
      <c r="C70" s="3">
        <f t="shared" si="3"/>
        <v>17.532</v>
      </c>
      <c r="D70" s="4">
        <f>AVERAGE(B70,C70)</f>
        <v>41.638500000000001</v>
      </c>
    </row>
    <row r="71" spans="1:4" x14ac:dyDescent="0.2">
      <c r="A71" t="s">
        <v>72</v>
      </c>
      <c r="B71" s="3">
        <f t="shared" si="2"/>
        <v>65.745000000000005</v>
      </c>
      <c r="C71" s="3">
        <f t="shared" si="3"/>
        <v>17.532</v>
      </c>
      <c r="D71" s="4">
        <f>AVERAGE(B71,C71)</f>
        <v>41.638500000000001</v>
      </c>
    </row>
    <row r="72" spans="1:4" x14ac:dyDescent="0.2">
      <c r="A72" t="s">
        <v>73</v>
      </c>
      <c r="B72" s="3">
        <f t="shared" si="2"/>
        <v>65.745000000000005</v>
      </c>
      <c r="C72" s="3">
        <f t="shared" si="3"/>
        <v>17.532</v>
      </c>
      <c r="D72" s="4">
        <f>AVERAGE(B72,C72)</f>
        <v>41.638500000000001</v>
      </c>
    </row>
    <row r="73" spans="1:4" x14ac:dyDescent="0.2">
      <c r="A73" t="s">
        <v>74</v>
      </c>
      <c r="B73" s="3">
        <f t="shared" si="2"/>
        <v>65.745000000000005</v>
      </c>
      <c r="C73" s="3">
        <f t="shared" si="3"/>
        <v>17.532</v>
      </c>
      <c r="D73" s="4">
        <f>AVERAGE(B73,C73)</f>
        <v>41.638500000000001</v>
      </c>
    </row>
    <row r="82" spans="8:8" x14ac:dyDescent="0.2">
      <c r="H82" s="4"/>
    </row>
  </sheetData>
  <conditionalFormatting sqref="D2:D73 F3:F7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0_EnergyDemandIntensity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Kopp</dc:creator>
  <cp:lastModifiedBy>Mira Kopp</cp:lastModifiedBy>
  <dcterms:created xsi:type="dcterms:W3CDTF">2024-07-03T13:58:03Z</dcterms:created>
  <dcterms:modified xsi:type="dcterms:W3CDTF">2024-07-03T13:59:45Z</dcterms:modified>
</cp:coreProperties>
</file>