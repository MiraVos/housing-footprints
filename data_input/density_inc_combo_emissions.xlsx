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ra/Documents/IE/REAL UTOPIAN HOUSING/Post-GrowthHousingScenarios/Code/housing-footprints/data_input/"/>
    </mc:Choice>
  </mc:AlternateContent>
  <xr:revisionPtr revIDLastSave="0" documentId="13_ncr:1_{5BBCD62E-9D12-944B-BDE6-5348922D437F}" xr6:coauthVersionLast="47" xr6:coauthVersionMax="47" xr10:uidLastSave="{00000000-0000-0000-0000-000000000000}"/>
  <bookViews>
    <workbookView xWindow="0" yWindow="500" windowWidth="2560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" l="1"/>
  <c r="L53" i="1"/>
  <c r="M53" i="1"/>
  <c r="L3" i="1"/>
  <c r="M3" i="1"/>
  <c r="L4" i="1"/>
  <c r="M4" i="1" s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M2" i="1"/>
  <c r="L2" i="1"/>
  <c r="J5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2" i="1"/>
</calcChain>
</file>

<file path=xl/sharedStrings.xml><?xml version="1.0" encoding="utf-8"?>
<sst xmlns="http://schemas.openxmlformats.org/spreadsheetml/2006/main" count="108" uniqueCount="23">
  <si>
    <t>density_lab</t>
  </si>
  <si>
    <t>inc_lab</t>
  </si>
  <si>
    <t>highest_income_emission_per_capita</t>
  </si>
  <si>
    <t>lowest_income_emission_per_capita</t>
  </si>
  <si>
    <t>median_income_emission_per_capita</t>
  </si>
  <si>
    <t>mean_income_emission_per_capita</t>
  </si>
  <si>
    <t>total_population</t>
  </si>
  <si>
    <t>high suburban</t>
  </si>
  <si>
    <t>decile 1 (poorest)</t>
  </si>
  <si>
    <t>decile 10 (richest)</t>
  </si>
  <si>
    <t>decile 2</t>
  </si>
  <si>
    <t>decile 3</t>
  </si>
  <si>
    <t>decile 4</t>
  </si>
  <si>
    <t>decile 5</t>
  </si>
  <si>
    <t>decile 6</t>
  </si>
  <si>
    <t>decile 7</t>
  </si>
  <si>
    <t>decile 8</t>
  </si>
  <si>
    <t>decile 9</t>
  </si>
  <si>
    <t>low suburban</t>
  </si>
  <si>
    <t>rural</t>
  </si>
  <si>
    <t>urban</t>
  </si>
  <si>
    <t>very urban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</si>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</sst>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3"/>
  <sheetViews>
    <sheetView tabSelected="1" topLeftCell="A16" workbookViewId="0">
      <selection activeCell="M53" sqref="M53"/>
    </sheetView>
  </sheetViews>
  <sheetFormatPr baseColWidth="10" defaultColWidth="8.83203125" defaultRowHeight="15" x14ac:dyDescent="0.2"/>
  <cols>
    <col min="10" max="10" width="11.6640625" bestFit="1" customWidth="1"/>
    <col min="13" max="13" width="12.664062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2" t="s">
        <v>22</v>
      </c>
    </row>
    <row r="2" spans="1:13" x14ac:dyDescent="0.2">
      <c r="A2" t="s">
        <v>7</v>
      </c>
      <c r="B2" t="s">
        <v>8</v>
      </c>
      <c r="C2">
        <v>5797.2807197368247</v>
      </c>
      <c r="D2">
        <v>3209.4044989346289</v>
      </c>
      <c r="E2">
        <v>3872.2575956801438</v>
      </c>
      <c r="F2">
        <v>4187.8001025079357</v>
      </c>
      <c r="G2">
        <v>204545</v>
      </c>
      <c r="I2">
        <f>E2-F2</f>
        <v>-315.54250682779184</v>
      </c>
      <c r="J2">
        <f>I2*G2</f>
        <v>-64542642.059090681</v>
      </c>
      <c r="L2">
        <f>D2-F2</f>
        <v>-978.39560357330674</v>
      </c>
      <c r="M2">
        <f>L2*G2</f>
        <v>-200125928.73290202</v>
      </c>
    </row>
    <row r="3" spans="1:13" x14ac:dyDescent="0.2">
      <c r="A3" t="s">
        <v>7</v>
      </c>
      <c r="B3" t="s">
        <v>9</v>
      </c>
      <c r="C3">
        <v>8040.970109387149</v>
      </c>
      <c r="D3">
        <v>7003.8254198479563</v>
      </c>
      <c r="E3">
        <v>7669.2730574923153</v>
      </c>
      <c r="F3">
        <v>7595.8354110549344</v>
      </c>
      <c r="G3">
        <v>337545</v>
      </c>
      <c r="I3">
        <f t="shared" ref="I3:I51" si="0">E3-F3</f>
        <v>73.437646437380863</v>
      </c>
      <c r="J3">
        <f t="shared" ref="J3:J51" si="1">I3*G3</f>
        <v>24788510.366705723</v>
      </c>
      <c r="L3">
        <f t="shared" ref="L3:L51" si="2">D3-F3</f>
        <v>-592.00999120697816</v>
      </c>
      <c r="M3">
        <f t="shared" ref="M3:M51" si="3">L3*G3</f>
        <v>-199830012.48195943</v>
      </c>
    </row>
    <row r="4" spans="1:13" x14ac:dyDescent="0.2">
      <c r="A4" t="s">
        <v>7</v>
      </c>
      <c r="B4" t="s">
        <v>10</v>
      </c>
      <c r="C4">
        <v>5054.2826922815038</v>
      </c>
      <c r="D4">
        <v>3489.023179025136</v>
      </c>
      <c r="E4">
        <v>4044.6521599261569</v>
      </c>
      <c r="F4">
        <v>4158.1525477897376</v>
      </c>
      <c r="G4">
        <v>224325</v>
      </c>
      <c r="I4">
        <f t="shared" si="0"/>
        <v>-113.50038786358073</v>
      </c>
      <c r="J4">
        <f t="shared" si="1"/>
        <v>-25460974.507497746</v>
      </c>
      <c r="L4">
        <f t="shared" si="2"/>
        <v>-669.12936876460162</v>
      </c>
      <c r="M4">
        <f t="shared" si="3"/>
        <v>-150102445.64811927</v>
      </c>
    </row>
    <row r="5" spans="1:13" x14ac:dyDescent="0.2">
      <c r="A5" t="s">
        <v>7</v>
      </c>
      <c r="B5" t="s">
        <v>11</v>
      </c>
      <c r="C5">
        <v>5493.1375711297078</v>
      </c>
      <c r="D5">
        <v>3871.98010704843</v>
      </c>
      <c r="E5">
        <v>4609.6040914607829</v>
      </c>
      <c r="F5">
        <v>4646.0814652749259</v>
      </c>
      <c r="G5">
        <v>239115</v>
      </c>
      <c r="I5">
        <f t="shared" si="0"/>
        <v>-36.477373814142993</v>
      </c>
      <c r="J5">
        <f t="shared" si="1"/>
        <v>-8722287.2395688016</v>
      </c>
      <c r="L5">
        <f t="shared" si="2"/>
        <v>-774.1013582264959</v>
      </c>
      <c r="M5">
        <f t="shared" si="3"/>
        <v>-185099246.27232856</v>
      </c>
    </row>
    <row r="6" spans="1:13" x14ac:dyDescent="0.2">
      <c r="A6" t="s">
        <v>7</v>
      </c>
      <c r="B6" t="s">
        <v>12</v>
      </c>
      <c r="C6">
        <v>5974.6230780935057</v>
      </c>
      <c r="D6">
        <v>4140.8327458137828</v>
      </c>
      <c r="E6">
        <v>4945.124571457035</v>
      </c>
      <c r="F6">
        <v>5001.4262417053396</v>
      </c>
      <c r="G6">
        <v>293750</v>
      </c>
      <c r="I6">
        <f t="shared" si="0"/>
        <v>-56.301670248304617</v>
      </c>
      <c r="J6">
        <f t="shared" si="1"/>
        <v>-16538615.635439482</v>
      </c>
      <c r="L6">
        <f t="shared" si="2"/>
        <v>-860.59349589155681</v>
      </c>
      <c r="M6">
        <f t="shared" si="3"/>
        <v>-252799339.41814482</v>
      </c>
    </row>
    <row r="7" spans="1:13" x14ac:dyDescent="0.2">
      <c r="A7" t="s">
        <v>7</v>
      </c>
      <c r="B7" t="s">
        <v>13</v>
      </c>
      <c r="C7">
        <v>5481.6018452332573</v>
      </c>
      <c r="D7">
        <v>3979.2471862249608</v>
      </c>
      <c r="E7">
        <v>4736.7471952867163</v>
      </c>
      <c r="F7">
        <v>4733.5858555079121</v>
      </c>
      <c r="G7">
        <v>319895</v>
      </c>
      <c r="I7">
        <f t="shared" si="0"/>
        <v>3.1613397788041766</v>
      </c>
      <c r="J7">
        <f t="shared" si="1"/>
        <v>1011296.788540562</v>
      </c>
      <c r="L7">
        <f t="shared" si="2"/>
        <v>-754.33866928295129</v>
      </c>
      <c r="M7">
        <f t="shared" si="3"/>
        <v>-241309168.6102697</v>
      </c>
    </row>
    <row r="8" spans="1:13" x14ac:dyDescent="0.2">
      <c r="A8" t="s">
        <v>7</v>
      </c>
      <c r="B8" t="s">
        <v>14</v>
      </c>
      <c r="C8">
        <v>5618.1743778281752</v>
      </c>
      <c r="D8">
        <v>4344.3070325670133</v>
      </c>
      <c r="E8">
        <v>5105.386699708868</v>
      </c>
      <c r="F8">
        <v>5043.3137024532316</v>
      </c>
      <c r="G8">
        <v>344975</v>
      </c>
      <c r="I8">
        <f t="shared" si="0"/>
        <v>62.072997255636437</v>
      </c>
      <c r="J8">
        <f t="shared" si="1"/>
        <v>21413632.228263181</v>
      </c>
      <c r="L8">
        <f t="shared" si="2"/>
        <v>-699.00666988621833</v>
      </c>
      <c r="M8">
        <f t="shared" si="3"/>
        <v>-241139825.94399816</v>
      </c>
    </row>
    <row r="9" spans="1:13" x14ac:dyDescent="0.2">
      <c r="A9" t="s">
        <v>7</v>
      </c>
      <c r="B9" t="s">
        <v>15</v>
      </c>
      <c r="C9">
        <v>5998.7670432958812</v>
      </c>
      <c r="D9">
        <v>4910.1850324579464</v>
      </c>
      <c r="E9">
        <v>5615.4721583792434</v>
      </c>
      <c r="F9">
        <v>5534.9740981280784</v>
      </c>
      <c r="G9">
        <v>353050</v>
      </c>
      <c r="I9">
        <f t="shared" si="0"/>
        <v>80.498060251165043</v>
      </c>
      <c r="J9">
        <f t="shared" si="1"/>
        <v>28419840.171673819</v>
      </c>
      <c r="L9">
        <f t="shared" si="2"/>
        <v>-624.789065670132</v>
      </c>
      <c r="M9">
        <f t="shared" si="3"/>
        <v>-220581779.6348401</v>
      </c>
    </row>
    <row r="10" spans="1:13" x14ac:dyDescent="0.2">
      <c r="A10" t="s">
        <v>7</v>
      </c>
      <c r="B10" t="s">
        <v>16</v>
      </c>
      <c r="C10">
        <v>6318.9049486311224</v>
      </c>
      <c r="D10">
        <v>5301.2191950130427</v>
      </c>
      <c r="E10">
        <v>5961.9377340761039</v>
      </c>
      <c r="F10">
        <v>5885.9999029490937</v>
      </c>
      <c r="G10">
        <v>354130</v>
      </c>
      <c r="I10">
        <f t="shared" si="0"/>
        <v>75.937831127010213</v>
      </c>
      <c r="J10">
        <f t="shared" si="1"/>
        <v>26891864.137008127</v>
      </c>
      <c r="L10">
        <f t="shared" si="2"/>
        <v>-584.78070793605093</v>
      </c>
      <c r="M10">
        <f t="shared" si="3"/>
        <v>-207088392.10139373</v>
      </c>
    </row>
    <row r="11" spans="1:13" x14ac:dyDescent="0.2">
      <c r="A11" t="s">
        <v>7</v>
      </c>
      <c r="B11" t="s">
        <v>17</v>
      </c>
      <c r="C11">
        <v>7440.5770616930786</v>
      </c>
      <c r="D11">
        <v>6329.9535652908762</v>
      </c>
      <c r="E11">
        <v>7006.755397453604</v>
      </c>
      <c r="F11">
        <v>6946.0103554727903</v>
      </c>
      <c r="G11">
        <v>355320</v>
      </c>
      <c r="I11">
        <f t="shared" si="0"/>
        <v>60.745041980813767</v>
      </c>
      <c r="J11">
        <f t="shared" si="1"/>
        <v>21583928.316622749</v>
      </c>
      <c r="L11">
        <f t="shared" si="2"/>
        <v>-616.05679018191404</v>
      </c>
      <c r="M11">
        <f t="shared" si="3"/>
        <v>-218897298.68743768</v>
      </c>
    </row>
    <row r="12" spans="1:13" x14ac:dyDescent="0.2">
      <c r="A12" t="s">
        <v>18</v>
      </c>
      <c r="B12" t="s">
        <v>8</v>
      </c>
      <c r="C12">
        <v>6658.8712552907737</v>
      </c>
      <c r="D12">
        <v>3912.6750585306349</v>
      </c>
      <c r="E12">
        <v>4939.3534742561187</v>
      </c>
      <c r="F12">
        <v>5112.5633155834112</v>
      </c>
      <c r="G12">
        <v>148215</v>
      </c>
      <c r="I12">
        <f t="shared" si="0"/>
        <v>-173.20984132729245</v>
      </c>
      <c r="J12">
        <f t="shared" si="1"/>
        <v>-25672296.632324651</v>
      </c>
      <c r="L12">
        <f t="shared" si="2"/>
        <v>-1199.8882570527762</v>
      </c>
      <c r="M12">
        <f t="shared" si="3"/>
        <v>-177841438.01907724</v>
      </c>
    </row>
    <row r="13" spans="1:13" x14ac:dyDescent="0.2">
      <c r="A13" t="s">
        <v>18</v>
      </c>
      <c r="B13" t="s">
        <v>9</v>
      </c>
      <c r="C13">
        <v>8121.6751262382613</v>
      </c>
      <c r="D13">
        <v>7155.9653752127952</v>
      </c>
      <c r="E13">
        <v>7745.1491222692057</v>
      </c>
      <c r="F13">
        <v>7691.9846864973661</v>
      </c>
      <c r="G13">
        <v>327400</v>
      </c>
      <c r="I13">
        <f t="shared" si="0"/>
        <v>53.164435771839635</v>
      </c>
      <c r="J13">
        <f t="shared" si="1"/>
        <v>17406036.271700297</v>
      </c>
      <c r="L13">
        <f t="shared" si="2"/>
        <v>-536.0193112845709</v>
      </c>
      <c r="M13">
        <f t="shared" si="3"/>
        <v>-175492722.51456851</v>
      </c>
    </row>
    <row r="14" spans="1:13" x14ac:dyDescent="0.2">
      <c r="A14" t="s">
        <v>18</v>
      </c>
      <c r="B14" t="s">
        <v>10</v>
      </c>
      <c r="C14">
        <v>5303.4188543216214</v>
      </c>
      <c r="D14">
        <v>3784.6514922197211</v>
      </c>
      <c r="E14">
        <v>4489.4584167722905</v>
      </c>
      <c r="F14">
        <v>4516.7467950214814</v>
      </c>
      <c r="G14">
        <v>174720</v>
      </c>
      <c r="I14">
        <f t="shared" si="0"/>
        <v>-27.288378249190828</v>
      </c>
      <c r="J14">
        <f t="shared" si="1"/>
        <v>-4767825.4476986211</v>
      </c>
      <c r="L14">
        <f t="shared" si="2"/>
        <v>-732.09530280176023</v>
      </c>
      <c r="M14">
        <f t="shared" si="3"/>
        <v>-127911691.30552354</v>
      </c>
    </row>
    <row r="15" spans="1:13" x14ac:dyDescent="0.2">
      <c r="A15" t="s">
        <v>18</v>
      </c>
      <c r="B15" t="s">
        <v>11</v>
      </c>
      <c r="C15">
        <v>5486.5415914509886</v>
      </c>
      <c r="D15">
        <v>3965.717836077039</v>
      </c>
      <c r="E15">
        <v>4742.3991144568154</v>
      </c>
      <c r="F15">
        <v>4734.2644141104147</v>
      </c>
      <c r="G15">
        <v>194770</v>
      </c>
      <c r="I15">
        <f t="shared" si="0"/>
        <v>8.1347003464006775</v>
      </c>
      <c r="J15">
        <f t="shared" si="1"/>
        <v>1584395.58646846</v>
      </c>
      <c r="L15">
        <f t="shared" si="2"/>
        <v>-768.54657803337568</v>
      </c>
      <c r="M15">
        <f t="shared" si="3"/>
        <v>-149689817.00356057</v>
      </c>
    </row>
    <row r="16" spans="1:13" x14ac:dyDescent="0.2">
      <c r="A16" t="s">
        <v>18</v>
      </c>
      <c r="B16" t="s">
        <v>12</v>
      </c>
      <c r="C16">
        <v>6119.3361452909776</v>
      </c>
      <c r="D16">
        <v>4492.3404703841798</v>
      </c>
      <c r="E16">
        <v>5363.1498838001353</v>
      </c>
      <c r="F16">
        <v>5334.4940958188572</v>
      </c>
      <c r="G16">
        <v>255270</v>
      </c>
      <c r="I16">
        <f t="shared" si="0"/>
        <v>28.655787981278081</v>
      </c>
      <c r="J16">
        <f t="shared" si="1"/>
        <v>7314962.9979808554</v>
      </c>
      <c r="L16">
        <f t="shared" si="2"/>
        <v>-842.15362543467745</v>
      </c>
      <c r="M16">
        <f t="shared" si="3"/>
        <v>-214976555.96471012</v>
      </c>
    </row>
    <row r="17" spans="1:13" x14ac:dyDescent="0.2">
      <c r="A17" t="s">
        <v>18</v>
      </c>
      <c r="B17" t="s">
        <v>13</v>
      </c>
      <c r="C17">
        <v>5736.8370345905996</v>
      </c>
      <c r="D17">
        <v>4424.2970901324907</v>
      </c>
      <c r="E17">
        <v>5223.9877936594939</v>
      </c>
      <c r="F17">
        <v>5152.2774280105205</v>
      </c>
      <c r="G17">
        <v>285060</v>
      </c>
      <c r="I17">
        <f t="shared" si="0"/>
        <v>71.710365648973493</v>
      </c>
      <c r="J17">
        <f t="shared" si="1"/>
        <v>20441756.831896383</v>
      </c>
      <c r="L17">
        <f t="shared" si="2"/>
        <v>-727.98033787802979</v>
      </c>
      <c r="M17">
        <f t="shared" si="3"/>
        <v>-207518075.11551118</v>
      </c>
    </row>
    <row r="18" spans="1:13" x14ac:dyDescent="0.2">
      <c r="A18" t="s">
        <v>18</v>
      </c>
      <c r="B18" t="s">
        <v>14</v>
      </c>
      <c r="C18">
        <v>7032.9111244110081</v>
      </c>
      <c r="D18">
        <v>5593.0273657072466</v>
      </c>
      <c r="E18">
        <v>6288.2323605393149</v>
      </c>
      <c r="F18">
        <v>6300.6008027992211</v>
      </c>
      <c r="G18">
        <v>309095</v>
      </c>
      <c r="I18">
        <f t="shared" si="0"/>
        <v>-12.36844225990626</v>
      </c>
      <c r="J18">
        <f t="shared" si="1"/>
        <v>-3823023.6603257256</v>
      </c>
      <c r="L18">
        <f t="shared" si="2"/>
        <v>-707.57343709197448</v>
      </c>
      <c r="M18">
        <f t="shared" si="3"/>
        <v>-218707411.53794384</v>
      </c>
    </row>
    <row r="19" spans="1:13" x14ac:dyDescent="0.2">
      <c r="A19" t="s">
        <v>18</v>
      </c>
      <c r="B19" t="s">
        <v>15</v>
      </c>
      <c r="C19">
        <v>5747.1658116024773</v>
      </c>
      <c r="D19">
        <v>4687.8557351415966</v>
      </c>
      <c r="E19">
        <v>5333.1555885700973</v>
      </c>
      <c r="F19">
        <v>5275.3331809710671</v>
      </c>
      <c r="G19">
        <v>319025</v>
      </c>
      <c r="I19">
        <f t="shared" si="0"/>
        <v>57.822407599030157</v>
      </c>
      <c r="J19">
        <f t="shared" si="1"/>
        <v>18446793.584280595</v>
      </c>
      <c r="L19">
        <f t="shared" si="2"/>
        <v>-587.47744582947053</v>
      </c>
      <c r="M19">
        <f t="shared" si="3"/>
        <v>-187419992.15574685</v>
      </c>
    </row>
    <row r="20" spans="1:13" x14ac:dyDescent="0.2">
      <c r="A20" t="s">
        <v>18</v>
      </c>
      <c r="B20" t="s">
        <v>16</v>
      </c>
      <c r="C20">
        <v>6705.0360612041977</v>
      </c>
      <c r="D20">
        <v>5706.4022865209472</v>
      </c>
      <c r="E20">
        <v>6238.2476259275827</v>
      </c>
      <c r="F20">
        <v>6221.983399895078</v>
      </c>
      <c r="G20">
        <v>328670</v>
      </c>
      <c r="I20">
        <f t="shared" si="0"/>
        <v>16.264226032504666</v>
      </c>
      <c r="J20">
        <f t="shared" si="1"/>
        <v>5345563.1701033087</v>
      </c>
      <c r="L20">
        <f t="shared" si="2"/>
        <v>-515.58111337413084</v>
      </c>
      <c r="M20">
        <f t="shared" si="3"/>
        <v>-169456044.53267559</v>
      </c>
    </row>
    <row r="21" spans="1:13" x14ac:dyDescent="0.2">
      <c r="A21" t="s">
        <v>18</v>
      </c>
      <c r="B21" t="s">
        <v>17</v>
      </c>
      <c r="C21">
        <v>6958.3349896923028</v>
      </c>
      <c r="D21">
        <v>6149.9341581031058</v>
      </c>
      <c r="E21">
        <v>6633.4755064026076</v>
      </c>
      <c r="F21">
        <v>6593.805040150155</v>
      </c>
      <c r="G21">
        <v>330050</v>
      </c>
      <c r="I21">
        <f t="shared" si="0"/>
        <v>39.67046625245257</v>
      </c>
      <c r="J21">
        <f t="shared" si="1"/>
        <v>13093237.386621971</v>
      </c>
      <c r="L21">
        <f t="shared" si="2"/>
        <v>-443.87088204704924</v>
      </c>
      <c r="M21">
        <f t="shared" si="3"/>
        <v>-146499584.61962861</v>
      </c>
    </row>
    <row r="22" spans="1:13" x14ac:dyDescent="0.2">
      <c r="A22" t="s">
        <v>19</v>
      </c>
      <c r="B22" t="s">
        <v>8</v>
      </c>
      <c r="C22">
        <v>8235.3868152760224</v>
      </c>
      <c r="D22">
        <v>5287.7128478380582</v>
      </c>
      <c r="E22">
        <v>6468.6936134004309</v>
      </c>
      <c r="F22">
        <v>6615.1217224787351</v>
      </c>
      <c r="G22">
        <v>127250</v>
      </c>
      <c r="I22">
        <f t="shared" si="0"/>
        <v>-146.42810907830426</v>
      </c>
      <c r="J22">
        <f t="shared" si="1"/>
        <v>-18632976.880214218</v>
      </c>
      <c r="L22">
        <f t="shared" si="2"/>
        <v>-1327.4088746406769</v>
      </c>
      <c r="M22">
        <f t="shared" si="3"/>
        <v>-168912779.29802614</v>
      </c>
    </row>
    <row r="23" spans="1:13" x14ac:dyDescent="0.2">
      <c r="A23" t="s">
        <v>19</v>
      </c>
      <c r="B23" t="s">
        <v>9</v>
      </c>
      <c r="C23">
        <v>8646.1544503633231</v>
      </c>
      <c r="D23">
        <v>7683.0521428663369</v>
      </c>
      <c r="E23">
        <v>7998.2005243430776</v>
      </c>
      <c r="F23">
        <v>8081.4019104789541</v>
      </c>
      <c r="G23">
        <v>364045</v>
      </c>
      <c r="I23">
        <f t="shared" si="0"/>
        <v>-83.201386135876419</v>
      </c>
      <c r="J23">
        <f t="shared" si="1"/>
        <v>-30289048.61583513</v>
      </c>
      <c r="L23">
        <f t="shared" si="2"/>
        <v>-398.34976761261714</v>
      </c>
      <c r="M23">
        <f t="shared" si="3"/>
        <v>-145017241.1505352</v>
      </c>
    </row>
    <row r="24" spans="1:13" x14ac:dyDescent="0.2">
      <c r="A24" t="s">
        <v>19</v>
      </c>
      <c r="B24" t="s">
        <v>10</v>
      </c>
      <c r="C24">
        <v>6513.0805057097277</v>
      </c>
      <c r="D24">
        <v>5063.6575441605328</v>
      </c>
      <c r="E24">
        <v>5732.3593518664256</v>
      </c>
      <c r="F24">
        <v>5760.3641884007784</v>
      </c>
      <c r="G24">
        <v>144400</v>
      </c>
      <c r="I24">
        <f t="shared" si="0"/>
        <v>-28.004836534352762</v>
      </c>
      <c r="J24">
        <f t="shared" si="1"/>
        <v>-4043898.3955605389</v>
      </c>
      <c r="L24">
        <f t="shared" si="2"/>
        <v>-696.70664424024562</v>
      </c>
      <c r="M24">
        <f t="shared" si="3"/>
        <v>-100604439.42829147</v>
      </c>
    </row>
    <row r="25" spans="1:13" x14ac:dyDescent="0.2">
      <c r="A25" t="s">
        <v>19</v>
      </c>
      <c r="B25" t="s">
        <v>11</v>
      </c>
      <c r="C25">
        <v>6328.0640741728294</v>
      </c>
      <c r="D25">
        <v>4940.3881917109584</v>
      </c>
      <c r="E25">
        <v>5651.5256682676008</v>
      </c>
      <c r="F25">
        <v>5642.8759006047476</v>
      </c>
      <c r="G25">
        <v>169060</v>
      </c>
      <c r="I25">
        <f t="shared" si="0"/>
        <v>8.6497676628532645</v>
      </c>
      <c r="J25">
        <f t="shared" si="1"/>
        <v>1462329.7210819728</v>
      </c>
      <c r="L25">
        <f t="shared" si="2"/>
        <v>-702.4877088937892</v>
      </c>
      <c r="M25">
        <f t="shared" si="3"/>
        <v>-118762572.065584</v>
      </c>
    </row>
    <row r="26" spans="1:13" x14ac:dyDescent="0.2">
      <c r="A26" t="s">
        <v>19</v>
      </c>
      <c r="B26" t="s">
        <v>12</v>
      </c>
      <c r="C26">
        <v>5974.33393958539</v>
      </c>
      <c r="D26">
        <v>4503.9532343711526</v>
      </c>
      <c r="E26">
        <v>5251.8350718986112</v>
      </c>
      <c r="F26">
        <v>5245.4893294384419</v>
      </c>
      <c r="G26">
        <v>244015</v>
      </c>
      <c r="I26">
        <f t="shared" si="0"/>
        <v>6.3457424601692765</v>
      </c>
      <c r="J26">
        <f t="shared" si="1"/>
        <v>1548456.3464182059</v>
      </c>
      <c r="L26">
        <f t="shared" si="2"/>
        <v>-741.53609506728935</v>
      </c>
      <c r="M26">
        <f t="shared" si="3"/>
        <v>-180945930.23784462</v>
      </c>
    </row>
    <row r="27" spans="1:13" x14ac:dyDescent="0.2">
      <c r="A27" t="s">
        <v>19</v>
      </c>
      <c r="B27" t="s">
        <v>13</v>
      </c>
      <c r="C27">
        <v>5928.7253636061514</v>
      </c>
      <c r="D27">
        <v>4775.8414651929852</v>
      </c>
      <c r="E27">
        <v>5346.4677097522999</v>
      </c>
      <c r="F27">
        <v>5349.3755620759339</v>
      </c>
      <c r="G27">
        <v>269095</v>
      </c>
      <c r="I27">
        <f t="shared" si="0"/>
        <v>-2.9078523236339606</v>
      </c>
      <c r="J27">
        <f t="shared" si="1"/>
        <v>-782488.52102828061</v>
      </c>
      <c r="L27">
        <f t="shared" si="2"/>
        <v>-573.53409688294869</v>
      </c>
      <c r="M27">
        <f t="shared" si="3"/>
        <v>-154335157.80071709</v>
      </c>
    </row>
    <row r="28" spans="1:13" x14ac:dyDescent="0.2">
      <c r="A28" t="s">
        <v>19</v>
      </c>
      <c r="B28" t="s">
        <v>14</v>
      </c>
      <c r="C28">
        <v>6003.925596247389</v>
      </c>
      <c r="D28">
        <v>5063.4768776368392</v>
      </c>
      <c r="E28">
        <v>5541.7439921907526</v>
      </c>
      <c r="F28">
        <v>5537.7226145664335</v>
      </c>
      <c r="G28">
        <v>287730</v>
      </c>
      <c r="I28">
        <f t="shared" si="0"/>
        <v>4.0213776243190296</v>
      </c>
      <c r="J28">
        <f t="shared" si="1"/>
        <v>1157070.9838453145</v>
      </c>
      <c r="L28">
        <f t="shared" si="2"/>
        <v>-474.24573692959439</v>
      </c>
      <c r="M28">
        <f t="shared" si="3"/>
        <v>-136454725.88675219</v>
      </c>
    </row>
    <row r="29" spans="1:13" x14ac:dyDescent="0.2">
      <c r="A29" t="s">
        <v>19</v>
      </c>
      <c r="B29" t="s">
        <v>15</v>
      </c>
      <c r="C29">
        <v>6130.6763611686592</v>
      </c>
      <c r="D29">
        <v>5339.9777860111117</v>
      </c>
      <c r="E29">
        <v>5693.2377955050106</v>
      </c>
      <c r="F29">
        <v>5714.2824345474482</v>
      </c>
      <c r="G29">
        <v>301795</v>
      </c>
      <c r="I29">
        <f t="shared" si="0"/>
        <v>-21.044639042437666</v>
      </c>
      <c r="J29">
        <f t="shared" si="1"/>
        <v>-6351166.8398124753</v>
      </c>
      <c r="L29">
        <f t="shared" si="2"/>
        <v>-374.30464853633657</v>
      </c>
      <c r="M29">
        <f t="shared" si="3"/>
        <v>-112963271.40502369</v>
      </c>
    </row>
    <row r="30" spans="1:13" x14ac:dyDescent="0.2">
      <c r="A30" t="s">
        <v>19</v>
      </c>
      <c r="B30" t="s">
        <v>16</v>
      </c>
      <c r="C30">
        <v>7318.4169829150214</v>
      </c>
      <c r="D30">
        <v>6706.8224640528997</v>
      </c>
      <c r="E30">
        <v>6917.5795724527616</v>
      </c>
      <c r="F30">
        <v>6965.0996479683608</v>
      </c>
      <c r="G30">
        <v>312645</v>
      </c>
      <c r="I30">
        <f t="shared" si="0"/>
        <v>-47.520075515599274</v>
      </c>
      <c r="J30">
        <f t="shared" si="1"/>
        <v>-14856914.009574534</v>
      </c>
      <c r="L30">
        <f t="shared" si="2"/>
        <v>-258.27718391546114</v>
      </c>
      <c r="M30">
        <f t="shared" si="3"/>
        <v>-80749070.165249348</v>
      </c>
    </row>
    <row r="31" spans="1:13" x14ac:dyDescent="0.2">
      <c r="A31" t="s">
        <v>19</v>
      </c>
      <c r="B31" t="s">
        <v>17</v>
      </c>
      <c r="C31">
        <v>7596.7559076234356</v>
      </c>
      <c r="D31">
        <v>6924.6238624493517</v>
      </c>
      <c r="E31">
        <v>7188.9035025161593</v>
      </c>
      <c r="F31">
        <v>7224.7966937762758</v>
      </c>
      <c r="G31">
        <v>331835</v>
      </c>
      <c r="I31">
        <f t="shared" si="0"/>
        <v>-35.89319126011651</v>
      </c>
      <c r="J31">
        <f t="shared" si="1"/>
        <v>-11910617.121800762</v>
      </c>
      <c r="L31">
        <f t="shared" si="2"/>
        <v>-300.1728313269241</v>
      </c>
      <c r="M31">
        <f t="shared" si="3"/>
        <v>-99607851.483369857</v>
      </c>
    </row>
    <row r="32" spans="1:13" x14ac:dyDescent="0.2">
      <c r="A32" t="s">
        <v>20</v>
      </c>
      <c r="B32" t="s">
        <v>8</v>
      </c>
      <c r="C32">
        <v>5118.0149199279276</v>
      </c>
      <c r="D32">
        <v>2644.48327988148</v>
      </c>
      <c r="E32">
        <v>3157.1480036760772</v>
      </c>
      <c r="F32">
        <v>3519.19855179039</v>
      </c>
      <c r="G32">
        <v>381025</v>
      </c>
      <c r="I32">
        <f t="shared" si="0"/>
        <v>-362.05054811431273</v>
      </c>
      <c r="J32">
        <f t="shared" si="1"/>
        <v>-137950310.095256</v>
      </c>
      <c r="L32">
        <f t="shared" si="2"/>
        <v>-874.71527190890993</v>
      </c>
      <c r="M32">
        <f t="shared" si="3"/>
        <v>-333288386.47909242</v>
      </c>
    </row>
    <row r="33" spans="1:13" x14ac:dyDescent="0.2">
      <c r="A33" t="s">
        <v>20</v>
      </c>
      <c r="B33" t="s">
        <v>9</v>
      </c>
      <c r="C33">
        <v>7934.6930757962173</v>
      </c>
      <c r="D33">
        <v>6811.5142272469284</v>
      </c>
      <c r="E33">
        <v>7448.8422209284636</v>
      </c>
      <c r="F33">
        <v>7410.9729362250182</v>
      </c>
      <c r="G33">
        <v>424040</v>
      </c>
      <c r="I33">
        <f t="shared" si="0"/>
        <v>37.869284703445373</v>
      </c>
      <c r="J33">
        <f t="shared" si="1"/>
        <v>16058091.485648977</v>
      </c>
      <c r="L33">
        <f t="shared" si="2"/>
        <v>-599.45870897808982</v>
      </c>
      <c r="M33">
        <f t="shared" si="3"/>
        <v>-254194470.95506921</v>
      </c>
    </row>
    <row r="34" spans="1:13" x14ac:dyDescent="0.2">
      <c r="A34" t="s">
        <v>20</v>
      </c>
      <c r="B34" t="s">
        <v>10</v>
      </c>
      <c r="C34">
        <v>4826.6249273069216</v>
      </c>
      <c r="D34">
        <v>3202.8214588627602</v>
      </c>
      <c r="E34">
        <v>3696.979243584125</v>
      </c>
      <c r="F34">
        <v>3855.8512183344842</v>
      </c>
      <c r="G34">
        <v>367905</v>
      </c>
      <c r="I34">
        <f t="shared" si="0"/>
        <v>-158.87197475035919</v>
      </c>
      <c r="J34">
        <f t="shared" si="1"/>
        <v>-58449793.870530896</v>
      </c>
      <c r="L34">
        <f t="shared" si="2"/>
        <v>-653.02975947172399</v>
      </c>
      <c r="M34">
        <f t="shared" si="3"/>
        <v>-240252913.65844461</v>
      </c>
    </row>
    <row r="35" spans="1:13" x14ac:dyDescent="0.2">
      <c r="A35" t="s">
        <v>20</v>
      </c>
      <c r="B35" t="s">
        <v>11</v>
      </c>
      <c r="C35">
        <v>5301.6164837139322</v>
      </c>
      <c r="D35">
        <v>3569.380718706675</v>
      </c>
      <c r="E35">
        <v>4171.6549530957845</v>
      </c>
      <c r="F35">
        <v>4303.5767771530454</v>
      </c>
      <c r="G35">
        <v>366640</v>
      </c>
      <c r="I35">
        <f t="shared" si="0"/>
        <v>-131.92182405726089</v>
      </c>
      <c r="J35">
        <f t="shared" si="1"/>
        <v>-48367817.57235413</v>
      </c>
      <c r="L35">
        <f t="shared" si="2"/>
        <v>-734.19605844637044</v>
      </c>
      <c r="M35">
        <f t="shared" si="3"/>
        <v>-269185642.86877728</v>
      </c>
    </row>
    <row r="36" spans="1:13" x14ac:dyDescent="0.2">
      <c r="A36" t="s">
        <v>20</v>
      </c>
      <c r="B36" t="s">
        <v>12</v>
      </c>
      <c r="C36">
        <v>5562.3969945459166</v>
      </c>
      <c r="D36">
        <v>3822.8452325642411</v>
      </c>
      <c r="E36">
        <v>4446.8073226016231</v>
      </c>
      <c r="F36">
        <v>4569.7142180783512</v>
      </c>
      <c r="G36">
        <v>405025</v>
      </c>
      <c r="I36">
        <f t="shared" si="0"/>
        <v>-122.9068954767281</v>
      </c>
      <c r="J36">
        <f t="shared" si="1"/>
        <v>-49780365.340461798</v>
      </c>
      <c r="L36">
        <f t="shared" si="2"/>
        <v>-746.86898551411014</v>
      </c>
      <c r="M36">
        <f t="shared" si="3"/>
        <v>-302500610.85785246</v>
      </c>
    </row>
    <row r="37" spans="1:13" x14ac:dyDescent="0.2">
      <c r="A37" t="s">
        <v>20</v>
      </c>
      <c r="B37" t="s">
        <v>13</v>
      </c>
      <c r="C37">
        <v>5695.6796761846736</v>
      </c>
      <c r="D37">
        <v>4167.2324111674261</v>
      </c>
      <c r="E37">
        <v>4881.5895597890303</v>
      </c>
      <c r="F37">
        <v>4906.5228017325408</v>
      </c>
      <c r="G37">
        <v>425090</v>
      </c>
      <c r="I37">
        <f t="shared" si="0"/>
        <v>-24.933241943510438</v>
      </c>
      <c r="J37">
        <f t="shared" si="1"/>
        <v>-10598871.817766853</v>
      </c>
      <c r="L37">
        <f t="shared" si="2"/>
        <v>-739.29039056511465</v>
      </c>
      <c r="M37">
        <f t="shared" si="3"/>
        <v>-314264952.12532461</v>
      </c>
    </row>
    <row r="38" spans="1:13" x14ac:dyDescent="0.2">
      <c r="A38" t="s">
        <v>20</v>
      </c>
      <c r="B38" t="s">
        <v>14</v>
      </c>
      <c r="C38">
        <v>5418.2956098736267</v>
      </c>
      <c r="D38">
        <v>3939.2406944495242</v>
      </c>
      <c r="E38">
        <v>4635.713903627995</v>
      </c>
      <c r="F38">
        <v>4657.2410278947846</v>
      </c>
      <c r="G38">
        <v>440380</v>
      </c>
      <c r="I38">
        <f t="shared" si="0"/>
        <v>-21.527124266789542</v>
      </c>
      <c r="J38">
        <f t="shared" si="1"/>
        <v>-9480114.9846087787</v>
      </c>
      <c r="L38">
        <f t="shared" si="2"/>
        <v>-718.00033344526037</v>
      </c>
      <c r="M38">
        <f t="shared" si="3"/>
        <v>-316192986.84262377</v>
      </c>
    </row>
    <row r="39" spans="1:13" x14ac:dyDescent="0.2">
      <c r="A39" t="s">
        <v>20</v>
      </c>
      <c r="B39" t="s">
        <v>15</v>
      </c>
      <c r="C39">
        <v>5946.2666091088258</v>
      </c>
      <c r="D39">
        <v>4493.6922997435458</v>
      </c>
      <c r="E39">
        <v>5265.4412997781574</v>
      </c>
      <c r="F39">
        <v>5242.7103771021721</v>
      </c>
      <c r="G39">
        <v>449275</v>
      </c>
      <c r="I39">
        <f t="shared" si="0"/>
        <v>22.730922675985312</v>
      </c>
      <c r="J39">
        <f t="shared" si="1"/>
        <v>10212435.285253301</v>
      </c>
      <c r="L39">
        <f t="shared" si="2"/>
        <v>-749.01807735862621</v>
      </c>
      <c r="M39">
        <f t="shared" si="3"/>
        <v>-336515096.70529681</v>
      </c>
    </row>
    <row r="40" spans="1:13" x14ac:dyDescent="0.2">
      <c r="A40" t="s">
        <v>20</v>
      </c>
      <c r="B40" t="s">
        <v>16</v>
      </c>
      <c r="C40">
        <v>6042.1475985909383</v>
      </c>
      <c r="D40">
        <v>4883.0737924672312</v>
      </c>
      <c r="E40">
        <v>5525.0858185251182</v>
      </c>
      <c r="F40">
        <v>5493.8482570271017</v>
      </c>
      <c r="G40">
        <v>451395</v>
      </c>
      <c r="I40">
        <f t="shared" si="0"/>
        <v>31.237561498016476</v>
      </c>
      <c r="J40">
        <f t="shared" si="1"/>
        <v>14100479.072397146</v>
      </c>
      <c r="L40">
        <f t="shared" si="2"/>
        <v>-610.77446455987047</v>
      </c>
      <c r="M40">
        <f t="shared" si="3"/>
        <v>-275700539.43000275</v>
      </c>
    </row>
    <row r="41" spans="1:13" x14ac:dyDescent="0.2">
      <c r="A41" t="s">
        <v>20</v>
      </c>
      <c r="B41" t="s">
        <v>17</v>
      </c>
      <c r="C41">
        <v>6831.3869585612611</v>
      </c>
      <c r="D41">
        <v>5762.0101864908765</v>
      </c>
      <c r="E41">
        <v>6433.5429402063164</v>
      </c>
      <c r="F41">
        <v>6365.1207563661919</v>
      </c>
      <c r="G41">
        <v>450850</v>
      </c>
      <c r="I41">
        <f t="shared" si="0"/>
        <v>68.42218384012449</v>
      </c>
      <c r="J41">
        <f t="shared" si="1"/>
        <v>30848141.584320124</v>
      </c>
      <c r="L41">
        <f t="shared" si="2"/>
        <v>-603.11056987531538</v>
      </c>
      <c r="M41">
        <f t="shared" si="3"/>
        <v>-271912400.42828596</v>
      </c>
    </row>
    <row r="42" spans="1:13" x14ac:dyDescent="0.2">
      <c r="A42" t="s">
        <v>21</v>
      </c>
      <c r="B42" t="s">
        <v>8</v>
      </c>
      <c r="C42">
        <v>5589.5324958275314</v>
      </c>
      <c r="D42">
        <v>2721.527339351564</v>
      </c>
      <c r="E42">
        <v>2944.9532329449898</v>
      </c>
      <c r="F42">
        <v>3550.2415752672691</v>
      </c>
      <c r="G42">
        <v>499140</v>
      </c>
      <c r="I42">
        <f t="shared" si="0"/>
        <v>-605.28834232227928</v>
      </c>
      <c r="J42">
        <f t="shared" si="1"/>
        <v>-302123623.18674248</v>
      </c>
      <c r="L42">
        <f t="shared" si="2"/>
        <v>-828.7142359157051</v>
      </c>
      <c r="M42">
        <f t="shared" si="3"/>
        <v>-413644423.71496505</v>
      </c>
    </row>
    <row r="43" spans="1:13" x14ac:dyDescent="0.2">
      <c r="A43" t="s">
        <v>21</v>
      </c>
      <c r="B43" t="s">
        <v>9</v>
      </c>
      <c r="C43">
        <v>7354.3607574572025</v>
      </c>
      <c r="D43">
        <v>5787.9806601371774</v>
      </c>
      <c r="E43">
        <v>6236.8336815063658</v>
      </c>
      <c r="F43">
        <v>6404.0021951517774</v>
      </c>
      <c r="G43">
        <v>383395</v>
      </c>
      <c r="I43">
        <f t="shared" si="0"/>
        <v>-167.16851364541162</v>
      </c>
      <c r="J43">
        <f t="shared" si="1"/>
        <v>-64091572.289082587</v>
      </c>
      <c r="L43">
        <f t="shared" si="2"/>
        <v>-616.02153501459998</v>
      </c>
      <c r="M43">
        <f t="shared" si="3"/>
        <v>-236179576.41692257</v>
      </c>
    </row>
    <row r="44" spans="1:13" x14ac:dyDescent="0.2">
      <c r="A44" t="s">
        <v>21</v>
      </c>
      <c r="B44" t="s">
        <v>10</v>
      </c>
      <c r="C44">
        <v>5160.9193214768366</v>
      </c>
      <c r="D44">
        <v>3466.0664124628479</v>
      </c>
      <c r="E44">
        <v>3769.2965749828709</v>
      </c>
      <c r="F44">
        <v>4041.394720976356</v>
      </c>
      <c r="G44">
        <v>371405</v>
      </c>
      <c r="I44">
        <f t="shared" si="0"/>
        <v>-272.0981459934851</v>
      </c>
      <c r="J44">
        <f t="shared" si="1"/>
        <v>-101058611.91271034</v>
      </c>
      <c r="L44">
        <f t="shared" si="2"/>
        <v>-575.32830851350809</v>
      </c>
      <c r="M44">
        <f t="shared" si="3"/>
        <v>-213679810.42345947</v>
      </c>
    </row>
    <row r="45" spans="1:13" x14ac:dyDescent="0.2">
      <c r="A45" t="s">
        <v>21</v>
      </c>
      <c r="B45" t="s">
        <v>11</v>
      </c>
      <c r="C45">
        <v>5019.1877884263104</v>
      </c>
      <c r="D45">
        <v>3338.9947369376641</v>
      </c>
      <c r="E45">
        <v>3681.4379884254431</v>
      </c>
      <c r="F45">
        <v>3930.2646255537161</v>
      </c>
      <c r="G45">
        <v>314975</v>
      </c>
      <c r="I45">
        <f t="shared" si="0"/>
        <v>-248.82663712827298</v>
      </c>
      <c r="J45">
        <f t="shared" si="1"/>
        <v>-78374170.029477775</v>
      </c>
      <c r="L45">
        <f t="shared" si="2"/>
        <v>-591.26988861605196</v>
      </c>
      <c r="M45">
        <f t="shared" si="3"/>
        <v>-186235233.16684097</v>
      </c>
    </row>
    <row r="46" spans="1:13" x14ac:dyDescent="0.2">
      <c r="A46" t="s">
        <v>21</v>
      </c>
      <c r="B46" t="s">
        <v>12</v>
      </c>
      <c r="C46">
        <v>5104.5855228298269</v>
      </c>
      <c r="D46">
        <v>3435.3062089485688</v>
      </c>
      <c r="E46">
        <v>3806.6234471181442</v>
      </c>
      <c r="F46">
        <v>4038.2846565036712</v>
      </c>
      <c r="G46">
        <v>312325</v>
      </c>
      <c r="I46">
        <f t="shared" si="0"/>
        <v>-231.66120938552694</v>
      </c>
      <c r="J46">
        <f t="shared" si="1"/>
        <v>-72353587.221334696</v>
      </c>
      <c r="L46">
        <f t="shared" si="2"/>
        <v>-602.97844755510232</v>
      </c>
      <c r="M46">
        <f t="shared" si="3"/>
        <v>-188325243.63264734</v>
      </c>
    </row>
    <row r="47" spans="1:13" x14ac:dyDescent="0.2">
      <c r="A47" t="s">
        <v>21</v>
      </c>
      <c r="B47" t="s">
        <v>13</v>
      </c>
      <c r="C47">
        <v>4916.9421560670553</v>
      </c>
      <c r="D47">
        <v>3593.4935364672988</v>
      </c>
      <c r="E47">
        <v>3971.066702356929</v>
      </c>
      <c r="F47">
        <v>4113.1422743120529</v>
      </c>
      <c r="G47">
        <v>301155</v>
      </c>
      <c r="I47">
        <f t="shared" si="0"/>
        <v>-142.07557195512391</v>
      </c>
      <c r="J47">
        <f t="shared" si="1"/>
        <v>-42786768.87214534</v>
      </c>
      <c r="L47">
        <f t="shared" si="2"/>
        <v>-519.64873784475412</v>
      </c>
      <c r="M47">
        <f t="shared" si="3"/>
        <v>-156494815.64563692</v>
      </c>
    </row>
    <row r="48" spans="1:13" x14ac:dyDescent="0.2">
      <c r="A48" t="s">
        <v>21</v>
      </c>
      <c r="B48" t="s">
        <v>14</v>
      </c>
      <c r="C48">
        <v>5252.166228782703</v>
      </c>
      <c r="D48">
        <v>3870.1605191223111</v>
      </c>
      <c r="E48">
        <v>4364.7624015995052</v>
      </c>
      <c r="F48">
        <v>4462.962887776006</v>
      </c>
      <c r="G48">
        <v>298305</v>
      </c>
      <c r="I48">
        <f t="shared" si="0"/>
        <v>-98.200486176500817</v>
      </c>
      <c r="J48">
        <f t="shared" si="1"/>
        <v>-29293696.028881077</v>
      </c>
      <c r="L48">
        <f t="shared" si="2"/>
        <v>-592.80236865369488</v>
      </c>
      <c r="M48">
        <f t="shared" si="3"/>
        <v>-176835910.58124045</v>
      </c>
    </row>
    <row r="49" spans="1:13" x14ac:dyDescent="0.2">
      <c r="A49" t="s">
        <v>21</v>
      </c>
      <c r="B49" t="s">
        <v>15</v>
      </c>
      <c r="C49">
        <v>4734.777792763417</v>
      </c>
      <c r="D49">
        <v>3648.3564539383169</v>
      </c>
      <c r="E49">
        <v>4046.403644629564</v>
      </c>
      <c r="F49">
        <v>4118.9853839902153</v>
      </c>
      <c r="G49">
        <v>298380</v>
      </c>
      <c r="I49">
        <f t="shared" si="0"/>
        <v>-72.581739360651227</v>
      </c>
      <c r="J49">
        <f t="shared" si="1"/>
        <v>-21656939.390431114</v>
      </c>
      <c r="L49">
        <f t="shared" si="2"/>
        <v>-470.62893005189835</v>
      </c>
      <c r="M49">
        <f t="shared" si="3"/>
        <v>-140426260.14888543</v>
      </c>
    </row>
    <row r="50" spans="1:13" x14ac:dyDescent="0.2">
      <c r="A50" t="s">
        <v>21</v>
      </c>
      <c r="B50" t="s">
        <v>16</v>
      </c>
      <c r="C50">
        <v>5438.8405616287291</v>
      </c>
      <c r="D50">
        <v>4228.6252225779654</v>
      </c>
      <c r="E50">
        <v>4664.1272904566731</v>
      </c>
      <c r="F50">
        <v>4748.9300912800099</v>
      </c>
      <c r="G50">
        <v>309175</v>
      </c>
      <c r="I50">
        <f t="shared" si="0"/>
        <v>-84.802800823336838</v>
      </c>
      <c r="J50">
        <f t="shared" si="1"/>
        <v>-26218905.944555167</v>
      </c>
      <c r="L50">
        <f t="shared" si="2"/>
        <v>-520.30486870204459</v>
      </c>
      <c r="M50">
        <f t="shared" si="3"/>
        <v>-160865257.78095463</v>
      </c>
    </row>
    <row r="51" spans="1:13" x14ac:dyDescent="0.2">
      <c r="A51" t="s">
        <v>21</v>
      </c>
      <c r="B51" t="s">
        <v>17</v>
      </c>
      <c r="C51">
        <v>5891.7662852689764</v>
      </c>
      <c r="D51">
        <v>4695.1110450919286</v>
      </c>
      <c r="E51">
        <v>5080.0806764499539</v>
      </c>
      <c r="F51">
        <v>5186.7596708152032</v>
      </c>
      <c r="G51">
        <v>337925</v>
      </c>
      <c r="I51">
        <f t="shared" si="0"/>
        <v>-106.67899436524931</v>
      </c>
      <c r="J51">
        <f t="shared" si="1"/>
        <v>-36049499.170876876</v>
      </c>
      <c r="L51">
        <f t="shared" si="2"/>
        <v>-491.64862572327456</v>
      </c>
      <c r="M51">
        <f t="shared" si="3"/>
        <v>-166140361.84753755</v>
      </c>
    </row>
    <row r="53" spans="1:13" x14ac:dyDescent="0.2">
      <c r="J53">
        <f>SUM(J2:J51)</f>
        <v>-1041900600.9761564</v>
      </c>
      <c r="K53">
        <f t="shared" ref="K53:M53" si="4">SUM(K2:K51)</f>
        <v>0</v>
      </c>
      <c r="L53">
        <f t="shared" si="4"/>
        <v>-32899.220166207917</v>
      </c>
      <c r="M53">
        <f t="shared" si="4"/>
        <v>-10143674702.931595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Kopp</cp:lastModifiedBy>
  <dcterms:created xsi:type="dcterms:W3CDTF">2025-02-07T16:45:34Z</dcterms:created>
  <dcterms:modified xsi:type="dcterms:W3CDTF">2025-02-07T17:43:24Z</dcterms:modified>
</cp:coreProperties>
</file>