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ra/Documents/IE/REAL UTOPIAN HOUSING/Post-GrowthHousingScenarios/Code/housing-footprints/data_input/"/>
    </mc:Choice>
  </mc:AlternateContent>
  <xr:revisionPtr revIDLastSave="0" documentId="13_ncr:1_{4A6D1475-281F-B141-8294-B7CD5B2CDD06}" xr6:coauthVersionLast="47" xr6:coauthVersionMax="47" xr10:uidLastSave="{00000000-0000-0000-0000-000000000000}"/>
  <bookViews>
    <workbookView xWindow="0" yWindow="500" windowWidth="2560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1" l="1"/>
  <c r="L23" i="1"/>
  <c r="M23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  <c r="J2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</calcChain>
</file>

<file path=xl/sharedStrings.xml><?xml version="1.0" encoding="utf-8"?>
<sst xmlns="http://schemas.openxmlformats.org/spreadsheetml/2006/main" count="47" uniqueCount="16">
  <si>
    <t>typology_lab</t>
  </si>
  <si>
    <t>density_lab</t>
  </si>
  <si>
    <t>highest_income_emission_per_capita</t>
  </si>
  <si>
    <t>lowest_income_emission_per_capita</t>
  </si>
  <si>
    <t>median_income_emission_per_capita</t>
  </si>
  <si>
    <t>mean_income_emission_per_capita</t>
  </si>
  <si>
    <t>total_population</t>
  </si>
  <si>
    <t>detached</t>
  </si>
  <si>
    <t>high suburban</t>
  </si>
  <si>
    <t>low suburban</t>
  </si>
  <si>
    <t>rural</t>
  </si>
  <si>
    <t>urban</t>
  </si>
  <si>
    <t>very urban</t>
  </si>
  <si>
    <t>multifamily</t>
  </si>
  <si>
    <t>row house</t>
  </si>
  <si>
    <t>semi-detached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</si>
</sst>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"/>
  <sheetViews>
    <sheetView tabSelected="1" workbookViewId="0">
      <selection activeCell="E26" sqref="E26"/>
    </sheetView>
  </sheetViews>
  <sheetFormatPr baseColWidth="10" defaultColWidth="8.83203125" defaultRowHeight="15" x14ac:dyDescent="0.2"/>
  <cols>
    <col min="10" max="10" width="11.6640625" bestFit="1" customWidth="1"/>
    <col min="13" max="13" width="12.6640625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3" x14ac:dyDescent="0.2">
      <c r="A2" t="s">
        <v>7</v>
      </c>
      <c r="B2" t="s">
        <v>8</v>
      </c>
      <c r="C2">
        <v>8040.970109387149</v>
      </c>
      <c r="D2">
        <v>5054.2826922815038</v>
      </c>
      <c r="E2">
        <v>5885.9518989151657</v>
      </c>
      <c r="F2">
        <v>6106.5629137681271</v>
      </c>
      <c r="G2">
        <v>349280</v>
      </c>
      <c r="I2">
        <f>E2-F2</f>
        <v>-220.61101485296149</v>
      </c>
      <c r="J2">
        <f>I2*G2</f>
        <v>-77055015.267842382</v>
      </c>
      <c r="L2">
        <f>D2-F2</f>
        <v>-1052.2802214866233</v>
      </c>
      <c r="M2">
        <f>L2*G2</f>
        <v>-367540435.76084781</v>
      </c>
    </row>
    <row r="3" spans="1:13" x14ac:dyDescent="0.2">
      <c r="A3" t="s">
        <v>7</v>
      </c>
      <c r="B3" t="s">
        <v>9</v>
      </c>
      <c r="C3">
        <v>8121.6751262382613</v>
      </c>
      <c r="D3">
        <v>5303.4188543216214</v>
      </c>
      <c r="E3">
        <v>6319.1623081622974</v>
      </c>
      <c r="F3">
        <v>6318.3962361935364</v>
      </c>
      <c r="G3">
        <v>581490</v>
      </c>
      <c r="I3">
        <f t="shared" ref="I3:I21" si="0">E3-F3</f>
        <v>0.76607196876102535</v>
      </c>
      <c r="J3">
        <f t="shared" ref="J3:J21" si="1">I3*G3</f>
        <v>445463.18911484862</v>
      </c>
      <c r="L3">
        <f t="shared" ref="L3:L21" si="2">D3-F3</f>
        <v>-1014.977381871915</v>
      </c>
      <c r="M3">
        <f t="shared" ref="M3:M21" si="3">L3*G3</f>
        <v>-590199197.7846998</v>
      </c>
    </row>
    <row r="4" spans="1:13" x14ac:dyDescent="0.2">
      <c r="A4" t="s">
        <v>7</v>
      </c>
      <c r="B4" t="s">
        <v>10</v>
      </c>
      <c r="C4">
        <v>8646.1544503633231</v>
      </c>
      <c r="D4">
        <v>5928.7253636061514</v>
      </c>
      <c r="E4">
        <v>6420.5722899412795</v>
      </c>
      <c r="F4">
        <v>6867.5519996667954</v>
      </c>
      <c r="G4">
        <v>1289720</v>
      </c>
      <c r="I4">
        <f t="shared" si="0"/>
        <v>-446.97970972551593</v>
      </c>
      <c r="J4">
        <f t="shared" si="1"/>
        <v>-576478671.2271924</v>
      </c>
      <c r="L4">
        <f t="shared" si="2"/>
        <v>-938.82663606064398</v>
      </c>
      <c r="M4">
        <f t="shared" si="3"/>
        <v>-1210823489.0601337</v>
      </c>
    </row>
    <row r="5" spans="1:13" x14ac:dyDescent="0.2">
      <c r="A5" t="s">
        <v>7</v>
      </c>
      <c r="B5" t="s">
        <v>11</v>
      </c>
      <c r="C5">
        <v>7934.6930757962173</v>
      </c>
      <c r="D5">
        <v>4826.6249273069216</v>
      </c>
      <c r="E5">
        <v>5629.038335365296</v>
      </c>
      <c r="F5">
        <v>5867.7122853610254</v>
      </c>
      <c r="G5">
        <v>211740</v>
      </c>
      <c r="I5">
        <f t="shared" si="0"/>
        <v>-238.67394999572934</v>
      </c>
      <c r="J5">
        <f t="shared" si="1"/>
        <v>-50536822.172095731</v>
      </c>
      <c r="L5">
        <f t="shared" si="2"/>
        <v>-1041.0873580541038</v>
      </c>
      <c r="M5">
        <f t="shared" si="3"/>
        <v>-220439837.19437593</v>
      </c>
    </row>
    <row r="6" spans="1:13" x14ac:dyDescent="0.2">
      <c r="A6" t="s">
        <v>7</v>
      </c>
      <c r="B6" t="s">
        <v>12</v>
      </c>
      <c r="C6">
        <v>7354.3607574572025</v>
      </c>
      <c r="D6">
        <v>4734.777792763417</v>
      </c>
      <c r="E6">
        <v>5206.5427751297702</v>
      </c>
      <c r="F6">
        <v>5446.3078910528584</v>
      </c>
      <c r="G6">
        <v>35460</v>
      </c>
      <c r="I6">
        <f t="shared" si="0"/>
        <v>-239.76511592308816</v>
      </c>
      <c r="J6">
        <f t="shared" si="1"/>
        <v>-8502071.0106327068</v>
      </c>
      <c r="L6">
        <f t="shared" si="2"/>
        <v>-711.53009828944141</v>
      </c>
      <c r="M6">
        <f t="shared" si="3"/>
        <v>-25230857.285343591</v>
      </c>
    </row>
    <row r="7" spans="1:13" x14ac:dyDescent="0.2">
      <c r="A7" t="s">
        <v>13</v>
      </c>
      <c r="B7" t="s">
        <v>8</v>
      </c>
      <c r="C7">
        <v>8018.0325078649948</v>
      </c>
      <c r="D7">
        <v>3984.78200720532</v>
      </c>
      <c r="E7">
        <v>5297.0362752906794</v>
      </c>
      <c r="F7">
        <v>5607.559789409881</v>
      </c>
      <c r="G7">
        <v>396905</v>
      </c>
      <c r="I7">
        <f t="shared" si="0"/>
        <v>-310.52351411920154</v>
      </c>
      <c r="J7">
        <f t="shared" si="1"/>
        <v>-123248335.37148169</v>
      </c>
      <c r="L7">
        <f t="shared" si="2"/>
        <v>-1622.7777822045609</v>
      </c>
      <c r="M7">
        <f t="shared" si="3"/>
        <v>-644088615.6459012</v>
      </c>
    </row>
    <row r="8" spans="1:13" x14ac:dyDescent="0.2">
      <c r="A8" t="s">
        <v>13</v>
      </c>
      <c r="B8" t="s">
        <v>9</v>
      </c>
      <c r="C8">
        <v>8074.5445680751409</v>
      </c>
      <c r="D8">
        <v>4615.9854356186788</v>
      </c>
      <c r="E8">
        <v>5712.4959924475788</v>
      </c>
      <c r="F8">
        <v>6064.6493359221331</v>
      </c>
      <c r="G8">
        <v>223770</v>
      </c>
      <c r="I8">
        <f t="shared" si="0"/>
        <v>-352.15334347455428</v>
      </c>
      <c r="J8">
        <f t="shared" si="1"/>
        <v>-78801353.669301003</v>
      </c>
      <c r="L8">
        <f t="shared" si="2"/>
        <v>-1448.6639003034543</v>
      </c>
      <c r="M8">
        <f t="shared" si="3"/>
        <v>-324167520.97090399</v>
      </c>
    </row>
    <row r="9" spans="1:13" x14ac:dyDescent="0.2">
      <c r="A9" t="s">
        <v>13</v>
      </c>
      <c r="B9" t="s">
        <v>10</v>
      </c>
      <c r="C9">
        <v>7999.4563676839543</v>
      </c>
      <c r="D9">
        <v>5473.7718070242372</v>
      </c>
      <c r="E9">
        <v>5849.602621269828</v>
      </c>
      <c r="F9">
        <v>6321.7828124964426</v>
      </c>
      <c r="G9">
        <v>136955</v>
      </c>
      <c r="I9">
        <f t="shared" si="0"/>
        <v>-472.18019122661462</v>
      </c>
      <c r="J9">
        <f t="shared" si="1"/>
        <v>-64667438.089441009</v>
      </c>
      <c r="L9">
        <f t="shared" si="2"/>
        <v>-848.0110054722054</v>
      </c>
      <c r="M9">
        <f t="shared" si="3"/>
        <v>-116139347.2544459</v>
      </c>
    </row>
    <row r="10" spans="1:13" x14ac:dyDescent="0.2">
      <c r="A10" t="s">
        <v>13</v>
      </c>
      <c r="B10" t="s">
        <v>11</v>
      </c>
      <c r="C10">
        <v>7736.8644726724106</v>
      </c>
      <c r="D10">
        <v>3108.3251885115328</v>
      </c>
      <c r="E10">
        <v>4974.6707917816984</v>
      </c>
      <c r="F10">
        <v>5128.1839819858378</v>
      </c>
      <c r="G10">
        <v>1035935</v>
      </c>
      <c r="I10">
        <f t="shared" si="0"/>
        <v>-153.51319020413939</v>
      </c>
      <c r="J10">
        <f t="shared" si="1"/>
        <v>-159029686.69412515</v>
      </c>
      <c r="L10">
        <f t="shared" si="2"/>
        <v>-2019.858793474305</v>
      </c>
      <c r="M10">
        <f t="shared" si="3"/>
        <v>-2092442419.2178042</v>
      </c>
    </row>
    <row r="11" spans="1:13" x14ac:dyDescent="0.2">
      <c r="A11" t="s">
        <v>13</v>
      </c>
      <c r="B11" t="s">
        <v>12</v>
      </c>
      <c r="C11">
        <v>6170.1915559899717</v>
      </c>
      <c r="D11">
        <v>2764.2647435481158</v>
      </c>
      <c r="E11">
        <v>3984.0479457009428</v>
      </c>
      <c r="F11">
        <v>4194.9900090636529</v>
      </c>
      <c r="G11">
        <v>2072825</v>
      </c>
      <c r="I11">
        <f t="shared" si="0"/>
        <v>-210.94206336271009</v>
      </c>
      <c r="J11">
        <f t="shared" si="1"/>
        <v>-437245982.48980951</v>
      </c>
      <c r="L11">
        <f t="shared" si="2"/>
        <v>-1430.7252655155371</v>
      </c>
      <c r="M11">
        <f t="shared" si="3"/>
        <v>-2965643098.4922433</v>
      </c>
    </row>
    <row r="12" spans="1:13" x14ac:dyDescent="0.2">
      <c r="A12" t="s">
        <v>14</v>
      </c>
      <c r="B12" t="s">
        <v>8</v>
      </c>
      <c r="C12">
        <v>7003.8254198479563</v>
      </c>
      <c r="D12">
        <v>3209.4044989346289</v>
      </c>
      <c r="E12">
        <v>4242.5698891903976</v>
      </c>
      <c r="F12">
        <v>4657.9977962223766</v>
      </c>
      <c r="G12">
        <v>1340025</v>
      </c>
      <c r="I12">
        <f t="shared" si="0"/>
        <v>-415.42790703197898</v>
      </c>
      <c r="J12">
        <f t="shared" si="1"/>
        <v>-556683781.12052763</v>
      </c>
      <c r="L12">
        <f t="shared" si="2"/>
        <v>-1448.5932972877476</v>
      </c>
      <c r="M12">
        <f t="shared" si="3"/>
        <v>-1941151233.198014</v>
      </c>
    </row>
    <row r="13" spans="1:13" x14ac:dyDescent="0.2">
      <c r="A13" t="s">
        <v>14</v>
      </c>
      <c r="B13" t="s">
        <v>9</v>
      </c>
      <c r="C13">
        <v>7155.9653752127952</v>
      </c>
      <c r="D13">
        <v>3784.6514922197211</v>
      </c>
      <c r="E13">
        <v>4590.0981027628877</v>
      </c>
      <c r="F13">
        <v>4987.286686802976</v>
      </c>
      <c r="G13">
        <v>921115</v>
      </c>
      <c r="I13">
        <f t="shared" si="0"/>
        <v>-397.18858404008824</v>
      </c>
      <c r="J13">
        <f t="shared" si="1"/>
        <v>-365856362.58808589</v>
      </c>
      <c r="L13">
        <f t="shared" si="2"/>
        <v>-1202.6351945832548</v>
      </c>
      <c r="M13">
        <f t="shared" si="3"/>
        <v>-1107765317.2585547</v>
      </c>
    </row>
    <row r="14" spans="1:13" x14ac:dyDescent="0.2">
      <c r="A14" t="s">
        <v>14</v>
      </c>
      <c r="B14" t="s">
        <v>10</v>
      </c>
      <c r="C14">
        <v>7683.0521428663369</v>
      </c>
      <c r="D14">
        <v>4503.9532343711526</v>
      </c>
      <c r="E14">
        <v>5175.6851959992964</v>
      </c>
      <c r="F14">
        <v>5628.9506416290224</v>
      </c>
      <c r="G14">
        <v>364975</v>
      </c>
      <c r="I14">
        <f t="shared" si="0"/>
        <v>-453.26544562972595</v>
      </c>
      <c r="J14">
        <f t="shared" si="1"/>
        <v>-165430556.01870921</v>
      </c>
      <c r="L14">
        <f t="shared" si="2"/>
        <v>-1124.9974072578698</v>
      </c>
      <c r="M14">
        <f t="shared" si="3"/>
        <v>-410595928.71394104</v>
      </c>
    </row>
    <row r="15" spans="1:13" x14ac:dyDescent="0.2">
      <c r="A15" t="s">
        <v>14</v>
      </c>
      <c r="B15" t="s">
        <v>11</v>
      </c>
      <c r="C15">
        <v>6811.5142272469284</v>
      </c>
      <c r="D15">
        <v>2644.48327988148</v>
      </c>
      <c r="E15">
        <v>4053.2365528084752</v>
      </c>
      <c r="F15">
        <v>4329.6294301580692</v>
      </c>
      <c r="G15">
        <v>1912610</v>
      </c>
      <c r="I15">
        <f t="shared" si="0"/>
        <v>-276.39287734959407</v>
      </c>
      <c r="J15">
        <f t="shared" si="1"/>
        <v>-528631781.14760715</v>
      </c>
      <c r="L15">
        <f t="shared" si="2"/>
        <v>-1685.1461502765892</v>
      </c>
      <c r="M15">
        <f t="shared" si="3"/>
        <v>-3223027378.4805074</v>
      </c>
    </row>
    <row r="16" spans="1:13" x14ac:dyDescent="0.2">
      <c r="A16" t="s">
        <v>14</v>
      </c>
      <c r="B16" t="s">
        <v>12</v>
      </c>
      <c r="C16">
        <v>5787.9806601371774</v>
      </c>
      <c r="D16">
        <v>2721.527339351564</v>
      </c>
      <c r="E16">
        <v>3620.9249952028081</v>
      </c>
      <c r="F16">
        <v>3878.5622135035651</v>
      </c>
      <c r="G16">
        <v>954590</v>
      </c>
      <c r="I16">
        <f t="shared" si="0"/>
        <v>-257.63721830075701</v>
      </c>
      <c r="J16">
        <f t="shared" si="1"/>
        <v>-245937912.21771964</v>
      </c>
      <c r="L16">
        <f t="shared" si="2"/>
        <v>-1157.0348741520011</v>
      </c>
      <c r="M16">
        <f t="shared" si="3"/>
        <v>-1104493920.5167587</v>
      </c>
    </row>
    <row r="17" spans="1:13" x14ac:dyDescent="0.2">
      <c r="A17" t="s">
        <v>15</v>
      </c>
      <c r="B17" t="s">
        <v>8</v>
      </c>
      <c r="C17">
        <v>7320.5136071196357</v>
      </c>
      <c r="D17">
        <v>3759.733184154969</v>
      </c>
      <c r="E17">
        <v>4753.4749958752254</v>
      </c>
      <c r="F17">
        <v>5121.1513737372061</v>
      </c>
      <c r="G17">
        <v>940440</v>
      </c>
      <c r="I17">
        <f t="shared" si="0"/>
        <v>-367.67637786198065</v>
      </c>
      <c r="J17">
        <f t="shared" si="1"/>
        <v>-345777572.79652107</v>
      </c>
      <c r="L17">
        <f t="shared" si="2"/>
        <v>-1361.4181895822371</v>
      </c>
      <c r="M17">
        <f t="shared" si="3"/>
        <v>-1280332122.2107191</v>
      </c>
    </row>
    <row r="18" spans="1:13" x14ac:dyDescent="0.2">
      <c r="A18" t="s">
        <v>15</v>
      </c>
      <c r="B18" t="s">
        <v>9</v>
      </c>
      <c r="C18">
        <v>7415.7536764632696</v>
      </c>
      <c r="D18">
        <v>4362.931397925905</v>
      </c>
      <c r="E18">
        <v>5028.7051157250226</v>
      </c>
      <c r="F18">
        <v>5403.2890046243829</v>
      </c>
      <c r="G18">
        <v>945900</v>
      </c>
      <c r="I18">
        <f t="shared" si="0"/>
        <v>-374.58388889936032</v>
      </c>
      <c r="J18">
        <f t="shared" si="1"/>
        <v>-354318900.50990492</v>
      </c>
      <c r="L18">
        <f t="shared" si="2"/>
        <v>-1040.3576066984779</v>
      </c>
      <c r="M18">
        <f t="shared" si="3"/>
        <v>-984074260.17609024</v>
      </c>
    </row>
    <row r="19" spans="1:13" x14ac:dyDescent="0.2">
      <c r="A19" t="s">
        <v>15</v>
      </c>
      <c r="B19" t="s">
        <v>10</v>
      </c>
      <c r="C19">
        <v>7996.9446810022009</v>
      </c>
      <c r="D19">
        <v>5029.8983367729861</v>
      </c>
      <c r="E19">
        <v>5576.6788975270192</v>
      </c>
      <c r="F19">
        <v>6036.3265479421843</v>
      </c>
      <c r="G19">
        <v>760220</v>
      </c>
      <c r="I19">
        <f t="shared" si="0"/>
        <v>-459.64765041516512</v>
      </c>
      <c r="J19">
        <f t="shared" si="1"/>
        <v>-349433336.79861683</v>
      </c>
      <c r="L19">
        <f t="shared" si="2"/>
        <v>-1006.4282111691982</v>
      </c>
      <c r="M19">
        <f t="shared" si="3"/>
        <v>-765106854.69504786</v>
      </c>
    </row>
    <row r="20" spans="1:13" x14ac:dyDescent="0.2">
      <c r="A20" t="s">
        <v>15</v>
      </c>
      <c r="B20" t="s">
        <v>11</v>
      </c>
      <c r="C20">
        <v>7160.8199691845166</v>
      </c>
      <c r="D20">
        <v>3205.9708188406212</v>
      </c>
      <c r="E20">
        <v>4542.6326716353278</v>
      </c>
      <c r="F20">
        <v>4804.3770711767002</v>
      </c>
      <c r="G20">
        <v>1001340</v>
      </c>
      <c r="I20">
        <f t="shared" si="0"/>
        <v>-261.74439954137233</v>
      </c>
      <c r="J20">
        <f t="shared" si="1"/>
        <v>-262095137.03675777</v>
      </c>
      <c r="L20">
        <f t="shared" si="2"/>
        <v>-1598.406252336079</v>
      </c>
      <c r="M20">
        <f t="shared" si="3"/>
        <v>-1600548116.7142093</v>
      </c>
    </row>
    <row r="21" spans="1:13" x14ac:dyDescent="0.2">
      <c r="A21" t="s">
        <v>15</v>
      </c>
      <c r="B21" t="s">
        <v>12</v>
      </c>
      <c r="C21">
        <v>6303.4758070227599</v>
      </c>
      <c r="D21">
        <v>3125.6417223418639</v>
      </c>
      <c r="E21">
        <v>4033.4224012855511</v>
      </c>
      <c r="F21">
        <v>4318.1271190304351</v>
      </c>
      <c r="G21">
        <v>363305</v>
      </c>
      <c r="I21">
        <f t="shared" si="0"/>
        <v>-284.70471774488396</v>
      </c>
      <c r="J21">
        <f t="shared" si="1"/>
        <v>-103434647.48030508</v>
      </c>
      <c r="L21">
        <f t="shared" si="2"/>
        <v>-1192.4853966885712</v>
      </c>
      <c r="M21">
        <f t="shared" si="3"/>
        <v>-433235907.04394138</v>
      </c>
    </row>
    <row r="23" spans="1:13" x14ac:dyDescent="0.2">
      <c r="J23">
        <f>SUM(J2:J21)</f>
        <v>-4852719900.517561</v>
      </c>
      <c r="K23">
        <f t="shared" ref="K23:M23" si="4">SUM(K2:K21)</f>
        <v>0</v>
      </c>
      <c r="L23">
        <f t="shared" si="4"/>
        <v>-24946.241022764814</v>
      </c>
      <c r="M23">
        <f t="shared" si="4"/>
        <v>-21407045857.674484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Kopp</cp:lastModifiedBy>
  <dcterms:created xsi:type="dcterms:W3CDTF">2025-02-07T16:45:34Z</dcterms:created>
  <dcterms:modified xsi:type="dcterms:W3CDTF">2025-02-07T17:43:18Z</dcterms:modified>
</cp:coreProperties>
</file>