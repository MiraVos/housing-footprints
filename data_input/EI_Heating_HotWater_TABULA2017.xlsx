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/Desktop/IE/REAL UTOPIAN HOUSING/Post-GrowthHousingScenarios/Code/data_input/"/>
    </mc:Choice>
  </mc:AlternateContent>
  <xr:revisionPtr revIDLastSave="0" documentId="13_ncr:1_{373DE9BA-EEA3-2442-AA9C-A7C13F53CE14}" xr6:coauthVersionLast="47" xr6:coauthVersionMax="47" xr10:uidLastSave="{00000000-0000-0000-0000-000000000000}"/>
  <bookViews>
    <workbookView xWindow="0" yWindow="500" windowWidth="25600" windowHeight="15500" activeTab="2" xr2:uid="{81972E55-5660-BB4E-9097-72678AE0B964}"/>
  </bookViews>
  <sheets>
    <sheet name="meta" sheetId="2" r:id="rId1"/>
    <sheet name="Energieverbruik_woningen__wonin" sheetId="3" r:id="rId2"/>
    <sheet name="Sheet1" sheetId="4" r:id="rId3"/>
    <sheet name="0_EnergyDemandIntensity" sheetId="1" r:id="rId4"/>
  </sheets>
  <definedNames>
    <definedName name="ExternalData_1" localSheetId="1" hidden="1">Energieverbruik_woningen__wonin!$A$1:$E$58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9" i="1"/>
  <c r="E7" i="1"/>
  <c r="E5" i="1"/>
  <c r="E3" i="1"/>
  <c r="E57" i="1"/>
  <c r="E56" i="1"/>
  <c r="E55" i="1"/>
  <c r="E54" i="1"/>
  <c r="E52" i="1"/>
  <c r="E50" i="1"/>
  <c r="E48" i="1"/>
  <c r="E46" i="1"/>
  <c r="E29" i="1"/>
  <c r="E28" i="1"/>
  <c r="E27" i="1"/>
  <c r="E26" i="1"/>
  <c r="E24" i="1"/>
  <c r="E22" i="1"/>
  <c r="E20" i="1"/>
  <c r="E18" i="1"/>
  <c r="E16" i="1"/>
  <c r="B73" i="1"/>
  <c r="D73" i="1" s="1"/>
  <c r="B72" i="1"/>
  <c r="D72" i="1" s="1"/>
  <c r="B71" i="1"/>
  <c r="D71" i="1" s="1"/>
  <c r="B70" i="1"/>
  <c r="D70" i="1" s="1"/>
  <c r="D69" i="1"/>
  <c r="B68" i="1"/>
  <c r="D68" i="1" s="1"/>
  <c r="D67" i="1"/>
  <c r="B66" i="1"/>
  <c r="D66" i="1" s="1"/>
  <c r="D65" i="1"/>
  <c r="B64" i="1"/>
  <c r="D64" i="1" s="1"/>
  <c r="D63" i="1"/>
  <c r="B62" i="1"/>
  <c r="D62" i="1" s="1"/>
  <c r="D61" i="1"/>
  <c r="B60" i="1"/>
  <c r="D60" i="1" s="1"/>
  <c r="B59" i="1"/>
  <c r="D59" i="1" s="1"/>
  <c r="B58" i="1"/>
  <c r="D58" i="1" s="1"/>
  <c r="B57" i="1"/>
  <c r="D57" i="1" s="1"/>
  <c r="B56" i="1"/>
  <c r="D56" i="1" s="1"/>
  <c r="B55" i="1"/>
  <c r="D55" i="1" s="1"/>
  <c r="B54" i="1"/>
  <c r="D54" i="1" s="1"/>
  <c r="D53" i="1"/>
  <c r="B52" i="1"/>
  <c r="D52" i="1" s="1"/>
  <c r="D51" i="1"/>
  <c r="B50" i="1"/>
  <c r="D50" i="1" s="1"/>
  <c r="D49" i="1"/>
  <c r="D48" i="1"/>
  <c r="B48" i="1"/>
  <c r="D47" i="1"/>
  <c r="B46" i="1"/>
  <c r="D46" i="1" s="1"/>
  <c r="D45" i="1"/>
  <c r="B44" i="1"/>
  <c r="D44" i="1" s="1"/>
  <c r="B43" i="1"/>
  <c r="D43" i="1" s="1"/>
  <c r="B42" i="1"/>
  <c r="D42" i="1" s="1"/>
  <c r="B41" i="1"/>
  <c r="D41" i="1" s="1"/>
  <c r="D40" i="1"/>
  <c r="B39" i="1"/>
  <c r="D39" i="1" s="1"/>
  <c r="D38" i="1"/>
  <c r="B37" i="1"/>
  <c r="D37" i="1" s="1"/>
  <c r="D36" i="1"/>
  <c r="B35" i="1"/>
  <c r="D35" i="1" s="1"/>
  <c r="D34" i="1"/>
  <c r="B33" i="1"/>
  <c r="D33" i="1" s="1"/>
  <c r="D32" i="1"/>
  <c r="B31" i="1"/>
  <c r="D31" i="1" s="1"/>
  <c r="D30" i="1"/>
  <c r="B29" i="1"/>
  <c r="D29" i="1" s="1"/>
  <c r="B28" i="1"/>
  <c r="D28" i="1" s="1"/>
  <c r="B27" i="1"/>
  <c r="D27" i="1" s="1"/>
  <c r="B26" i="1"/>
  <c r="D26" i="1" s="1"/>
  <c r="D25" i="1"/>
  <c r="B24" i="1"/>
  <c r="D24" i="1" s="1"/>
  <c r="D23" i="1"/>
  <c r="B22" i="1"/>
  <c r="D22" i="1" s="1"/>
  <c r="D21" i="1"/>
  <c r="B20" i="1"/>
  <c r="D20" i="1" s="1"/>
  <c r="D19" i="1"/>
  <c r="B18" i="1"/>
  <c r="D18" i="1" s="1"/>
  <c r="D17" i="1"/>
  <c r="B16" i="1"/>
  <c r="D16" i="1" s="1"/>
  <c r="D15" i="1"/>
  <c r="D14" i="1"/>
  <c r="B14" i="1"/>
  <c r="B13" i="1"/>
  <c r="D13" i="1" s="1"/>
  <c r="B12" i="1"/>
  <c r="D12" i="1" s="1"/>
  <c r="B11" i="1"/>
  <c r="D11" i="1" s="1"/>
  <c r="D10" i="1"/>
  <c r="B9" i="1"/>
  <c r="D9" i="1" s="1"/>
  <c r="D8" i="1"/>
  <c r="B7" i="1"/>
  <c r="D7" i="1" s="1"/>
  <c r="D6" i="1"/>
  <c r="B5" i="1"/>
  <c r="D5" i="1" s="1"/>
  <c r="D4" i="1"/>
  <c r="B3" i="1"/>
  <c r="D3" i="1" s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20F748-BB52-8D41-9CC3-AB98B3668DD7}" keepAlive="1" name="Query - Energieverbruik_woningen__woningtype__oppervlakte__bouwjaar_en_bewoning_07082024" description="Connection to the 'Energieverbruik_woningen__woningtype__oppervlakte__bouwjaar_en_bewoning_07082024' query in the workbook." type="5" refreshedVersion="8" background="1" saveData="1">
    <dbPr connection="Provider=Microsoft.Mashup.OleDb.1;Data Source=$Workbook$;Location=Energieverbruik_woningen__woningtype__oppervlakte__bouwjaar_en_bewoning_07082024;Extended Properties=&quot;&quot;" command="SELECT * FROM [Energieverbruik_woningen__woningtype__oppervlakte__bouwjaar_en_bewoning_07082024]"/>
  </connection>
</connections>
</file>

<file path=xl/sharedStrings.xml><?xml version="1.0" encoding="utf-8"?>
<sst xmlns="http://schemas.openxmlformats.org/spreadsheetml/2006/main" count="436" uniqueCount="214">
  <si>
    <t>Title:</t>
  </si>
  <si>
    <t>Source:</t>
  </si>
  <si>
    <t>Temporal Scope:</t>
  </si>
  <si>
    <t>cf. labels</t>
  </si>
  <si>
    <t>Geographical Scope:</t>
  </si>
  <si>
    <t>NL</t>
  </si>
  <si>
    <t>Unit:</t>
  </si>
  <si>
    <t>Building Archetype</t>
  </si>
  <si>
    <t>Heating</t>
  </si>
  <si>
    <t>Hot Water</t>
  </si>
  <si>
    <t>Default Heating &amp; Hot Water</t>
  </si>
  <si>
    <t>SFH_old</t>
  </si>
  <si>
    <t>SFH_old_NZEB</t>
  </si>
  <si>
    <t>SFH_1965</t>
  </si>
  <si>
    <t>SFH_1965_NZEB</t>
  </si>
  <si>
    <t>SFH_1975</t>
  </si>
  <si>
    <t>SFH_1975_NZEB</t>
  </si>
  <si>
    <t>SFH_1992</t>
  </si>
  <si>
    <t>SFH_1992_NZEB</t>
  </si>
  <si>
    <t>SFH_2006</t>
  </si>
  <si>
    <t>SFH_2006_NZEB</t>
  </si>
  <si>
    <t>SFH_2015</t>
  </si>
  <si>
    <t>SFH_2015_NZEB</t>
  </si>
  <si>
    <t>SFH_new_NZEB</t>
  </si>
  <si>
    <t>Mid_TH_old</t>
  </si>
  <si>
    <t>Mid_TH_old_NZEB</t>
  </si>
  <si>
    <t>Mid_TH_1945</t>
  </si>
  <si>
    <t>Mid_TH_1945_NZEB</t>
  </si>
  <si>
    <t>Mid_TH_1965</t>
  </si>
  <si>
    <t>Mid_TH_1965_NZEB</t>
  </si>
  <si>
    <t>Mid_TH_1975</t>
  </si>
  <si>
    <t>Mid_TH_1975_NZEB</t>
  </si>
  <si>
    <t>Mid_TH_1992</t>
  </si>
  <si>
    <t>Mid_TH_1992_NZEB</t>
  </si>
  <si>
    <t>Mid_TH_2006</t>
  </si>
  <si>
    <t>Mid_TH_2006_NZEB</t>
  </si>
  <si>
    <t>Mid_TH_2015</t>
  </si>
  <si>
    <t>Mid_TH_2015_NZEB</t>
  </si>
  <si>
    <t>Mid_TH_new_NZEB</t>
  </si>
  <si>
    <t>End_TH_old</t>
  </si>
  <si>
    <t>End_TH_old_NZEB</t>
  </si>
  <si>
    <t>End_TH_1945</t>
  </si>
  <si>
    <t>End_TH_1945_NZEB</t>
  </si>
  <si>
    <t>End_TH_1965</t>
  </si>
  <si>
    <t>End_TH_1965_NZEB</t>
  </si>
  <si>
    <t>End_TH_1975</t>
  </si>
  <si>
    <t>End_TH_1975_NZEB</t>
  </si>
  <si>
    <t>End_TH_1992</t>
  </si>
  <si>
    <t>End_TH_1992_NZEB</t>
  </si>
  <si>
    <t>End_TH_2006</t>
  </si>
  <si>
    <t>End_TH_2006_NZEB</t>
  </si>
  <si>
    <t>End_TH_2015</t>
  </si>
  <si>
    <t>End_TH_2015_NZEB</t>
  </si>
  <si>
    <t>End_TH_new_NZEB</t>
  </si>
  <si>
    <t>AB_old</t>
  </si>
  <si>
    <t>AB_old_NZEB</t>
  </si>
  <si>
    <t>AB_1965</t>
  </si>
  <si>
    <t>AB_1965_NZEB</t>
  </si>
  <si>
    <t>AB_1975</t>
  </si>
  <si>
    <t>AB_1975_NZEB</t>
  </si>
  <si>
    <t>AB_1992</t>
  </si>
  <si>
    <t>AB_1992_NZEB</t>
  </si>
  <si>
    <t>AB_2006</t>
  </si>
  <si>
    <t>AB_2006_NZEB</t>
  </si>
  <si>
    <t>AB_2015</t>
  </si>
  <si>
    <t>AB_2015_NZEB</t>
  </si>
  <si>
    <t>AB_2015_wood</t>
  </si>
  <si>
    <t>AB_2015_wood_NZEB</t>
  </si>
  <si>
    <t>AB_new_NZEB</t>
  </si>
  <si>
    <t>AB_new_NZEB_wood</t>
  </si>
  <si>
    <t>MFH_old</t>
  </si>
  <si>
    <t>MFH_old_NZEB</t>
  </si>
  <si>
    <t>MFH_1965</t>
  </si>
  <si>
    <t>MFH_1965_NZEB</t>
  </si>
  <si>
    <t>MFH_1975</t>
  </si>
  <si>
    <t>MFH_1975_NZEB</t>
  </si>
  <si>
    <t>MFH_1992</t>
  </si>
  <si>
    <t>MFH_1992_NZEB</t>
  </si>
  <si>
    <t>MFH_2006</t>
  </si>
  <si>
    <t>MFH_2006_NZEB</t>
  </si>
  <si>
    <t>MFH_2015</t>
  </si>
  <si>
    <t>MFH_2015_NZEB</t>
  </si>
  <si>
    <t>MFH_new_NZEB</t>
  </si>
  <si>
    <t>kWh/(m2*yr) final energy demand (including appliance losses)</t>
  </si>
  <si>
    <t>TABULA for the Heating Energy Intensity under BAU and Net Zero Energy Building Standard and for Hot Water Demand</t>
  </si>
  <si>
    <t>Energy Intensity for Heating and Hot Water</t>
  </si>
  <si>
    <t>Column1</t>
  </si>
  <si>
    <t>Column2</t>
  </si>
  <si>
    <t>Column3</t>
  </si>
  <si>
    <t>Column4</t>
  </si>
  <si>
    <t>Column5</t>
  </si>
  <si>
    <t>Energieverbruik woningen; woningtype, oppervlakte, bouwjaar en bewoning</t>
  </si>
  <si>
    <t/>
  </si>
  <si>
    <t>Gebruiksoppervlakte: Totaal</t>
  </si>
  <si>
    <t>Hoofdverwarming en zonnestroom: Totaal</t>
  </si>
  <si>
    <t>Perioden: 2019</t>
  </si>
  <si>
    <t>Bewonersklasse: Totaal</t>
  </si>
  <si>
    <t>Onderwerp</t>
  </si>
  <si>
    <t>Aandeel woningen met stadsverwarming</t>
  </si>
  <si>
    <t>Aardgas (temp gec) per woonoppervlakte|Gemiddelde aardgas (temp gec) per opp</t>
  </si>
  <si>
    <t>Elektriciteitslevering per bewoner|Gem. elektriciteitslevering per bewoner</t>
  </si>
  <si>
    <t>Woningtype</t>
  </si>
  <si>
    <t>Bouwjaar</t>
  </si>
  <si>
    <t>%</t>
  </si>
  <si>
    <t>m3/m2</t>
  </si>
  <si>
    <t>gemiddeld kWh</t>
  </si>
  <si>
    <t>Vrijstaande woning</t>
  </si>
  <si>
    <t>Totaal</t>
  </si>
  <si>
    <t>0,9</t>
  </si>
  <si>
    <t>12,1</t>
  </si>
  <si>
    <t>1790</t>
  </si>
  <si>
    <t>1000 tot 1946</t>
  </si>
  <si>
    <t>0,0</t>
  </si>
  <si>
    <t>13,4</t>
  </si>
  <si>
    <t>1760</t>
  </si>
  <si>
    <t>1946 tot 1965</t>
  </si>
  <si>
    <t>14,3</t>
  </si>
  <si>
    <t>1780</t>
  </si>
  <si>
    <t>1965 tot 1975</t>
  </si>
  <si>
    <t>13,5</t>
  </si>
  <si>
    <t>1850</t>
  </si>
  <si>
    <t>1975 tot 1992</t>
  </si>
  <si>
    <t>0,6</t>
  </si>
  <si>
    <t>11,9</t>
  </si>
  <si>
    <t>1830</t>
  </si>
  <si>
    <t>1992 tot 2006</t>
  </si>
  <si>
    <t>2,5</t>
  </si>
  <si>
    <t>9,8</t>
  </si>
  <si>
    <t>2006 tot 2015</t>
  </si>
  <si>
    <t>4,3</t>
  </si>
  <si>
    <t>8,4</t>
  </si>
  <si>
    <t>2015 tot heden</t>
  </si>
  <si>
    <t>3,5</t>
  </si>
  <si>
    <t>6,5</t>
  </si>
  <si>
    <t>1600</t>
  </si>
  <si>
    <t>2-onder-1-kapwoning</t>
  </si>
  <si>
    <t>1,5</t>
  </si>
  <si>
    <t>12,3</t>
  </si>
  <si>
    <t>1480</t>
  </si>
  <si>
    <t>14,1</t>
  </si>
  <si>
    <t>1560</t>
  </si>
  <si>
    <t>1490</t>
  </si>
  <si>
    <t>13,2</t>
  </si>
  <si>
    <t>1500</t>
  </si>
  <si>
    <t>1,1</t>
  </si>
  <si>
    <t>11,7</t>
  </si>
  <si>
    <t>5,0</t>
  </si>
  <si>
    <t>9,3</t>
  </si>
  <si>
    <t>1430</t>
  </si>
  <si>
    <t>7,7</t>
  </si>
  <si>
    <t>1340</t>
  </si>
  <si>
    <t>6,4</t>
  </si>
  <si>
    <t>6,6</t>
  </si>
  <si>
    <t>1160</t>
  </si>
  <si>
    <t>Hoekwoning</t>
  </si>
  <si>
    <t>4,1</t>
  </si>
  <si>
    <t>11,8</t>
  </si>
  <si>
    <t>1380</t>
  </si>
  <si>
    <t>0,1</t>
  </si>
  <si>
    <t>14,7</t>
  </si>
  <si>
    <t>1440</t>
  </si>
  <si>
    <t>14,6</t>
  </si>
  <si>
    <t>1360</t>
  </si>
  <si>
    <t>0,4</t>
  </si>
  <si>
    <t>13,0</t>
  </si>
  <si>
    <t>11,2</t>
  </si>
  <si>
    <t>1400</t>
  </si>
  <si>
    <t>8,6</t>
  </si>
  <si>
    <t>1390</t>
  </si>
  <si>
    <t>12,6</t>
  </si>
  <si>
    <t>7,1</t>
  </si>
  <si>
    <t>1310</t>
  </si>
  <si>
    <t>6,1</t>
  </si>
  <si>
    <t>1140</t>
  </si>
  <si>
    <t>Tussenwoning</t>
  </si>
  <si>
    <t>6,0</t>
  </si>
  <si>
    <t>10,2</t>
  </si>
  <si>
    <t>0,2</t>
  </si>
  <si>
    <t>1330</t>
  </si>
  <si>
    <t>12,9</t>
  </si>
  <si>
    <t>1280</t>
  </si>
  <si>
    <t>0,8</t>
  </si>
  <si>
    <t>11,3</t>
  </si>
  <si>
    <t>1300</t>
  </si>
  <si>
    <t>6,7</t>
  </si>
  <si>
    <t>9,7</t>
  </si>
  <si>
    <t>1350</t>
  </si>
  <si>
    <t>15,4</t>
  </si>
  <si>
    <t>7,4</t>
  </si>
  <si>
    <t>1320</t>
  </si>
  <si>
    <t>17,5</t>
  </si>
  <si>
    <t>1250</t>
  </si>
  <si>
    <t>15,6</t>
  </si>
  <si>
    <t>5,4</t>
  </si>
  <si>
    <t>1080</t>
  </si>
  <si>
    <t>Appartement</t>
  </si>
  <si>
    <t>9,4</t>
  </si>
  <si>
    <t>11,4</t>
  </si>
  <si>
    <t>15,0</t>
  </si>
  <si>
    <t>1260</t>
  </si>
  <si>
    <t>13,7</t>
  </si>
  <si>
    <t>11,6</t>
  </si>
  <si>
    <t>1420</t>
  </si>
  <si>
    <t>1370</t>
  </si>
  <si>
    <t>12,5</t>
  </si>
  <si>
    <t>8,5</t>
  </si>
  <si>
    <t>1460</t>
  </si>
  <si>
    <t>20,1</t>
  </si>
  <si>
    <t>27,3</t>
  </si>
  <si>
    <t>6,2</t>
  </si>
  <si>
    <t>1240</t>
  </si>
  <si>
    <t>Onbekend</t>
  </si>
  <si>
    <t>.</t>
  </si>
  <si>
    <t>Bron: 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</si>
</sst>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2" fontId="0" fillId="0" borderId="0" xfId="1" applyNumberFormat="1" applyFon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m3/m2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Sheet1!$A$4:$B$43</c:f>
              <c:multiLvlStrCache>
                <c:ptCount val="40"/>
                <c:lvl>
                  <c:pt idx="0">
                    <c:v>Totaal</c:v>
                  </c:pt>
                  <c:pt idx="1">
                    <c:v>1000 tot 1946</c:v>
                  </c:pt>
                  <c:pt idx="2">
                    <c:v>1946 tot 1965</c:v>
                  </c:pt>
                  <c:pt idx="3">
                    <c:v>1965 tot 1975</c:v>
                  </c:pt>
                  <c:pt idx="4">
                    <c:v>1975 tot 1992</c:v>
                  </c:pt>
                  <c:pt idx="5">
                    <c:v>1992 tot 2006</c:v>
                  </c:pt>
                  <c:pt idx="6">
                    <c:v>2006 tot 2015</c:v>
                  </c:pt>
                  <c:pt idx="7">
                    <c:v>2015 tot heden</c:v>
                  </c:pt>
                  <c:pt idx="8">
                    <c:v>Totaal</c:v>
                  </c:pt>
                  <c:pt idx="9">
                    <c:v>1000 tot 1946</c:v>
                  </c:pt>
                  <c:pt idx="10">
                    <c:v>1946 tot 1965</c:v>
                  </c:pt>
                  <c:pt idx="11">
                    <c:v>1965 tot 1975</c:v>
                  </c:pt>
                  <c:pt idx="12">
                    <c:v>1975 tot 1992</c:v>
                  </c:pt>
                  <c:pt idx="13">
                    <c:v>1992 tot 2006</c:v>
                  </c:pt>
                  <c:pt idx="14">
                    <c:v>2006 tot 2015</c:v>
                  </c:pt>
                  <c:pt idx="15">
                    <c:v>2015 tot heden</c:v>
                  </c:pt>
                  <c:pt idx="16">
                    <c:v>Totaal</c:v>
                  </c:pt>
                  <c:pt idx="17">
                    <c:v>1000 tot 1946</c:v>
                  </c:pt>
                  <c:pt idx="18">
                    <c:v>1946 tot 1965</c:v>
                  </c:pt>
                  <c:pt idx="19">
                    <c:v>1965 tot 1975</c:v>
                  </c:pt>
                  <c:pt idx="20">
                    <c:v>1975 tot 1992</c:v>
                  </c:pt>
                  <c:pt idx="21">
                    <c:v>1992 tot 2006</c:v>
                  </c:pt>
                  <c:pt idx="22">
                    <c:v>2006 tot 2015</c:v>
                  </c:pt>
                  <c:pt idx="23">
                    <c:v>2015 tot heden</c:v>
                  </c:pt>
                  <c:pt idx="24">
                    <c:v>Totaal</c:v>
                  </c:pt>
                  <c:pt idx="25">
                    <c:v>1000 tot 1946</c:v>
                  </c:pt>
                  <c:pt idx="26">
                    <c:v>1946 tot 1965</c:v>
                  </c:pt>
                  <c:pt idx="27">
                    <c:v>1965 tot 1975</c:v>
                  </c:pt>
                  <c:pt idx="28">
                    <c:v>1975 tot 1992</c:v>
                  </c:pt>
                  <c:pt idx="29">
                    <c:v>1992 tot 2006</c:v>
                  </c:pt>
                  <c:pt idx="30">
                    <c:v>2006 tot 2015</c:v>
                  </c:pt>
                  <c:pt idx="31">
                    <c:v>2015 tot heden</c:v>
                  </c:pt>
                  <c:pt idx="32">
                    <c:v>Totaal</c:v>
                  </c:pt>
                  <c:pt idx="33">
                    <c:v>1000 tot 1946</c:v>
                  </c:pt>
                  <c:pt idx="34">
                    <c:v>1946 tot 1965</c:v>
                  </c:pt>
                  <c:pt idx="35">
                    <c:v>1965 tot 1975</c:v>
                  </c:pt>
                  <c:pt idx="36">
                    <c:v>1975 tot 1992</c:v>
                  </c:pt>
                  <c:pt idx="37">
                    <c:v>1992 tot 2006</c:v>
                  </c:pt>
                  <c:pt idx="38">
                    <c:v>2006 tot 2015</c:v>
                  </c:pt>
                  <c:pt idx="39">
                    <c:v>2015 tot heden</c:v>
                  </c:pt>
                </c:lvl>
                <c:lvl>
                  <c:pt idx="0">
                    <c:v>Vrijstaande woning</c:v>
                  </c:pt>
                  <c:pt idx="8">
                    <c:v>2-onder-1-kapwoning</c:v>
                  </c:pt>
                  <c:pt idx="16">
                    <c:v>Hoekwoning</c:v>
                  </c:pt>
                  <c:pt idx="24">
                    <c:v>Tussenwoning</c:v>
                  </c:pt>
                  <c:pt idx="32">
                    <c:v>Appartement</c:v>
                  </c:pt>
                </c:lvl>
              </c:multiLvlStrCache>
            </c:multiLvlStrRef>
          </c:cat>
          <c:val>
            <c:numRef>
              <c:f>Sheet1!$D$4:$D$43</c:f>
              <c:numCache>
                <c:formatCode>0.00</c:formatCode>
                <c:ptCount val="40"/>
                <c:pt idx="0">
                  <c:v>12.1</c:v>
                </c:pt>
                <c:pt idx="1">
                  <c:v>13.4</c:v>
                </c:pt>
                <c:pt idx="2">
                  <c:v>14.3</c:v>
                </c:pt>
                <c:pt idx="3">
                  <c:v>13.5</c:v>
                </c:pt>
                <c:pt idx="4">
                  <c:v>11.9</c:v>
                </c:pt>
                <c:pt idx="5">
                  <c:v>9.8000000000000007</c:v>
                </c:pt>
                <c:pt idx="6">
                  <c:v>8.4</c:v>
                </c:pt>
                <c:pt idx="7">
                  <c:v>6.5</c:v>
                </c:pt>
                <c:pt idx="8">
                  <c:v>12.3</c:v>
                </c:pt>
                <c:pt idx="9">
                  <c:v>14.1</c:v>
                </c:pt>
                <c:pt idx="10">
                  <c:v>14.1</c:v>
                </c:pt>
                <c:pt idx="11">
                  <c:v>13.2</c:v>
                </c:pt>
                <c:pt idx="12">
                  <c:v>11.7</c:v>
                </c:pt>
                <c:pt idx="13">
                  <c:v>9.3000000000000007</c:v>
                </c:pt>
                <c:pt idx="14">
                  <c:v>7.7</c:v>
                </c:pt>
                <c:pt idx="15">
                  <c:v>6.6</c:v>
                </c:pt>
                <c:pt idx="16">
                  <c:v>11.8</c:v>
                </c:pt>
                <c:pt idx="17">
                  <c:v>14.7</c:v>
                </c:pt>
                <c:pt idx="18">
                  <c:v>14.6</c:v>
                </c:pt>
                <c:pt idx="19">
                  <c:v>13</c:v>
                </c:pt>
                <c:pt idx="20">
                  <c:v>11.2</c:v>
                </c:pt>
                <c:pt idx="21">
                  <c:v>8.6</c:v>
                </c:pt>
                <c:pt idx="22">
                  <c:v>7.1</c:v>
                </c:pt>
                <c:pt idx="23">
                  <c:v>6.1</c:v>
                </c:pt>
                <c:pt idx="24">
                  <c:v>10.199999999999999</c:v>
                </c:pt>
                <c:pt idx="25">
                  <c:v>13</c:v>
                </c:pt>
                <c:pt idx="26">
                  <c:v>12.9</c:v>
                </c:pt>
                <c:pt idx="27">
                  <c:v>11.3</c:v>
                </c:pt>
                <c:pt idx="28">
                  <c:v>9.6999999999999993</c:v>
                </c:pt>
                <c:pt idx="29">
                  <c:v>7.4</c:v>
                </c:pt>
                <c:pt idx="30">
                  <c:v>6</c:v>
                </c:pt>
                <c:pt idx="31">
                  <c:v>5.4</c:v>
                </c:pt>
                <c:pt idx="32">
                  <c:v>11.4</c:v>
                </c:pt>
                <c:pt idx="33">
                  <c:v>15</c:v>
                </c:pt>
                <c:pt idx="34">
                  <c:v>13.7</c:v>
                </c:pt>
                <c:pt idx="35">
                  <c:v>11.6</c:v>
                </c:pt>
                <c:pt idx="36">
                  <c:v>11.7</c:v>
                </c:pt>
                <c:pt idx="37">
                  <c:v>8.5</c:v>
                </c:pt>
                <c:pt idx="38">
                  <c:v>6.6</c:v>
                </c:pt>
                <c:pt idx="39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0-3F4F-850F-7AF370F80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7716863"/>
        <c:axId val="1241194207"/>
      </c:barChart>
      <c:catAx>
        <c:axId val="1277716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94207"/>
        <c:crosses val="autoZero"/>
        <c:auto val="1"/>
        <c:lblAlgn val="ctr"/>
        <c:lblOffset val="100"/>
        <c:noMultiLvlLbl val="0"/>
      </c:catAx>
      <c:valAx>
        <c:axId val="124119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1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'0_EnergyDemandIntensity'!$A$2:$A$73</c:f>
              <c:strCache>
                <c:ptCount val="72"/>
                <c:pt idx="0">
                  <c:v>SFH_old</c:v>
                </c:pt>
                <c:pt idx="1">
                  <c:v>SFH_old_NZEB</c:v>
                </c:pt>
                <c:pt idx="2">
                  <c:v>SFH_1965</c:v>
                </c:pt>
                <c:pt idx="3">
                  <c:v>SFH_1965_NZEB</c:v>
                </c:pt>
                <c:pt idx="4">
                  <c:v>SFH_1975</c:v>
                </c:pt>
                <c:pt idx="5">
                  <c:v>SFH_1975_NZEB</c:v>
                </c:pt>
                <c:pt idx="6">
                  <c:v>SFH_1992</c:v>
                </c:pt>
                <c:pt idx="7">
                  <c:v>SFH_1992_NZEB</c:v>
                </c:pt>
                <c:pt idx="8">
                  <c:v>SFH_2006</c:v>
                </c:pt>
                <c:pt idx="9">
                  <c:v>SFH_2006_NZEB</c:v>
                </c:pt>
                <c:pt idx="10">
                  <c:v>SFH_2015</c:v>
                </c:pt>
                <c:pt idx="11">
                  <c:v>SFH_2015_NZEB</c:v>
                </c:pt>
                <c:pt idx="12">
                  <c:v>SFH_new_NZEB</c:v>
                </c:pt>
                <c:pt idx="13">
                  <c:v>Mid_TH_old</c:v>
                </c:pt>
                <c:pt idx="14">
                  <c:v>Mid_TH_old_NZEB</c:v>
                </c:pt>
                <c:pt idx="15">
                  <c:v>Mid_TH_1945</c:v>
                </c:pt>
                <c:pt idx="16">
                  <c:v>Mid_TH_1945_NZEB</c:v>
                </c:pt>
                <c:pt idx="17">
                  <c:v>Mid_TH_1965</c:v>
                </c:pt>
                <c:pt idx="18">
                  <c:v>Mid_TH_1965_NZEB</c:v>
                </c:pt>
                <c:pt idx="19">
                  <c:v>Mid_TH_1975</c:v>
                </c:pt>
                <c:pt idx="20">
                  <c:v>Mid_TH_1975_NZEB</c:v>
                </c:pt>
                <c:pt idx="21">
                  <c:v>Mid_TH_1992</c:v>
                </c:pt>
                <c:pt idx="22">
                  <c:v>Mid_TH_1992_NZEB</c:v>
                </c:pt>
                <c:pt idx="23">
                  <c:v>Mid_TH_2006</c:v>
                </c:pt>
                <c:pt idx="24">
                  <c:v>Mid_TH_2006_NZEB</c:v>
                </c:pt>
                <c:pt idx="25">
                  <c:v>Mid_TH_2015</c:v>
                </c:pt>
                <c:pt idx="26">
                  <c:v>Mid_TH_2015_NZEB</c:v>
                </c:pt>
                <c:pt idx="27">
                  <c:v>Mid_TH_new_NZEB</c:v>
                </c:pt>
                <c:pt idx="28">
                  <c:v>End_TH_old</c:v>
                </c:pt>
                <c:pt idx="29">
                  <c:v>End_TH_old_NZEB</c:v>
                </c:pt>
                <c:pt idx="30">
                  <c:v>End_TH_1945</c:v>
                </c:pt>
                <c:pt idx="31">
                  <c:v>End_TH_1945_NZEB</c:v>
                </c:pt>
                <c:pt idx="32">
                  <c:v>End_TH_1965</c:v>
                </c:pt>
                <c:pt idx="33">
                  <c:v>End_TH_1965_NZEB</c:v>
                </c:pt>
                <c:pt idx="34">
                  <c:v>End_TH_1975</c:v>
                </c:pt>
                <c:pt idx="35">
                  <c:v>End_TH_1975_NZEB</c:v>
                </c:pt>
                <c:pt idx="36">
                  <c:v>End_TH_1992</c:v>
                </c:pt>
                <c:pt idx="37">
                  <c:v>End_TH_1992_NZEB</c:v>
                </c:pt>
                <c:pt idx="38">
                  <c:v>End_TH_2006</c:v>
                </c:pt>
                <c:pt idx="39">
                  <c:v>End_TH_2006_NZEB</c:v>
                </c:pt>
                <c:pt idx="40">
                  <c:v>End_TH_2015</c:v>
                </c:pt>
                <c:pt idx="41">
                  <c:v>End_TH_2015_NZEB</c:v>
                </c:pt>
                <c:pt idx="42">
                  <c:v>End_TH_new_NZEB</c:v>
                </c:pt>
                <c:pt idx="43">
                  <c:v>AB_old</c:v>
                </c:pt>
                <c:pt idx="44">
                  <c:v>AB_old_NZEB</c:v>
                </c:pt>
                <c:pt idx="45">
                  <c:v>AB_1965</c:v>
                </c:pt>
                <c:pt idx="46">
                  <c:v>AB_1965_NZEB</c:v>
                </c:pt>
                <c:pt idx="47">
                  <c:v>AB_1975</c:v>
                </c:pt>
                <c:pt idx="48">
                  <c:v>AB_1975_NZEB</c:v>
                </c:pt>
                <c:pt idx="49">
                  <c:v>AB_1992</c:v>
                </c:pt>
                <c:pt idx="50">
                  <c:v>AB_1992_NZEB</c:v>
                </c:pt>
                <c:pt idx="51">
                  <c:v>AB_2006</c:v>
                </c:pt>
                <c:pt idx="52">
                  <c:v>AB_2006_NZEB</c:v>
                </c:pt>
                <c:pt idx="53">
                  <c:v>AB_2015</c:v>
                </c:pt>
                <c:pt idx="54">
                  <c:v>AB_2015_NZEB</c:v>
                </c:pt>
                <c:pt idx="55">
                  <c:v>AB_2015_wood</c:v>
                </c:pt>
                <c:pt idx="56">
                  <c:v>AB_2015_wood_NZEB</c:v>
                </c:pt>
                <c:pt idx="57">
                  <c:v>AB_new_NZEB</c:v>
                </c:pt>
                <c:pt idx="58">
                  <c:v>AB_new_NZEB_wood</c:v>
                </c:pt>
                <c:pt idx="59">
                  <c:v>MFH_old</c:v>
                </c:pt>
                <c:pt idx="60">
                  <c:v>MFH_old_NZEB</c:v>
                </c:pt>
                <c:pt idx="61">
                  <c:v>MFH_1965</c:v>
                </c:pt>
                <c:pt idx="62">
                  <c:v>MFH_1965_NZEB</c:v>
                </c:pt>
                <c:pt idx="63">
                  <c:v>MFH_1975</c:v>
                </c:pt>
                <c:pt idx="64">
                  <c:v>MFH_1975_NZEB</c:v>
                </c:pt>
                <c:pt idx="65">
                  <c:v>MFH_1992</c:v>
                </c:pt>
                <c:pt idx="66">
                  <c:v>MFH_1992_NZEB</c:v>
                </c:pt>
                <c:pt idx="67">
                  <c:v>MFH_2006</c:v>
                </c:pt>
                <c:pt idx="68">
                  <c:v>MFH_2006_NZEB</c:v>
                </c:pt>
                <c:pt idx="69">
                  <c:v>MFH_2015</c:v>
                </c:pt>
                <c:pt idx="70">
                  <c:v>MFH_2015_NZEB</c:v>
                </c:pt>
                <c:pt idx="71">
                  <c:v>MFH_new_NZEB</c:v>
                </c:pt>
              </c:strCache>
            </c:strRef>
          </c:cat>
          <c:val>
            <c:numRef>
              <c:f>'0_EnergyDemandIntensity'!$B$2:$B$73</c:f>
              <c:numCache>
                <c:formatCode>General</c:formatCode>
                <c:ptCount val="72"/>
                <c:pt idx="0">
                  <c:v>166.1</c:v>
                </c:pt>
                <c:pt idx="1">
                  <c:v>48</c:v>
                </c:pt>
                <c:pt idx="2">
                  <c:v>141.1</c:v>
                </c:pt>
                <c:pt idx="3">
                  <c:v>42.1</c:v>
                </c:pt>
                <c:pt idx="4">
                  <c:v>103.8</c:v>
                </c:pt>
                <c:pt idx="5">
                  <c:v>39.9</c:v>
                </c:pt>
                <c:pt idx="6">
                  <c:v>83.2</c:v>
                </c:pt>
                <c:pt idx="7">
                  <c:v>40</c:v>
                </c:pt>
                <c:pt idx="8">
                  <c:v>68.5</c:v>
                </c:pt>
                <c:pt idx="9">
                  <c:v>36.700000000000003</c:v>
                </c:pt>
                <c:pt idx="10">
                  <c:v>68.8</c:v>
                </c:pt>
                <c:pt idx="11">
                  <c:v>35.700000000000003</c:v>
                </c:pt>
                <c:pt idx="12">
                  <c:v>35.700000000000003</c:v>
                </c:pt>
                <c:pt idx="13">
                  <c:v>156.69999999999999</c:v>
                </c:pt>
                <c:pt idx="14">
                  <c:v>40.1</c:v>
                </c:pt>
                <c:pt idx="15">
                  <c:v>139.19999999999999</c:v>
                </c:pt>
                <c:pt idx="16">
                  <c:v>39.1</c:v>
                </c:pt>
                <c:pt idx="17">
                  <c:v>122.5</c:v>
                </c:pt>
                <c:pt idx="18">
                  <c:v>37.1</c:v>
                </c:pt>
                <c:pt idx="19">
                  <c:v>95.6</c:v>
                </c:pt>
                <c:pt idx="20">
                  <c:v>35.5</c:v>
                </c:pt>
                <c:pt idx="21">
                  <c:v>69.400000000000006</c:v>
                </c:pt>
                <c:pt idx="22">
                  <c:v>33.5</c:v>
                </c:pt>
                <c:pt idx="23">
                  <c:v>59.4</c:v>
                </c:pt>
                <c:pt idx="24">
                  <c:v>31</c:v>
                </c:pt>
                <c:pt idx="25">
                  <c:v>60.3</c:v>
                </c:pt>
                <c:pt idx="26">
                  <c:v>30.3</c:v>
                </c:pt>
                <c:pt idx="27">
                  <c:v>30.3</c:v>
                </c:pt>
                <c:pt idx="28">
                  <c:v>173.3</c:v>
                </c:pt>
                <c:pt idx="29">
                  <c:v>45.1</c:v>
                </c:pt>
                <c:pt idx="30">
                  <c:v>158.4</c:v>
                </c:pt>
                <c:pt idx="31">
                  <c:v>45.1</c:v>
                </c:pt>
                <c:pt idx="32">
                  <c:v>142.69999999999999</c:v>
                </c:pt>
                <c:pt idx="33">
                  <c:v>42.7</c:v>
                </c:pt>
                <c:pt idx="34">
                  <c:v>108.9</c:v>
                </c:pt>
                <c:pt idx="35">
                  <c:v>40.5</c:v>
                </c:pt>
                <c:pt idx="36">
                  <c:v>75.8</c:v>
                </c:pt>
                <c:pt idx="37">
                  <c:v>37.5</c:v>
                </c:pt>
                <c:pt idx="38">
                  <c:v>64.599999999999994</c:v>
                </c:pt>
                <c:pt idx="39">
                  <c:v>34.4</c:v>
                </c:pt>
                <c:pt idx="40">
                  <c:v>65</c:v>
                </c:pt>
                <c:pt idx="41">
                  <c:v>33.4</c:v>
                </c:pt>
                <c:pt idx="42">
                  <c:v>33.4</c:v>
                </c:pt>
                <c:pt idx="43">
                  <c:v>128.30000000000001</c:v>
                </c:pt>
                <c:pt idx="44">
                  <c:v>37.5</c:v>
                </c:pt>
                <c:pt idx="45">
                  <c:v>103.7</c:v>
                </c:pt>
                <c:pt idx="46">
                  <c:v>32</c:v>
                </c:pt>
                <c:pt idx="47">
                  <c:v>90.8</c:v>
                </c:pt>
                <c:pt idx="48">
                  <c:v>35.1</c:v>
                </c:pt>
                <c:pt idx="49">
                  <c:v>65.3</c:v>
                </c:pt>
                <c:pt idx="50">
                  <c:v>30.799999999999997</c:v>
                </c:pt>
                <c:pt idx="51">
                  <c:v>57.8</c:v>
                </c:pt>
                <c:pt idx="52">
                  <c:v>29.599999999999998</c:v>
                </c:pt>
                <c:pt idx="53">
                  <c:v>59.099999999999994</c:v>
                </c:pt>
                <c:pt idx="54">
                  <c:v>29.1</c:v>
                </c:pt>
                <c:pt idx="55">
                  <c:v>59.099999999999994</c:v>
                </c:pt>
                <c:pt idx="56">
                  <c:v>29.1</c:v>
                </c:pt>
                <c:pt idx="57">
                  <c:v>29.1</c:v>
                </c:pt>
                <c:pt idx="58">
                  <c:v>29.1</c:v>
                </c:pt>
                <c:pt idx="59">
                  <c:v>127.8</c:v>
                </c:pt>
                <c:pt idx="60">
                  <c:v>37.5</c:v>
                </c:pt>
                <c:pt idx="61">
                  <c:v>104.2</c:v>
                </c:pt>
                <c:pt idx="62">
                  <c:v>31.9</c:v>
                </c:pt>
                <c:pt idx="63">
                  <c:v>91.7</c:v>
                </c:pt>
                <c:pt idx="64">
                  <c:v>33.799999999999997</c:v>
                </c:pt>
                <c:pt idx="65">
                  <c:v>67</c:v>
                </c:pt>
                <c:pt idx="66">
                  <c:v>31.8</c:v>
                </c:pt>
                <c:pt idx="67">
                  <c:v>56.5</c:v>
                </c:pt>
                <c:pt idx="68">
                  <c:v>28</c:v>
                </c:pt>
                <c:pt idx="69">
                  <c:v>58.2</c:v>
                </c:pt>
                <c:pt idx="70">
                  <c:v>27.6</c:v>
                </c:pt>
                <c:pt idx="71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8-A942-991F-91B1A581E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855103"/>
        <c:axId val="1518101903"/>
      </c:barChart>
      <c:catAx>
        <c:axId val="151785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101903"/>
        <c:crosses val="autoZero"/>
        <c:auto val="1"/>
        <c:lblAlgn val="ctr"/>
        <c:lblOffset val="100"/>
        <c:noMultiLvlLbl val="0"/>
      </c:catAx>
      <c:valAx>
        <c:axId val="151810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5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184367</xdr:colOff>
      <xdr:row>2</xdr:row>
      <xdr:rowOff>45264</xdr:rowOff>
    </xdr:from>
    <xdr:to>
      <xdr:col>11</xdr:col>
      <xdr:colOff>628867</xdr:colOff>
      <xdr:row>47</xdr:row>
      <xdr:rowOff>162821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96C49-E165-6BA1-88F7-558EAACA2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40</xdr:row>
      <xdr:rowOff>25400</xdr:rowOff>
    </xdr:from>
    <xdr:to>
      <xdr:col>7</xdr:col>
      <xdr:colOff>1117600</xdr:colOff>
      <xdr:row>85</xdr:row>
      <xdr:rowOff>16076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3FBE3-85B8-4562-ADC4-F7A00725A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8FCD93-3749-214C-9DEA-A66BAD1ACEA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8284E-E270-564F-807F-3A5048A65AF8}" name="Energieverbruik_woningen__woningtype__oppervlakte__bouwjaar_en_bewoning_07082024" displayName="Energieverbruik_woningen__woningtype__oppervlakte__bouwjaar_en_bewoning_07082024" ref="A1:E58" tableType="queryTable" totalsRowShown="0">
  <autoFilter ref="A1:E58" xr:uid="{DE38284E-E270-564F-807F-3A5048A65AF8}"/>
  <tableColumns count="5">
    <tableColumn id="1" xr3:uid="{2419CEC6-AAB2-1F47-B7C9-40F48F98388B}" uniqueName="1" name="Column1" queryTableFieldId="1" dataDxfId="4"/>
    <tableColumn id="2" xr3:uid="{61F4C3F3-54BC-C94E-9E01-E316D2666066}" uniqueName="2" name="Column2" queryTableFieldId="2" dataDxfId="3"/>
    <tableColumn id="3" xr3:uid="{85AC1651-2088-5943-9B7D-C26EF1B0ACEC}" uniqueName="3" name="Column3" queryTableFieldId="3" dataDxfId="2"/>
    <tableColumn id="4" xr3:uid="{3637F6DE-612C-2245-8E18-5F5DC1C33760}" uniqueName="4" name="Column4" queryTableFieldId="4" dataDxfId="1"/>
    <tableColumn id="5" xr3:uid="{ABDB481C-1184-9949-A0C4-0DCFFBC3D939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98C5-D7A9-4941-A159-C8FC2A8988E4}">
  <dimension ref="A1:B5"/>
  <sheetViews>
    <sheetView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85</v>
      </c>
    </row>
    <row r="2" spans="1:2" x14ac:dyDescent="0.2">
      <c r="A2" t="s">
        <v>1</v>
      </c>
      <c r="B2" t="s">
        <v>84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7793-2D1A-E740-9344-441D4641E569}">
  <dimension ref="A1:E58"/>
  <sheetViews>
    <sheetView workbookViewId="0">
      <selection activeCell="A7" sqref="A7:E49"/>
    </sheetView>
  </sheetViews>
  <sheetFormatPr baseColWidth="10" defaultRowHeight="16" x14ac:dyDescent="0.2"/>
  <cols>
    <col min="1" max="1" width="62.1640625" bestFit="1" customWidth="1"/>
    <col min="2" max="2" width="13.1640625" bestFit="1" customWidth="1"/>
    <col min="3" max="3" width="33.83203125" bestFit="1" customWidth="1"/>
    <col min="4" max="4" width="68.33203125" bestFit="1" customWidth="1"/>
    <col min="5" max="5" width="62.33203125" bestFit="1" customWidth="1"/>
  </cols>
  <sheetData>
    <row r="1" spans="1:5" x14ac:dyDescent="0.2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2">
      <c r="A2" t="s">
        <v>91</v>
      </c>
      <c r="B2" t="s">
        <v>92</v>
      </c>
      <c r="C2" t="s">
        <v>92</v>
      </c>
      <c r="D2" t="s">
        <v>92</v>
      </c>
      <c r="E2" t="s">
        <v>92</v>
      </c>
    </row>
    <row r="3" spans="1:5" x14ac:dyDescent="0.2">
      <c r="A3" t="s">
        <v>93</v>
      </c>
      <c r="B3" t="s">
        <v>92</v>
      </c>
      <c r="C3" t="s">
        <v>92</v>
      </c>
      <c r="D3" t="s">
        <v>92</v>
      </c>
      <c r="E3" t="s">
        <v>92</v>
      </c>
    </row>
    <row r="4" spans="1:5" x14ac:dyDescent="0.2">
      <c r="A4" t="s">
        <v>94</v>
      </c>
      <c r="B4" t="s">
        <v>92</v>
      </c>
      <c r="C4" t="s">
        <v>92</v>
      </c>
      <c r="D4" t="s">
        <v>92</v>
      </c>
      <c r="E4" t="s">
        <v>92</v>
      </c>
    </row>
    <row r="5" spans="1:5" x14ac:dyDescent="0.2">
      <c r="A5" t="s">
        <v>95</v>
      </c>
      <c r="B5" t="s">
        <v>92</v>
      </c>
      <c r="C5" t="s">
        <v>92</v>
      </c>
      <c r="D5" t="s">
        <v>92</v>
      </c>
      <c r="E5" t="s">
        <v>92</v>
      </c>
    </row>
    <row r="6" spans="1:5" x14ac:dyDescent="0.2">
      <c r="A6" t="s">
        <v>96</v>
      </c>
      <c r="B6" t="s">
        <v>92</v>
      </c>
      <c r="C6" t="s">
        <v>92</v>
      </c>
      <c r="D6" t="s">
        <v>92</v>
      </c>
      <c r="E6" t="s">
        <v>92</v>
      </c>
    </row>
    <row r="7" spans="1:5" x14ac:dyDescent="0.2">
      <c r="A7" t="s">
        <v>92</v>
      </c>
      <c r="B7" t="s">
        <v>92</v>
      </c>
      <c r="C7" t="s">
        <v>97</v>
      </c>
      <c r="D7" t="s">
        <v>92</v>
      </c>
      <c r="E7" t="s">
        <v>92</v>
      </c>
    </row>
    <row r="8" spans="1:5" x14ac:dyDescent="0.2">
      <c r="A8" t="s">
        <v>92</v>
      </c>
      <c r="B8" t="s">
        <v>92</v>
      </c>
      <c r="C8" t="s">
        <v>98</v>
      </c>
      <c r="D8" t="s">
        <v>99</v>
      </c>
      <c r="E8" t="s">
        <v>100</v>
      </c>
    </row>
    <row r="9" spans="1:5" x14ac:dyDescent="0.2">
      <c r="A9" t="s">
        <v>101</v>
      </c>
      <c r="B9" t="s">
        <v>102</v>
      </c>
      <c r="C9" t="s">
        <v>103</v>
      </c>
      <c r="D9" t="s">
        <v>104</v>
      </c>
      <c r="E9" t="s">
        <v>105</v>
      </c>
    </row>
    <row r="10" spans="1:5" x14ac:dyDescent="0.2">
      <c r="A10" t="s">
        <v>106</v>
      </c>
      <c r="B10" t="s">
        <v>107</v>
      </c>
      <c r="C10" t="s">
        <v>108</v>
      </c>
      <c r="D10" t="s">
        <v>109</v>
      </c>
      <c r="E10" t="s">
        <v>110</v>
      </c>
    </row>
    <row r="11" spans="1:5" x14ac:dyDescent="0.2">
      <c r="A11" t="s">
        <v>106</v>
      </c>
      <c r="B11" t="s">
        <v>111</v>
      </c>
      <c r="C11" t="s">
        <v>112</v>
      </c>
      <c r="D11" t="s">
        <v>113</v>
      </c>
      <c r="E11" t="s">
        <v>114</v>
      </c>
    </row>
    <row r="12" spans="1:5" x14ac:dyDescent="0.2">
      <c r="A12" t="s">
        <v>106</v>
      </c>
      <c r="B12" t="s">
        <v>115</v>
      </c>
      <c r="C12" t="s">
        <v>112</v>
      </c>
      <c r="D12" t="s">
        <v>116</v>
      </c>
      <c r="E12" t="s">
        <v>117</v>
      </c>
    </row>
    <row r="13" spans="1:5" x14ac:dyDescent="0.2">
      <c r="A13" t="s">
        <v>106</v>
      </c>
      <c r="B13" t="s">
        <v>118</v>
      </c>
      <c r="C13" t="s">
        <v>112</v>
      </c>
      <c r="D13" t="s">
        <v>119</v>
      </c>
      <c r="E13" t="s">
        <v>120</v>
      </c>
    </row>
    <row r="14" spans="1:5" x14ac:dyDescent="0.2">
      <c r="A14" t="s">
        <v>106</v>
      </c>
      <c r="B14" t="s">
        <v>121</v>
      </c>
      <c r="C14" t="s">
        <v>122</v>
      </c>
      <c r="D14" t="s">
        <v>123</v>
      </c>
      <c r="E14" t="s">
        <v>124</v>
      </c>
    </row>
    <row r="15" spans="1:5" x14ac:dyDescent="0.2">
      <c r="A15" t="s">
        <v>106</v>
      </c>
      <c r="B15" t="s">
        <v>125</v>
      </c>
      <c r="C15" t="s">
        <v>126</v>
      </c>
      <c r="D15" t="s">
        <v>127</v>
      </c>
      <c r="E15" t="s">
        <v>117</v>
      </c>
    </row>
    <row r="16" spans="1:5" x14ac:dyDescent="0.2">
      <c r="A16" t="s">
        <v>106</v>
      </c>
      <c r="B16" t="s">
        <v>128</v>
      </c>
      <c r="C16" t="s">
        <v>129</v>
      </c>
      <c r="D16" t="s">
        <v>130</v>
      </c>
      <c r="E16" t="s">
        <v>117</v>
      </c>
    </row>
    <row r="17" spans="1:5" x14ac:dyDescent="0.2">
      <c r="A17" t="s">
        <v>106</v>
      </c>
      <c r="B17" t="s">
        <v>131</v>
      </c>
      <c r="C17" t="s">
        <v>132</v>
      </c>
      <c r="D17" t="s">
        <v>133</v>
      </c>
      <c r="E17" t="s">
        <v>134</v>
      </c>
    </row>
    <row r="18" spans="1:5" x14ac:dyDescent="0.2">
      <c r="A18" t="s">
        <v>135</v>
      </c>
      <c r="B18" t="s">
        <v>107</v>
      </c>
      <c r="C18" t="s">
        <v>136</v>
      </c>
      <c r="D18" t="s">
        <v>137</v>
      </c>
      <c r="E18" t="s">
        <v>138</v>
      </c>
    </row>
    <row r="19" spans="1:5" x14ac:dyDescent="0.2">
      <c r="A19" t="s">
        <v>135</v>
      </c>
      <c r="B19" t="s">
        <v>111</v>
      </c>
      <c r="C19" t="s">
        <v>112</v>
      </c>
      <c r="D19" t="s">
        <v>139</v>
      </c>
      <c r="E19" t="s">
        <v>140</v>
      </c>
    </row>
    <row r="20" spans="1:5" x14ac:dyDescent="0.2">
      <c r="A20" t="s">
        <v>135</v>
      </c>
      <c r="B20" t="s">
        <v>115</v>
      </c>
      <c r="C20" t="s">
        <v>112</v>
      </c>
      <c r="D20" t="s">
        <v>139</v>
      </c>
      <c r="E20" t="s">
        <v>141</v>
      </c>
    </row>
    <row r="21" spans="1:5" x14ac:dyDescent="0.2">
      <c r="A21" t="s">
        <v>135</v>
      </c>
      <c r="B21" t="s">
        <v>118</v>
      </c>
      <c r="C21" t="s">
        <v>112</v>
      </c>
      <c r="D21" t="s">
        <v>142</v>
      </c>
      <c r="E21" t="s">
        <v>143</v>
      </c>
    </row>
    <row r="22" spans="1:5" x14ac:dyDescent="0.2">
      <c r="A22" t="s">
        <v>135</v>
      </c>
      <c r="B22" t="s">
        <v>121</v>
      </c>
      <c r="C22" t="s">
        <v>144</v>
      </c>
      <c r="D22" t="s">
        <v>145</v>
      </c>
      <c r="E22" t="s">
        <v>141</v>
      </c>
    </row>
    <row r="23" spans="1:5" x14ac:dyDescent="0.2">
      <c r="A23" t="s">
        <v>135</v>
      </c>
      <c r="B23" t="s">
        <v>125</v>
      </c>
      <c r="C23" t="s">
        <v>146</v>
      </c>
      <c r="D23" t="s">
        <v>147</v>
      </c>
      <c r="E23" t="s">
        <v>148</v>
      </c>
    </row>
    <row r="24" spans="1:5" x14ac:dyDescent="0.2">
      <c r="A24" t="s">
        <v>135</v>
      </c>
      <c r="B24" t="s">
        <v>128</v>
      </c>
      <c r="C24" t="s">
        <v>133</v>
      </c>
      <c r="D24" t="s">
        <v>149</v>
      </c>
      <c r="E24" t="s">
        <v>150</v>
      </c>
    </row>
    <row r="25" spans="1:5" x14ac:dyDescent="0.2">
      <c r="A25" t="s">
        <v>135</v>
      </c>
      <c r="B25" t="s">
        <v>131</v>
      </c>
      <c r="C25" t="s">
        <v>151</v>
      </c>
      <c r="D25" t="s">
        <v>152</v>
      </c>
      <c r="E25" t="s">
        <v>153</v>
      </c>
    </row>
    <row r="26" spans="1:5" x14ac:dyDescent="0.2">
      <c r="A26" t="s">
        <v>154</v>
      </c>
      <c r="B26" t="s">
        <v>107</v>
      </c>
      <c r="C26" t="s">
        <v>155</v>
      </c>
      <c r="D26" t="s">
        <v>156</v>
      </c>
      <c r="E26" t="s">
        <v>157</v>
      </c>
    </row>
    <row r="27" spans="1:5" x14ac:dyDescent="0.2">
      <c r="A27" t="s">
        <v>154</v>
      </c>
      <c r="B27" t="s">
        <v>111</v>
      </c>
      <c r="C27" t="s">
        <v>158</v>
      </c>
      <c r="D27" t="s">
        <v>159</v>
      </c>
      <c r="E27" t="s">
        <v>160</v>
      </c>
    </row>
    <row r="28" spans="1:5" x14ac:dyDescent="0.2">
      <c r="A28" t="s">
        <v>154</v>
      </c>
      <c r="B28" t="s">
        <v>115</v>
      </c>
      <c r="C28" t="s">
        <v>112</v>
      </c>
      <c r="D28" t="s">
        <v>161</v>
      </c>
      <c r="E28" t="s">
        <v>162</v>
      </c>
    </row>
    <row r="29" spans="1:5" x14ac:dyDescent="0.2">
      <c r="A29" t="s">
        <v>154</v>
      </c>
      <c r="B29" t="s">
        <v>118</v>
      </c>
      <c r="C29" t="s">
        <v>163</v>
      </c>
      <c r="D29" t="s">
        <v>164</v>
      </c>
      <c r="E29" t="s">
        <v>162</v>
      </c>
    </row>
    <row r="30" spans="1:5" x14ac:dyDescent="0.2">
      <c r="A30" t="s">
        <v>154</v>
      </c>
      <c r="B30" t="s">
        <v>121</v>
      </c>
      <c r="C30" t="s">
        <v>146</v>
      </c>
      <c r="D30" t="s">
        <v>165</v>
      </c>
      <c r="E30" t="s">
        <v>166</v>
      </c>
    </row>
    <row r="31" spans="1:5" x14ac:dyDescent="0.2">
      <c r="A31" t="s">
        <v>154</v>
      </c>
      <c r="B31" t="s">
        <v>125</v>
      </c>
      <c r="C31" t="s">
        <v>156</v>
      </c>
      <c r="D31" t="s">
        <v>167</v>
      </c>
      <c r="E31" t="s">
        <v>168</v>
      </c>
    </row>
    <row r="32" spans="1:5" x14ac:dyDescent="0.2">
      <c r="A32" t="s">
        <v>154</v>
      </c>
      <c r="B32" t="s">
        <v>128</v>
      </c>
      <c r="C32" t="s">
        <v>169</v>
      </c>
      <c r="D32" t="s">
        <v>170</v>
      </c>
      <c r="E32" t="s">
        <v>171</v>
      </c>
    </row>
    <row r="33" spans="1:5" x14ac:dyDescent="0.2">
      <c r="A33" t="s">
        <v>154</v>
      </c>
      <c r="B33" t="s">
        <v>131</v>
      </c>
      <c r="C33" t="s">
        <v>109</v>
      </c>
      <c r="D33" t="s">
        <v>172</v>
      </c>
      <c r="E33" t="s">
        <v>173</v>
      </c>
    </row>
    <row r="34" spans="1:5" x14ac:dyDescent="0.2">
      <c r="A34" t="s">
        <v>174</v>
      </c>
      <c r="B34" t="s">
        <v>107</v>
      </c>
      <c r="C34" t="s">
        <v>175</v>
      </c>
      <c r="D34" t="s">
        <v>176</v>
      </c>
      <c r="E34" t="s">
        <v>171</v>
      </c>
    </row>
    <row r="35" spans="1:5" x14ac:dyDescent="0.2">
      <c r="A35" t="s">
        <v>174</v>
      </c>
      <c r="B35" t="s">
        <v>111</v>
      </c>
      <c r="C35" t="s">
        <v>177</v>
      </c>
      <c r="D35" t="s">
        <v>164</v>
      </c>
      <c r="E35" t="s">
        <v>178</v>
      </c>
    </row>
    <row r="36" spans="1:5" x14ac:dyDescent="0.2">
      <c r="A36" t="s">
        <v>174</v>
      </c>
      <c r="B36" t="s">
        <v>115</v>
      </c>
      <c r="C36" t="s">
        <v>158</v>
      </c>
      <c r="D36" t="s">
        <v>179</v>
      </c>
      <c r="E36" t="s">
        <v>180</v>
      </c>
    </row>
    <row r="37" spans="1:5" x14ac:dyDescent="0.2">
      <c r="A37" t="s">
        <v>174</v>
      </c>
      <c r="B37" t="s">
        <v>118</v>
      </c>
      <c r="C37" t="s">
        <v>181</v>
      </c>
      <c r="D37" t="s">
        <v>182</v>
      </c>
      <c r="E37" t="s">
        <v>183</v>
      </c>
    </row>
    <row r="38" spans="1:5" x14ac:dyDescent="0.2">
      <c r="A38" t="s">
        <v>174</v>
      </c>
      <c r="B38" t="s">
        <v>121</v>
      </c>
      <c r="C38" t="s">
        <v>184</v>
      </c>
      <c r="D38" t="s">
        <v>185</v>
      </c>
      <c r="E38" t="s">
        <v>186</v>
      </c>
    </row>
    <row r="39" spans="1:5" x14ac:dyDescent="0.2">
      <c r="A39" t="s">
        <v>174</v>
      </c>
      <c r="B39" t="s">
        <v>125</v>
      </c>
      <c r="C39" t="s">
        <v>187</v>
      </c>
      <c r="D39" t="s">
        <v>188</v>
      </c>
      <c r="E39" t="s">
        <v>189</v>
      </c>
    </row>
    <row r="40" spans="1:5" x14ac:dyDescent="0.2">
      <c r="A40" t="s">
        <v>174</v>
      </c>
      <c r="B40" t="s">
        <v>128</v>
      </c>
      <c r="C40" t="s">
        <v>190</v>
      </c>
      <c r="D40" t="s">
        <v>175</v>
      </c>
      <c r="E40" t="s">
        <v>191</v>
      </c>
    </row>
    <row r="41" spans="1:5" x14ac:dyDescent="0.2">
      <c r="A41" t="s">
        <v>174</v>
      </c>
      <c r="B41" t="s">
        <v>131</v>
      </c>
      <c r="C41" t="s">
        <v>192</v>
      </c>
      <c r="D41" t="s">
        <v>193</v>
      </c>
      <c r="E41" t="s">
        <v>194</v>
      </c>
    </row>
    <row r="42" spans="1:5" x14ac:dyDescent="0.2">
      <c r="A42" t="s">
        <v>195</v>
      </c>
      <c r="B42" t="s">
        <v>107</v>
      </c>
      <c r="C42" t="s">
        <v>196</v>
      </c>
      <c r="D42" t="s">
        <v>197</v>
      </c>
      <c r="E42" t="s">
        <v>162</v>
      </c>
    </row>
    <row r="43" spans="1:5" x14ac:dyDescent="0.2">
      <c r="A43" t="s">
        <v>195</v>
      </c>
      <c r="B43" t="s">
        <v>111</v>
      </c>
      <c r="C43" t="s">
        <v>144</v>
      </c>
      <c r="D43" t="s">
        <v>198</v>
      </c>
      <c r="E43" t="s">
        <v>199</v>
      </c>
    </row>
    <row r="44" spans="1:5" x14ac:dyDescent="0.2">
      <c r="A44" t="s">
        <v>195</v>
      </c>
      <c r="B44" t="s">
        <v>115</v>
      </c>
      <c r="C44" t="s">
        <v>132</v>
      </c>
      <c r="D44" t="s">
        <v>200</v>
      </c>
      <c r="E44" t="s">
        <v>191</v>
      </c>
    </row>
    <row r="45" spans="1:5" x14ac:dyDescent="0.2">
      <c r="A45" t="s">
        <v>195</v>
      </c>
      <c r="B45" t="s">
        <v>118</v>
      </c>
      <c r="C45" t="s">
        <v>197</v>
      </c>
      <c r="D45" t="s">
        <v>201</v>
      </c>
      <c r="E45" t="s">
        <v>202</v>
      </c>
    </row>
    <row r="46" spans="1:5" x14ac:dyDescent="0.2">
      <c r="A46" t="s">
        <v>195</v>
      </c>
      <c r="B46" t="s">
        <v>121</v>
      </c>
      <c r="C46" t="s">
        <v>147</v>
      </c>
      <c r="D46" t="s">
        <v>145</v>
      </c>
      <c r="E46" t="s">
        <v>203</v>
      </c>
    </row>
    <row r="47" spans="1:5" x14ac:dyDescent="0.2">
      <c r="A47" t="s">
        <v>195</v>
      </c>
      <c r="B47" t="s">
        <v>125</v>
      </c>
      <c r="C47" t="s">
        <v>204</v>
      </c>
      <c r="D47" t="s">
        <v>205</v>
      </c>
      <c r="E47" t="s">
        <v>206</v>
      </c>
    </row>
    <row r="48" spans="1:5" x14ac:dyDescent="0.2">
      <c r="A48" t="s">
        <v>195</v>
      </c>
      <c r="B48" t="s">
        <v>128</v>
      </c>
      <c r="C48" t="s">
        <v>207</v>
      </c>
      <c r="D48" t="s">
        <v>152</v>
      </c>
      <c r="E48" t="s">
        <v>160</v>
      </c>
    </row>
    <row r="49" spans="1:5" x14ac:dyDescent="0.2">
      <c r="A49" t="s">
        <v>195</v>
      </c>
      <c r="B49" t="s">
        <v>131</v>
      </c>
      <c r="C49" t="s">
        <v>208</v>
      </c>
      <c r="D49" t="s">
        <v>209</v>
      </c>
      <c r="E49" t="s">
        <v>210</v>
      </c>
    </row>
    <row r="50" spans="1:5" x14ac:dyDescent="0.2">
      <c r="A50" t="s">
        <v>211</v>
      </c>
      <c r="B50" t="s">
        <v>107</v>
      </c>
      <c r="C50" t="s">
        <v>212</v>
      </c>
      <c r="D50" t="s">
        <v>212</v>
      </c>
      <c r="E50" t="s">
        <v>212</v>
      </c>
    </row>
    <row r="51" spans="1:5" x14ac:dyDescent="0.2">
      <c r="A51" t="s">
        <v>211</v>
      </c>
      <c r="B51" t="s">
        <v>111</v>
      </c>
      <c r="C51" t="s">
        <v>212</v>
      </c>
      <c r="D51" t="s">
        <v>212</v>
      </c>
      <c r="E51" t="s">
        <v>212</v>
      </c>
    </row>
    <row r="52" spans="1:5" x14ac:dyDescent="0.2">
      <c r="A52" t="s">
        <v>211</v>
      </c>
      <c r="B52" t="s">
        <v>115</v>
      </c>
      <c r="C52" t="s">
        <v>212</v>
      </c>
      <c r="D52" t="s">
        <v>212</v>
      </c>
      <c r="E52" t="s">
        <v>212</v>
      </c>
    </row>
    <row r="53" spans="1:5" x14ac:dyDescent="0.2">
      <c r="A53" t="s">
        <v>211</v>
      </c>
      <c r="B53" t="s">
        <v>118</v>
      </c>
      <c r="C53" t="s">
        <v>212</v>
      </c>
      <c r="D53" t="s">
        <v>212</v>
      </c>
      <c r="E53" t="s">
        <v>212</v>
      </c>
    </row>
    <row r="54" spans="1:5" x14ac:dyDescent="0.2">
      <c r="A54" t="s">
        <v>211</v>
      </c>
      <c r="B54" t="s">
        <v>121</v>
      </c>
      <c r="C54" t="s">
        <v>212</v>
      </c>
      <c r="D54" t="s">
        <v>212</v>
      </c>
      <c r="E54" t="s">
        <v>212</v>
      </c>
    </row>
    <row r="55" spans="1:5" x14ac:dyDescent="0.2">
      <c r="A55" t="s">
        <v>211</v>
      </c>
      <c r="B55" t="s">
        <v>125</v>
      </c>
      <c r="C55" t="s">
        <v>212</v>
      </c>
      <c r="D55" t="s">
        <v>212</v>
      </c>
      <c r="E55" t="s">
        <v>212</v>
      </c>
    </row>
    <row r="56" spans="1:5" x14ac:dyDescent="0.2">
      <c r="A56" t="s">
        <v>211</v>
      </c>
      <c r="B56" t="s">
        <v>128</v>
      </c>
      <c r="C56" t="s">
        <v>212</v>
      </c>
      <c r="D56" t="s">
        <v>212</v>
      </c>
      <c r="E56" t="s">
        <v>212</v>
      </c>
    </row>
    <row r="57" spans="1:5" x14ac:dyDescent="0.2">
      <c r="A57" t="s">
        <v>211</v>
      </c>
      <c r="B57" t="s">
        <v>131</v>
      </c>
      <c r="C57" t="s">
        <v>212</v>
      </c>
      <c r="D57" t="s">
        <v>212</v>
      </c>
      <c r="E57" t="s">
        <v>212</v>
      </c>
    </row>
    <row r="58" spans="1:5" x14ac:dyDescent="0.2">
      <c r="A58" t="s">
        <v>213</v>
      </c>
      <c r="B58" t="s">
        <v>92</v>
      </c>
      <c r="C58" t="s">
        <v>92</v>
      </c>
      <c r="D58" t="s">
        <v>92</v>
      </c>
      <c r="E58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8863-D87B-6D4B-8F11-D61D7FDC9626}">
  <dimension ref="A1:E43"/>
  <sheetViews>
    <sheetView tabSelected="1" workbookViewId="0">
      <selection activeCell="F31" sqref="F31"/>
    </sheetView>
  </sheetViews>
  <sheetFormatPr baseColWidth="10" defaultRowHeight="16" x14ac:dyDescent="0.2"/>
  <sheetData>
    <row r="1" spans="1:5" x14ac:dyDescent="0.2">
      <c r="A1" t="s">
        <v>92</v>
      </c>
      <c r="B1" t="s">
        <v>92</v>
      </c>
      <c r="C1" t="s">
        <v>97</v>
      </c>
      <c r="D1" t="s">
        <v>92</v>
      </c>
      <c r="E1" t="s">
        <v>92</v>
      </c>
    </row>
    <row r="2" spans="1:5" x14ac:dyDescent="0.2">
      <c r="A2" t="s">
        <v>92</v>
      </c>
      <c r="B2" t="s">
        <v>92</v>
      </c>
      <c r="C2" t="s">
        <v>98</v>
      </c>
      <c r="D2" t="s">
        <v>99</v>
      </c>
      <c r="E2" t="s">
        <v>100</v>
      </c>
    </row>
    <row r="3" spans="1:5" x14ac:dyDescent="0.2">
      <c r="A3" t="s">
        <v>101</v>
      </c>
      <c r="B3" t="s">
        <v>102</v>
      </c>
      <c r="C3" t="s">
        <v>103</v>
      </c>
      <c r="D3" t="s">
        <v>104</v>
      </c>
      <c r="E3" t="s">
        <v>105</v>
      </c>
    </row>
    <row r="4" spans="1:5" x14ac:dyDescent="0.2">
      <c r="A4" t="s">
        <v>106</v>
      </c>
      <c r="B4" t="s">
        <v>107</v>
      </c>
      <c r="C4" s="6">
        <v>0.9</v>
      </c>
      <c r="D4" s="6">
        <v>12.1</v>
      </c>
      <c r="E4" s="7">
        <v>1790</v>
      </c>
    </row>
    <row r="5" spans="1:5" x14ac:dyDescent="0.2">
      <c r="B5" t="s">
        <v>111</v>
      </c>
      <c r="C5" s="6">
        <v>0</v>
      </c>
      <c r="D5" s="6">
        <v>13.4</v>
      </c>
      <c r="E5" s="7">
        <v>1760</v>
      </c>
    </row>
    <row r="6" spans="1:5" x14ac:dyDescent="0.2">
      <c r="B6" t="s">
        <v>115</v>
      </c>
      <c r="C6" s="6">
        <v>0</v>
      </c>
      <c r="D6" s="6">
        <v>14.3</v>
      </c>
      <c r="E6" s="7">
        <v>1780</v>
      </c>
    </row>
    <row r="7" spans="1:5" x14ac:dyDescent="0.2">
      <c r="B7" t="s">
        <v>118</v>
      </c>
      <c r="C7" s="6">
        <v>0</v>
      </c>
      <c r="D7" s="6">
        <v>13.5</v>
      </c>
      <c r="E7" s="7">
        <v>1850</v>
      </c>
    </row>
    <row r="8" spans="1:5" x14ac:dyDescent="0.2">
      <c r="B8" t="s">
        <v>121</v>
      </c>
      <c r="C8" s="6">
        <v>0.6</v>
      </c>
      <c r="D8" s="6">
        <v>11.9</v>
      </c>
      <c r="E8" s="7">
        <v>1830</v>
      </c>
    </row>
    <row r="9" spans="1:5" x14ac:dyDescent="0.2">
      <c r="B9" t="s">
        <v>125</v>
      </c>
      <c r="C9" s="6">
        <v>2.5</v>
      </c>
      <c r="D9" s="6">
        <v>9.8000000000000007</v>
      </c>
      <c r="E9" s="7">
        <v>1780</v>
      </c>
    </row>
    <row r="10" spans="1:5" x14ac:dyDescent="0.2">
      <c r="B10" t="s">
        <v>128</v>
      </c>
      <c r="C10" s="6">
        <v>4.3</v>
      </c>
      <c r="D10" s="6">
        <v>8.4</v>
      </c>
      <c r="E10" s="7">
        <v>1780</v>
      </c>
    </row>
    <row r="11" spans="1:5" x14ac:dyDescent="0.2">
      <c r="B11" t="s">
        <v>131</v>
      </c>
      <c r="C11" s="6">
        <v>3.5</v>
      </c>
      <c r="D11" s="6">
        <v>6.5</v>
      </c>
      <c r="E11" s="7">
        <v>1600</v>
      </c>
    </row>
    <row r="12" spans="1:5" x14ac:dyDescent="0.2">
      <c r="A12" t="s">
        <v>135</v>
      </c>
      <c r="B12" t="s">
        <v>107</v>
      </c>
      <c r="C12" s="6">
        <v>1.5</v>
      </c>
      <c r="D12" s="6">
        <v>12.3</v>
      </c>
      <c r="E12" s="7">
        <v>1480</v>
      </c>
    </row>
    <row r="13" spans="1:5" x14ac:dyDescent="0.2">
      <c r="B13" t="s">
        <v>111</v>
      </c>
      <c r="C13" s="6">
        <v>0</v>
      </c>
      <c r="D13" s="6">
        <v>14.1</v>
      </c>
      <c r="E13" s="7">
        <v>1560</v>
      </c>
    </row>
    <row r="14" spans="1:5" x14ac:dyDescent="0.2">
      <c r="B14" t="s">
        <v>115</v>
      </c>
      <c r="C14" s="6">
        <v>0</v>
      </c>
      <c r="D14" s="6">
        <v>14.1</v>
      </c>
      <c r="E14" s="7">
        <v>1490</v>
      </c>
    </row>
    <row r="15" spans="1:5" x14ac:dyDescent="0.2">
      <c r="B15" t="s">
        <v>118</v>
      </c>
      <c r="C15" s="6">
        <v>0</v>
      </c>
      <c r="D15" s="6">
        <v>13.2</v>
      </c>
      <c r="E15" s="7">
        <v>1500</v>
      </c>
    </row>
    <row r="16" spans="1:5" x14ac:dyDescent="0.2">
      <c r="B16" t="s">
        <v>121</v>
      </c>
      <c r="C16" s="6">
        <v>1.1000000000000001</v>
      </c>
      <c r="D16" s="6">
        <v>11.7</v>
      </c>
      <c r="E16" s="7">
        <v>1490</v>
      </c>
    </row>
    <row r="17" spans="1:5" x14ac:dyDescent="0.2">
      <c r="B17" t="s">
        <v>125</v>
      </c>
      <c r="C17" s="6">
        <v>5</v>
      </c>
      <c r="D17" s="6">
        <v>9.3000000000000007</v>
      </c>
      <c r="E17" s="7">
        <v>1430</v>
      </c>
    </row>
    <row r="18" spans="1:5" x14ac:dyDescent="0.2">
      <c r="B18" t="s">
        <v>128</v>
      </c>
      <c r="C18" s="6">
        <v>6.5</v>
      </c>
      <c r="D18" s="6">
        <v>7.7</v>
      </c>
      <c r="E18" s="7">
        <v>1340</v>
      </c>
    </row>
    <row r="19" spans="1:5" x14ac:dyDescent="0.2">
      <c r="B19" t="s">
        <v>131</v>
      </c>
      <c r="C19" s="6">
        <v>6.4</v>
      </c>
      <c r="D19" s="6">
        <v>6.6</v>
      </c>
      <c r="E19" s="7">
        <v>1160</v>
      </c>
    </row>
    <row r="20" spans="1:5" x14ac:dyDescent="0.2">
      <c r="A20" t="s">
        <v>154</v>
      </c>
      <c r="B20" t="s">
        <v>107</v>
      </c>
      <c r="C20" s="6">
        <v>4.0999999999999996</v>
      </c>
      <c r="D20" s="6">
        <v>11.8</v>
      </c>
      <c r="E20" s="7">
        <v>1380</v>
      </c>
    </row>
    <row r="21" spans="1:5" x14ac:dyDescent="0.2">
      <c r="B21" t="s">
        <v>111</v>
      </c>
      <c r="C21" s="6">
        <v>0.1</v>
      </c>
      <c r="D21" s="6">
        <v>14.7</v>
      </c>
      <c r="E21" s="7">
        <v>1440</v>
      </c>
    </row>
    <row r="22" spans="1:5" x14ac:dyDescent="0.2">
      <c r="B22" t="s">
        <v>115</v>
      </c>
      <c r="C22" s="6">
        <v>0</v>
      </c>
      <c r="D22" s="6">
        <v>14.6</v>
      </c>
      <c r="E22" s="7">
        <v>1360</v>
      </c>
    </row>
    <row r="23" spans="1:5" x14ac:dyDescent="0.2">
      <c r="B23" t="s">
        <v>118</v>
      </c>
      <c r="C23" s="6">
        <v>0.4</v>
      </c>
      <c r="D23" s="6">
        <v>13</v>
      </c>
      <c r="E23" s="7">
        <v>1360</v>
      </c>
    </row>
    <row r="24" spans="1:5" x14ac:dyDescent="0.2">
      <c r="B24" t="s">
        <v>121</v>
      </c>
      <c r="C24" s="6">
        <v>5</v>
      </c>
      <c r="D24" s="6">
        <v>11.2</v>
      </c>
      <c r="E24" s="7">
        <v>1400</v>
      </c>
    </row>
    <row r="25" spans="1:5" x14ac:dyDescent="0.2">
      <c r="B25" t="s">
        <v>125</v>
      </c>
      <c r="C25" s="6">
        <v>11.8</v>
      </c>
      <c r="D25" s="6">
        <v>8.6</v>
      </c>
      <c r="E25" s="7">
        <v>1390</v>
      </c>
    </row>
    <row r="26" spans="1:5" x14ac:dyDescent="0.2">
      <c r="B26" t="s">
        <v>128</v>
      </c>
      <c r="C26" s="6">
        <v>12.6</v>
      </c>
      <c r="D26" s="6">
        <v>7.1</v>
      </c>
      <c r="E26" s="7">
        <v>1310</v>
      </c>
    </row>
    <row r="27" spans="1:5" x14ac:dyDescent="0.2">
      <c r="B27" t="s">
        <v>131</v>
      </c>
      <c r="C27" s="6">
        <v>12.1</v>
      </c>
      <c r="D27" s="6">
        <v>6.1</v>
      </c>
      <c r="E27" s="7">
        <v>1140</v>
      </c>
    </row>
    <row r="28" spans="1:5" x14ac:dyDescent="0.2">
      <c r="A28" t="s">
        <v>174</v>
      </c>
      <c r="B28" t="s">
        <v>107</v>
      </c>
      <c r="C28" s="6">
        <v>6</v>
      </c>
      <c r="D28" s="6">
        <v>10.199999999999999</v>
      </c>
      <c r="E28" s="7">
        <v>1310</v>
      </c>
    </row>
    <row r="29" spans="1:5" x14ac:dyDescent="0.2">
      <c r="B29" t="s">
        <v>111</v>
      </c>
      <c r="C29" s="6">
        <v>0.2</v>
      </c>
      <c r="D29" s="6">
        <v>13</v>
      </c>
      <c r="E29" s="7">
        <v>1330</v>
      </c>
    </row>
    <row r="30" spans="1:5" x14ac:dyDescent="0.2">
      <c r="B30" t="s">
        <v>115</v>
      </c>
      <c r="C30" s="6">
        <v>0.1</v>
      </c>
      <c r="D30" s="6">
        <v>12.9</v>
      </c>
      <c r="E30" s="7">
        <v>1280</v>
      </c>
    </row>
    <row r="31" spans="1:5" x14ac:dyDescent="0.2">
      <c r="B31" t="s">
        <v>118</v>
      </c>
      <c r="C31" s="6">
        <v>0.8</v>
      </c>
      <c r="D31" s="6">
        <v>11.3</v>
      </c>
      <c r="E31" s="7">
        <v>1300</v>
      </c>
    </row>
    <row r="32" spans="1:5" x14ac:dyDescent="0.2">
      <c r="B32" t="s">
        <v>121</v>
      </c>
      <c r="C32" s="6">
        <v>6.7</v>
      </c>
      <c r="D32" s="6">
        <v>9.6999999999999993</v>
      </c>
      <c r="E32" s="7">
        <v>1350</v>
      </c>
    </row>
    <row r="33" spans="1:5" x14ac:dyDescent="0.2">
      <c r="B33" t="s">
        <v>125</v>
      </c>
      <c r="C33" s="6">
        <v>15.4</v>
      </c>
      <c r="D33" s="6">
        <v>7.4</v>
      </c>
      <c r="E33" s="7">
        <v>1320</v>
      </c>
    </row>
    <row r="34" spans="1:5" x14ac:dyDescent="0.2">
      <c r="B34" t="s">
        <v>128</v>
      </c>
      <c r="C34" s="6">
        <v>17.5</v>
      </c>
      <c r="D34" s="6">
        <v>6</v>
      </c>
      <c r="E34" s="7">
        <v>1250</v>
      </c>
    </row>
    <row r="35" spans="1:5" x14ac:dyDescent="0.2">
      <c r="B35" t="s">
        <v>131</v>
      </c>
      <c r="C35" s="6">
        <v>15.6</v>
      </c>
      <c r="D35" s="6">
        <v>5.4</v>
      </c>
      <c r="E35" s="7">
        <v>1080</v>
      </c>
    </row>
    <row r="36" spans="1:5" x14ac:dyDescent="0.2">
      <c r="A36" t="s">
        <v>195</v>
      </c>
      <c r="B36" t="s">
        <v>107</v>
      </c>
      <c r="C36" s="6">
        <v>9.4</v>
      </c>
      <c r="D36" s="6">
        <v>11.4</v>
      </c>
      <c r="E36" s="7">
        <v>1360</v>
      </c>
    </row>
    <row r="37" spans="1:5" x14ac:dyDescent="0.2">
      <c r="B37" t="s">
        <v>111</v>
      </c>
      <c r="C37" s="6">
        <v>1.1000000000000001</v>
      </c>
      <c r="D37" s="6">
        <v>15</v>
      </c>
      <c r="E37" s="7">
        <v>1260</v>
      </c>
    </row>
    <row r="38" spans="1:5" x14ac:dyDescent="0.2">
      <c r="B38" t="s">
        <v>115</v>
      </c>
      <c r="C38" s="6">
        <v>3.5</v>
      </c>
      <c r="D38" s="6">
        <v>13.7</v>
      </c>
      <c r="E38" s="7">
        <v>1250</v>
      </c>
    </row>
    <row r="39" spans="1:5" x14ac:dyDescent="0.2">
      <c r="B39" t="s">
        <v>118</v>
      </c>
      <c r="C39" s="6">
        <v>11.4</v>
      </c>
      <c r="D39" s="6">
        <v>11.6</v>
      </c>
      <c r="E39" s="7">
        <v>1420</v>
      </c>
    </row>
    <row r="40" spans="1:5" x14ac:dyDescent="0.2">
      <c r="B40" t="s">
        <v>121</v>
      </c>
      <c r="C40" s="6">
        <v>9.3000000000000007</v>
      </c>
      <c r="D40" s="6">
        <v>11.7</v>
      </c>
      <c r="E40" s="7">
        <v>1370</v>
      </c>
    </row>
    <row r="41" spans="1:5" x14ac:dyDescent="0.2">
      <c r="B41" t="s">
        <v>125</v>
      </c>
      <c r="C41" s="6">
        <v>12.5</v>
      </c>
      <c r="D41" s="6">
        <v>8.5</v>
      </c>
      <c r="E41" s="7">
        <v>1460</v>
      </c>
    </row>
    <row r="42" spans="1:5" x14ac:dyDescent="0.2">
      <c r="B42" t="s">
        <v>128</v>
      </c>
      <c r="C42" s="6">
        <v>20.100000000000001</v>
      </c>
      <c r="D42" s="6">
        <v>6.6</v>
      </c>
      <c r="E42" s="7">
        <v>1440</v>
      </c>
    </row>
    <row r="43" spans="1:5" x14ac:dyDescent="0.2">
      <c r="B43" t="s">
        <v>131</v>
      </c>
      <c r="C43" s="6">
        <v>27.3</v>
      </c>
      <c r="D43" s="6">
        <v>6.2</v>
      </c>
      <c r="E43" s="7">
        <v>1240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FE7D-5E92-744C-A7B7-837B6EFBF93B}">
  <dimension ref="A1:I82"/>
  <sheetViews>
    <sheetView zoomScale="90" workbookViewId="0">
      <selection activeCell="E66" sqref="E66"/>
    </sheetView>
  </sheetViews>
  <sheetFormatPr baseColWidth="10" defaultColWidth="11" defaultRowHeight="16" x14ac:dyDescent="0.2"/>
  <cols>
    <col min="1" max="1" width="19" customWidth="1"/>
    <col min="2" max="2" width="9" customWidth="1"/>
    <col min="3" max="3" width="10.6640625" customWidth="1"/>
    <col min="4" max="4" width="13.1640625" customWidth="1"/>
    <col min="5" max="5" width="14" customWidth="1"/>
    <col min="6" max="6" width="26.6640625" customWidth="1"/>
    <col min="7" max="7" width="16.6640625" customWidth="1"/>
    <col min="8" max="8" width="18.1640625" customWidth="1"/>
    <col min="9" max="9" width="11" customWidth="1"/>
  </cols>
  <sheetData>
    <row r="1" spans="1:9" x14ac:dyDescent="0.2">
      <c r="A1" s="1" t="s">
        <v>7</v>
      </c>
      <c r="B1" s="1" t="s">
        <v>8</v>
      </c>
      <c r="C1" s="1" t="s">
        <v>9</v>
      </c>
      <c r="D1" s="2" t="s">
        <v>10</v>
      </c>
    </row>
    <row r="2" spans="1:9" x14ac:dyDescent="0.2">
      <c r="A2" t="s">
        <v>11</v>
      </c>
      <c r="B2" s="3">
        <v>166.1</v>
      </c>
      <c r="C2" s="3">
        <v>14.4</v>
      </c>
      <c r="D2">
        <f t="shared" ref="D2:D33" si="0">B2+C2</f>
        <v>180.5</v>
      </c>
      <c r="E2" s="3">
        <v>158.4</v>
      </c>
      <c r="G2" s="2"/>
    </row>
    <row r="3" spans="1:9" x14ac:dyDescent="0.2">
      <c r="A3" t="s">
        <v>12</v>
      </c>
      <c r="B3" s="3">
        <f>24.4+23.6</f>
        <v>48</v>
      </c>
      <c r="C3" s="3">
        <v>14.4</v>
      </c>
      <c r="D3">
        <f t="shared" si="0"/>
        <v>62.4</v>
      </c>
      <c r="E3" s="3">
        <f>24+21.1</f>
        <v>45.1</v>
      </c>
      <c r="G3" s="5"/>
    </row>
    <row r="4" spans="1:9" x14ac:dyDescent="0.2">
      <c r="A4" t="s">
        <v>13</v>
      </c>
      <c r="B4" s="3">
        <v>141.1</v>
      </c>
      <c r="C4" s="3">
        <v>14.4</v>
      </c>
      <c r="D4">
        <f t="shared" si="0"/>
        <v>155.5</v>
      </c>
      <c r="E4" s="3">
        <v>142.69999999999999</v>
      </c>
      <c r="G4" s="5"/>
    </row>
    <row r="5" spans="1:9" x14ac:dyDescent="0.2">
      <c r="A5" t="s">
        <v>14</v>
      </c>
      <c r="B5" s="3">
        <f>24+18.1</f>
        <v>42.1</v>
      </c>
      <c r="C5" s="3">
        <v>14.4</v>
      </c>
      <c r="D5">
        <f t="shared" si="0"/>
        <v>56.5</v>
      </c>
      <c r="E5" s="3">
        <f>24+18.7</f>
        <v>42.7</v>
      </c>
      <c r="G5" s="5"/>
    </row>
    <row r="6" spans="1:9" x14ac:dyDescent="0.2">
      <c r="A6" t="s">
        <v>15</v>
      </c>
      <c r="B6" s="3">
        <v>103.8</v>
      </c>
      <c r="C6" s="3">
        <v>14.4</v>
      </c>
      <c r="D6">
        <f t="shared" si="0"/>
        <v>118.2</v>
      </c>
      <c r="E6" s="3">
        <v>108.9</v>
      </c>
      <c r="G6" s="5"/>
    </row>
    <row r="7" spans="1:9" x14ac:dyDescent="0.2">
      <c r="A7" t="s">
        <v>16</v>
      </c>
      <c r="B7" s="3">
        <f>24+15.9</f>
        <v>39.9</v>
      </c>
      <c r="C7" s="3">
        <v>14.4</v>
      </c>
      <c r="D7">
        <f t="shared" si="0"/>
        <v>54.3</v>
      </c>
      <c r="E7" s="3">
        <f>24.2+16.3</f>
        <v>40.5</v>
      </c>
      <c r="G7" s="5"/>
    </row>
    <row r="8" spans="1:9" x14ac:dyDescent="0.2">
      <c r="A8" t="s">
        <v>17</v>
      </c>
      <c r="B8" s="3">
        <v>83.2</v>
      </c>
      <c r="C8" s="3">
        <v>14.4</v>
      </c>
      <c r="D8">
        <f t="shared" si="0"/>
        <v>97.600000000000009</v>
      </c>
      <c r="E8" s="3">
        <v>75.8</v>
      </c>
      <c r="G8" s="5"/>
      <c r="I8" s="1"/>
    </row>
    <row r="9" spans="1:9" x14ac:dyDescent="0.2">
      <c r="A9" t="s">
        <v>18</v>
      </c>
      <c r="B9" s="3">
        <f>24+16</f>
        <v>40</v>
      </c>
      <c r="C9" s="3">
        <v>14.4</v>
      </c>
      <c r="D9">
        <f t="shared" si="0"/>
        <v>54.4</v>
      </c>
      <c r="E9" s="3">
        <f>23.8+13.7</f>
        <v>37.5</v>
      </c>
      <c r="G9" s="5"/>
    </row>
    <row r="10" spans="1:9" x14ac:dyDescent="0.2">
      <c r="A10" t="s">
        <v>19</v>
      </c>
      <c r="B10" s="3">
        <v>68.5</v>
      </c>
      <c r="C10" s="3">
        <v>14.4</v>
      </c>
      <c r="D10">
        <f t="shared" si="0"/>
        <v>82.9</v>
      </c>
      <c r="E10" s="3">
        <v>64.599999999999994</v>
      </c>
      <c r="G10" s="5"/>
    </row>
    <row r="11" spans="1:9" x14ac:dyDescent="0.2">
      <c r="A11" t="s">
        <v>20</v>
      </c>
      <c r="B11" s="3">
        <f>23.5+13.2</f>
        <v>36.700000000000003</v>
      </c>
      <c r="C11" s="3">
        <v>14.4</v>
      </c>
      <c r="D11">
        <f t="shared" si="0"/>
        <v>51.1</v>
      </c>
      <c r="E11" s="3">
        <f>23.4+11</f>
        <v>34.4</v>
      </c>
      <c r="G11" s="5"/>
    </row>
    <row r="12" spans="1:9" x14ac:dyDescent="0.2">
      <c r="A12" t="s">
        <v>21</v>
      </c>
      <c r="B12" s="3">
        <f>33.3+35.5</f>
        <v>68.8</v>
      </c>
      <c r="C12" s="3">
        <v>14.4</v>
      </c>
      <c r="D12">
        <f t="shared" si="0"/>
        <v>83.2</v>
      </c>
      <c r="E12" s="3">
        <f>33.9+31.1</f>
        <v>65</v>
      </c>
      <c r="G12" s="5"/>
    </row>
    <row r="13" spans="1:9" x14ac:dyDescent="0.2">
      <c r="A13" t="s">
        <v>22</v>
      </c>
      <c r="B13" s="3">
        <f>23.4+12.3</f>
        <v>35.700000000000003</v>
      </c>
      <c r="C13" s="3">
        <v>14.4</v>
      </c>
      <c r="D13">
        <f t="shared" si="0"/>
        <v>50.1</v>
      </c>
      <c r="E13" s="3">
        <f>23.2+10.2</f>
        <v>33.4</v>
      </c>
      <c r="G13" s="5"/>
    </row>
    <row r="14" spans="1:9" x14ac:dyDescent="0.2">
      <c r="A14" t="s">
        <v>23</v>
      </c>
      <c r="B14" s="3">
        <f>23.4+12.3</f>
        <v>35.700000000000003</v>
      </c>
      <c r="C14" s="3">
        <v>14.4</v>
      </c>
      <c r="D14">
        <f t="shared" si="0"/>
        <v>50.1</v>
      </c>
      <c r="E14" s="3">
        <f>23.2+10.2</f>
        <v>33.4</v>
      </c>
      <c r="G14" s="5"/>
    </row>
    <row r="15" spans="1:9" x14ac:dyDescent="0.2">
      <c r="A15" t="s">
        <v>24</v>
      </c>
      <c r="B15" s="3">
        <v>156.69999999999999</v>
      </c>
      <c r="C15" s="3">
        <v>14.4</v>
      </c>
      <c r="D15">
        <f t="shared" si="0"/>
        <v>171.1</v>
      </c>
      <c r="E15" s="3">
        <v>173.3</v>
      </c>
      <c r="G15" s="5"/>
    </row>
    <row r="16" spans="1:9" x14ac:dyDescent="0.2">
      <c r="A16" t="s">
        <v>25</v>
      </c>
      <c r="B16" s="3">
        <f>16+24.1</f>
        <v>40.1</v>
      </c>
      <c r="C16" s="3">
        <v>14.4</v>
      </c>
      <c r="D16">
        <f t="shared" si="0"/>
        <v>54.5</v>
      </c>
      <c r="E16" s="3">
        <f>24.3+20.8</f>
        <v>45.1</v>
      </c>
      <c r="G16" s="5"/>
    </row>
    <row r="17" spans="1:7" x14ac:dyDescent="0.2">
      <c r="A17" t="s">
        <v>26</v>
      </c>
      <c r="B17" s="3">
        <v>139.19999999999999</v>
      </c>
      <c r="C17" s="3">
        <v>14.4</v>
      </c>
      <c r="D17">
        <f t="shared" si="0"/>
        <v>153.6</v>
      </c>
      <c r="E17" s="3">
        <v>158.4</v>
      </c>
      <c r="G17" s="5"/>
    </row>
    <row r="18" spans="1:7" x14ac:dyDescent="0.2">
      <c r="A18" t="s">
        <v>27</v>
      </c>
      <c r="B18" s="3">
        <f>23.8+15.3</f>
        <v>39.1</v>
      </c>
      <c r="C18" s="3">
        <v>14.4</v>
      </c>
      <c r="D18">
        <f t="shared" si="0"/>
        <v>53.5</v>
      </c>
      <c r="E18" s="3">
        <f>24+21.1</f>
        <v>45.1</v>
      </c>
      <c r="G18" s="5"/>
    </row>
    <row r="19" spans="1:7" x14ac:dyDescent="0.2">
      <c r="A19" t="s">
        <v>28</v>
      </c>
      <c r="B19" s="3">
        <v>122.5</v>
      </c>
      <c r="C19" s="3">
        <v>14.4</v>
      </c>
      <c r="D19">
        <f t="shared" si="0"/>
        <v>136.9</v>
      </c>
      <c r="E19" s="3">
        <v>142.69999999999999</v>
      </c>
      <c r="G19" s="5"/>
    </row>
    <row r="20" spans="1:7" x14ac:dyDescent="0.2">
      <c r="A20" t="s">
        <v>29</v>
      </c>
      <c r="B20" s="3">
        <f>13.5+23.6</f>
        <v>37.1</v>
      </c>
      <c r="C20" s="3">
        <v>14.4</v>
      </c>
      <c r="D20">
        <f t="shared" si="0"/>
        <v>51.5</v>
      </c>
      <c r="E20" s="3">
        <f>24+18.7</f>
        <v>42.7</v>
      </c>
      <c r="G20" s="5"/>
    </row>
    <row r="21" spans="1:7" x14ac:dyDescent="0.2">
      <c r="A21" t="s">
        <v>30</v>
      </c>
      <c r="B21" s="3">
        <v>95.6</v>
      </c>
      <c r="C21" s="3">
        <v>14.4</v>
      </c>
      <c r="D21">
        <f t="shared" si="0"/>
        <v>110</v>
      </c>
      <c r="E21" s="3">
        <v>108.9</v>
      </c>
      <c r="G21" s="5"/>
    </row>
    <row r="22" spans="1:7" x14ac:dyDescent="0.2">
      <c r="A22" t="s">
        <v>31</v>
      </c>
      <c r="B22" s="3">
        <f>11.8+23.7</f>
        <v>35.5</v>
      </c>
      <c r="C22" s="3">
        <v>14.4</v>
      </c>
      <c r="D22">
        <f t="shared" si="0"/>
        <v>49.9</v>
      </c>
      <c r="E22" s="3">
        <f>24.2+16.3</f>
        <v>40.5</v>
      </c>
      <c r="G22" s="5"/>
    </row>
    <row r="23" spans="1:7" x14ac:dyDescent="0.2">
      <c r="A23" t="s">
        <v>32</v>
      </c>
      <c r="B23" s="3">
        <v>69.400000000000006</v>
      </c>
      <c r="C23" s="3">
        <v>14.4</v>
      </c>
      <c r="D23">
        <f t="shared" si="0"/>
        <v>83.800000000000011</v>
      </c>
      <c r="E23" s="3">
        <v>75.8</v>
      </c>
      <c r="G23" s="5"/>
    </row>
    <row r="24" spans="1:7" x14ac:dyDescent="0.2">
      <c r="A24" t="s">
        <v>33</v>
      </c>
      <c r="B24" s="3">
        <f>10.2+23.3</f>
        <v>33.5</v>
      </c>
      <c r="C24" s="3">
        <v>14.4</v>
      </c>
      <c r="D24">
        <f t="shared" si="0"/>
        <v>47.9</v>
      </c>
      <c r="E24" s="3">
        <f>23.8+13.7</f>
        <v>37.5</v>
      </c>
      <c r="G24" s="5"/>
    </row>
    <row r="25" spans="1:7" x14ac:dyDescent="0.2">
      <c r="A25" t="s">
        <v>34</v>
      </c>
      <c r="B25" s="3">
        <v>59.4</v>
      </c>
      <c r="C25" s="3">
        <v>14.4</v>
      </c>
      <c r="D25">
        <f t="shared" si="0"/>
        <v>73.8</v>
      </c>
      <c r="E25" s="3">
        <v>64.599999999999994</v>
      </c>
      <c r="G25" s="5"/>
    </row>
    <row r="26" spans="1:7" x14ac:dyDescent="0.2">
      <c r="A26" t="s">
        <v>35</v>
      </c>
      <c r="B26" s="3">
        <f>22.7+8.3</f>
        <v>31</v>
      </c>
      <c r="C26" s="3">
        <v>14.4</v>
      </c>
      <c r="D26">
        <f t="shared" si="0"/>
        <v>45.4</v>
      </c>
      <c r="E26" s="3">
        <f>23.4+11</f>
        <v>34.4</v>
      </c>
      <c r="G26" s="5"/>
    </row>
    <row r="27" spans="1:7" x14ac:dyDescent="0.2">
      <c r="A27" t="s">
        <v>36</v>
      </c>
      <c r="B27" s="3">
        <f>34.1+26.2</f>
        <v>60.3</v>
      </c>
      <c r="C27" s="3">
        <v>14.4</v>
      </c>
      <c r="D27">
        <f t="shared" si="0"/>
        <v>74.7</v>
      </c>
      <c r="E27" s="3">
        <f>33.9+31.1</f>
        <v>65</v>
      </c>
      <c r="G27" s="5"/>
    </row>
    <row r="28" spans="1:7" x14ac:dyDescent="0.2">
      <c r="A28" t="s">
        <v>37</v>
      </c>
      <c r="B28" s="3">
        <f>7.8+22.5</f>
        <v>30.3</v>
      </c>
      <c r="C28" s="3">
        <v>14.4</v>
      </c>
      <c r="D28">
        <f t="shared" si="0"/>
        <v>44.7</v>
      </c>
      <c r="E28" s="3">
        <f>23.2+10.2</f>
        <v>33.4</v>
      </c>
      <c r="G28" s="5"/>
    </row>
    <row r="29" spans="1:7" x14ac:dyDescent="0.2">
      <c r="A29" t="s">
        <v>38</v>
      </c>
      <c r="B29" s="3">
        <f>7.8+22.5</f>
        <v>30.3</v>
      </c>
      <c r="C29" s="3">
        <v>14.4</v>
      </c>
      <c r="D29">
        <f t="shared" si="0"/>
        <v>44.7</v>
      </c>
      <c r="E29" s="3">
        <f>23.2+10.2</f>
        <v>33.4</v>
      </c>
      <c r="G29" s="5"/>
    </row>
    <row r="30" spans="1:7" x14ac:dyDescent="0.2">
      <c r="A30" t="s">
        <v>39</v>
      </c>
      <c r="B30" s="3">
        <v>173.3</v>
      </c>
      <c r="C30" s="3">
        <v>14.4</v>
      </c>
      <c r="D30">
        <f t="shared" si="0"/>
        <v>187.70000000000002</v>
      </c>
      <c r="E30" s="4"/>
      <c r="G30" s="5"/>
    </row>
    <row r="31" spans="1:7" x14ac:dyDescent="0.2">
      <c r="A31" t="s">
        <v>40</v>
      </c>
      <c r="B31" s="3">
        <f>24.3+20.8</f>
        <v>45.1</v>
      </c>
      <c r="C31" s="3">
        <v>14.4</v>
      </c>
      <c r="D31">
        <f t="shared" si="0"/>
        <v>59.5</v>
      </c>
      <c r="E31" s="4"/>
      <c r="G31" s="5"/>
    </row>
    <row r="32" spans="1:7" x14ac:dyDescent="0.2">
      <c r="A32" t="s">
        <v>41</v>
      </c>
      <c r="B32" s="3">
        <v>158.4</v>
      </c>
      <c r="C32" s="3">
        <v>14.4</v>
      </c>
      <c r="D32">
        <f t="shared" si="0"/>
        <v>172.8</v>
      </c>
      <c r="E32" s="4"/>
      <c r="G32" s="5"/>
    </row>
    <row r="33" spans="1:7" x14ac:dyDescent="0.2">
      <c r="A33" t="s">
        <v>42</v>
      </c>
      <c r="B33" s="3">
        <f>24+21.1</f>
        <v>45.1</v>
      </c>
      <c r="C33" s="3">
        <v>14.4</v>
      </c>
      <c r="D33">
        <f t="shared" si="0"/>
        <v>59.5</v>
      </c>
      <c r="E33" s="4"/>
      <c r="G33" s="5"/>
    </row>
    <row r="34" spans="1:7" x14ac:dyDescent="0.2">
      <c r="A34" t="s">
        <v>43</v>
      </c>
      <c r="B34" s="3">
        <v>142.69999999999999</v>
      </c>
      <c r="C34" s="3">
        <v>14.4</v>
      </c>
      <c r="D34">
        <f t="shared" ref="D34:D65" si="1">B34+C34</f>
        <v>157.1</v>
      </c>
      <c r="E34" s="4"/>
      <c r="G34" s="5"/>
    </row>
    <row r="35" spans="1:7" x14ac:dyDescent="0.2">
      <c r="A35" t="s">
        <v>44</v>
      </c>
      <c r="B35" s="3">
        <f>24+18.7</f>
        <v>42.7</v>
      </c>
      <c r="C35" s="3">
        <v>14.4</v>
      </c>
      <c r="D35">
        <f t="shared" si="1"/>
        <v>57.1</v>
      </c>
      <c r="E35" s="4"/>
      <c r="G35" s="5"/>
    </row>
    <row r="36" spans="1:7" x14ac:dyDescent="0.2">
      <c r="A36" t="s">
        <v>45</v>
      </c>
      <c r="B36" s="3">
        <v>108.9</v>
      </c>
      <c r="C36" s="3">
        <v>14.4</v>
      </c>
      <c r="D36">
        <f t="shared" si="1"/>
        <v>123.30000000000001</v>
      </c>
      <c r="E36" s="4"/>
      <c r="G36" s="5"/>
    </row>
    <row r="37" spans="1:7" x14ac:dyDescent="0.2">
      <c r="A37" t="s">
        <v>46</v>
      </c>
      <c r="B37" s="3">
        <f>24.2+16.3</f>
        <v>40.5</v>
      </c>
      <c r="C37" s="3">
        <v>14.4</v>
      </c>
      <c r="D37">
        <f t="shared" si="1"/>
        <v>54.9</v>
      </c>
      <c r="E37" s="4"/>
      <c r="G37" s="5"/>
    </row>
    <row r="38" spans="1:7" x14ac:dyDescent="0.2">
      <c r="A38" t="s">
        <v>47</v>
      </c>
      <c r="B38" s="3">
        <v>75.8</v>
      </c>
      <c r="C38" s="3">
        <v>14.4</v>
      </c>
      <c r="D38">
        <f t="shared" si="1"/>
        <v>90.2</v>
      </c>
      <c r="E38" s="4"/>
      <c r="G38" s="5"/>
    </row>
    <row r="39" spans="1:7" x14ac:dyDescent="0.2">
      <c r="A39" t="s">
        <v>48</v>
      </c>
      <c r="B39" s="3">
        <f>23.8+13.7</f>
        <v>37.5</v>
      </c>
      <c r="C39" s="3">
        <v>14.4</v>
      </c>
      <c r="D39">
        <f t="shared" si="1"/>
        <v>51.9</v>
      </c>
      <c r="E39" s="4"/>
      <c r="G39" s="5"/>
    </row>
    <row r="40" spans="1:7" x14ac:dyDescent="0.2">
      <c r="A40" t="s">
        <v>49</v>
      </c>
      <c r="B40" s="3">
        <v>64.599999999999994</v>
      </c>
      <c r="C40" s="3">
        <v>14.4</v>
      </c>
      <c r="D40">
        <f t="shared" si="1"/>
        <v>79</v>
      </c>
      <c r="E40" s="4"/>
      <c r="G40" s="5"/>
    </row>
    <row r="41" spans="1:7" x14ac:dyDescent="0.2">
      <c r="A41" t="s">
        <v>50</v>
      </c>
      <c r="B41" s="3">
        <f>23.4+11</f>
        <v>34.4</v>
      </c>
      <c r="C41" s="3">
        <v>14.4</v>
      </c>
      <c r="D41">
        <f t="shared" si="1"/>
        <v>48.8</v>
      </c>
      <c r="E41" s="4"/>
      <c r="G41" s="5"/>
    </row>
    <row r="42" spans="1:7" x14ac:dyDescent="0.2">
      <c r="A42" t="s">
        <v>51</v>
      </c>
      <c r="B42" s="3">
        <f>33.9+31.1</f>
        <v>65</v>
      </c>
      <c r="C42" s="3">
        <v>14.4</v>
      </c>
      <c r="D42">
        <f t="shared" si="1"/>
        <v>79.400000000000006</v>
      </c>
      <c r="E42" s="4"/>
      <c r="G42" s="5"/>
    </row>
    <row r="43" spans="1:7" x14ac:dyDescent="0.2">
      <c r="A43" t="s">
        <v>52</v>
      </c>
      <c r="B43" s="3">
        <f>23.2+10.2</f>
        <v>33.4</v>
      </c>
      <c r="C43" s="3">
        <v>14.4</v>
      </c>
      <c r="D43">
        <f t="shared" si="1"/>
        <v>47.8</v>
      </c>
      <c r="E43" s="4"/>
      <c r="G43" s="5"/>
    </row>
    <row r="44" spans="1:7" x14ac:dyDescent="0.2">
      <c r="A44" t="s">
        <v>53</v>
      </c>
      <c r="B44" s="3">
        <f>23.2+10.2</f>
        <v>33.4</v>
      </c>
      <c r="C44" s="3">
        <v>14.4</v>
      </c>
      <c r="D44">
        <f t="shared" si="1"/>
        <v>47.8</v>
      </c>
      <c r="E44" s="4"/>
      <c r="G44" s="5"/>
    </row>
    <row r="45" spans="1:7" x14ac:dyDescent="0.2">
      <c r="A45" t="s">
        <v>54</v>
      </c>
      <c r="B45" s="3">
        <v>128.30000000000001</v>
      </c>
      <c r="C45" s="3">
        <v>19.399999999999999</v>
      </c>
      <c r="D45">
        <f t="shared" si="1"/>
        <v>147.70000000000002</v>
      </c>
      <c r="E45" s="3">
        <v>127.8</v>
      </c>
      <c r="G45" s="5"/>
    </row>
    <row r="46" spans="1:7" x14ac:dyDescent="0.2">
      <c r="A46" t="s">
        <v>55</v>
      </c>
      <c r="B46" s="3">
        <f>23.4+14.1</f>
        <v>37.5</v>
      </c>
      <c r="C46" s="3">
        <v>19.399999999999999</v>
      </c>
      <c r="D46">
        <f t="shared" si="1"/>
        <v>56.9</v>
      </c>
      <c r="E46" s="3">
        <f>24.4+13.1</f>
        <v>37.5</v>
      </c>
      <c r="G46" s="5"/>
    </row>
    <row r="47" spans="1:7" x14ac:dyDescent="0.2">
      <c r="A47" t="s">
        <v>56</v>
      </c>
      <c r="B47" s="3">
        <v>103.7</v>
      </c>
      <c r="C47" s="3">
        <v>19.399999999999999</v>
      </c>
      <c r="D47">
        <f t="shared" si="1"/>
        <v>123.1</v>
      </c>
      <c r="E47" s="3">
        <v>104.2</v>
      </c>
      <c r="G47" s="5"/>
    </row>
    <row r="48" spans="1:7" x14ac:dyDescent="0.2">
      <c r="A48" t="s">
        <v>57</v>
      </c>
      <c r="B48" s="3">
        <f>22.3+9.7</f>
        <v>32</v>
      </c>
      <c r="C48" s="3">
        <v>19.399999999999999</v>
      </c>
      <c r="D48">
        <f t="shared" si="1"/>
        <v>51.4</v>
      </c>
      <c r="E48" s="3">
        <f>22.4+9.5</f>
        <v>31.9</v>
      </c>
      <c r="G48" s="5"/>
    </row>
    <row r="49" spans="1:7" x14ac:dyDescent="0.2">
      <c r="A49" t="s">
        <v>58</v>
      </c>
      <c r="B49" s="3">
        <v>90.8</v>
      </c>
      <c r="C49" s="3">
        <v>19.399999999999999</v>
      </c>
      <c r="D49">
        <f t="shared" si="1"/>
        <v>110.19999999999999</v>
      </c>
      <c r="E49" s="3">
        <v>91.7</v>
      </c>
      <c r="G49" s="5"/>
    </row>
    <row r="50" spans="1:7" x14ac:dyDescent="0.2">
      <c r="A50" t="s">
        <v>59</v>
      </c>
      <c r="B50" s="3">
        <f>23.3+11.8</f>
        <v>35.1</v>
      </c>
      <c r="C50" s="3">
        <v>19.399999999999999</v>
      </c>
      <c r="D50">
        <f t="shared" si="1"/>
        <v>54.5</v>
      </c>
      <c r="E50" s="3">
        <f>23+10.8</f>
        <v>33.799999999999997</v>
      </c>
      <c r="G50" s="5"/>
    </row>
    <row r="51" spans="1:7" x14ac:dyDescent="0.2">
      <c r="A51" t="s">
        <v>60</v>
      </c>
      <c r="B51" s="3">
        <v>65.3</v>
      </c>
      <c r="C51" s="3">
        <v>19.399999999999999</v>
      </c>
      <c r="D51">
        <f t="shared" si="1"/>
        <v>84.699999999999989</v>
      </c>
      <c r="E51" s="3">
        <v>67</v>
      </c>
      <c r="G51" s="5"/>
    </row>
    <row r="52" spans="1:7" x14ac:dyDescent="0.2">
      <c r="A52" t="s">
        <v>61</v>
      </c>
      <c r="B52" s="3">
        <f>22.2+8.6</f>
        <v>30.799999999999997</v>
      </c>
      <c r="C52" s="3">
        <v>19.399999999999999</v>
      </c>
      <c r="D52">
        <f t="shared" si="1"/>
        <v>50.199999999999996</v>
      </c>
      <c r="E52" s="3">
        <f>22.5+9.3</f>
        <v>31.8</v>
      </c>
      <c r="G52" s="5"/>
    </row>
    <row r="53" spans="1:7" x14ac:dyDescent="0.2">
      <c r="A53" t="s">
        <v>62</v>
      </c>
      <c r="B53" s="3">
        <v>57.8</v>
      </c>
      <c r="C53" s="3">
        <v>19.399999999999999</v>
      </c>
      <c r="D53">
        <f t="shared" si="1"/>
        <v>77.199999999999989</v>
      </c>
      <c r="E53" s="3">
        <v>56.5</v>
      </c>
      <c r="G53" s="5"/>
    </row>
    <row r="54" spans="1:7" x14ac:dyDescent="0.2">
      <c r="A54" t="s">
        <v>63</v>
      </c>
      <c r="B54" s="3">
        <f>21.9+7.7</f>
        <v>29.599999999999998</v>
      </c>
      <c r="C54" s="3">
        <v>19.399999999999999</v>
      </c>
      <c r="D54">
        <f t="shared" si="1"/>
        <v>49</v>
      </c>
      <c r="E54" s="3">
        <f>21.3+6.7</f>
        <v>28</v>
      </c>
      <c r="G54" s="5"/>
    </row>
    <row r="55" spans="1:7" x14ac:dyDescent="0.2">
      <c r="A55" t="s">
        <v>64</v>
      </c>
      <c r="B55" s="3">
        <f>33.8+25.3</f>
        <v>59.099999999999994</v>
      </c>
      <c r="C55" s="3">
        <v>19.399999999999999</v>
      </c>
      <c r="D55">
        <f t="shared" si="1"/>
        <v>78.5</v>
      </c>
      <c r="E55" s="3">
        <f>33.6+24.6</f>
        <v>58.2</v>
      </c>
      <c r="G55" s="5"/>
    </row>
    <row r="56" spans="1:7" x14ac:dyDescent="0.2">
      <c r="A56" t="s">
        <v>65</v>
      </c>
      <c r="B56" s="3">
        <f>21.7+7.4</f>
        <v>29.1</v>
      </c>
      <c r="C56" s="3">
        <v>19.399999999999999</v>
      </c>
      <c r="D56">
        <f t="shared" si="1"/>
        <v>48.5</v>
      </c>
      <c r="E56" s="3">
        <f>21.1+6.5</f>
        <v>27.6</v>
      </c>
      <c r="G56" s="5"/>
    </row>
    <row r="57" spans="1:7" x14ac:dyDescent="0.2">
      <c r="A57" t="s">
        <v>66</v>
      </c>
      <c r="B57" s="3">
        <f>33.8+25.3</f>
        <v>59.099999999999994</v>
      </c>
      <c r="C57" s="3">
        <v>19.399999999999999</v>
      </c>
      <c r="D57">
        <f t="shared" si="1"/>
        <v>78.5</v>
      </c>
      <c r="E57" s="3">
        <f>21.1+6.5</f>
        <v>27.6</v>
      </c>
      <c r="G57" s="5"/>
    </row>
    <row r="58" spans="1:7" x14ac:dyDescent="0.2">
      <c r="A58" t="s">
        <v>67</v>
      </c>
      <c r="B58" s="3">
        <f>21.7+7.4</f>
        <v>29.1</v>
      </c>
      <c r="C58" s="3">
        <v>19.399999999999999</v>
      </c>
      <c r="D58">
        <f t="shared" si="1"/>
        <v>48.5</v>
      </c>
      <c r="E58" s="4"/>
      <c r="G58" s="5"/>
    </row>
    <row r="59" spans="1:7" x14ac:dyDescent="0.2">
      <c r="A59" t="s">
        <v>68</v>
      </c>
      <c r="B59" s="3">
        <f>21.7+7.4</f>
        <v>29.1</v>
      </c>
      <c r="C59" s="3">
        <v>19.399999999999999</v>
      </c>
      <c r="D59">
        <f t="shared" si="1"/>
        <v>48.5</v>
      </c>
      <c r="E59" s="4"/>
      <c r="G59" s="5"/>
    </row>
    <row r="60" spans="1:7" x14ac:dyDescent="0.2">
      <c r="A60" t="s">
        <v>69</v>
      </c>
      <c r="B60" s="3">
        <f>21.7+7.4</f>
        <v>29.1</v>
      </c>
      <c r="C60" s="3">
        <v>19.399999999999999</v>
      </c>
      <c r="D60">
        <f t="shared" si="1"/>
        <v>48.5</v>
      </c>
      <c r="E60" s="4"/>
      <c r="G60" s="5"/>
    </row>
    <row r="61" spans="1:7" x14ac:dyDescent="0.2">
      <c r="A61" t="s">
        <v>70</v>
      </c>
      <c r="B61" s="3">
        <v>127.8</v>
      </c>
      <c r="C61" s="3">
        <v>19.399999999999999</v>
      </c>
      <c r="D61">
        <f t="shared" si="1"/>
        <v>147.19999999999999</v>
      </c>
      <c r="E61" s="4"/>
      <c r="G61" s="5"/>
    </row>
    <row r="62" spans="1:7" x14ac:dyDescent="0.2">
      <c r="A62" t="s">
        <v>71</v>
      </c>
      <c r="B62" s="3">
        <f>24.4+13.1</f>
        <v>37.5</v>
      </c>
      <c r="C62" s="3">
        <v>19.399999999999999</v>
      </c>
      <c r="D62">
        <f t="shared" si="1"/>
        <v>56.9</v>
      </c>
      <c r="E62" s="4"/>
      <c r="G62" s="5"/>
    </row>
    <row r="63" spans="1:7" x14ac:dyDescent="0.2">
      <c r="A63" t="s">
        <v>72</v>
      </c>
      <c r="B63" s="3">
        <v>104.2</v>
      </c>
      <c r="C63" s="3">
        <v>19.399999999999999</v>
      </c>
      <c r="D63">
        <f t="shared" si="1"/>
        <v>123.6</v>
      </c>
      <c r="E63" s="4"/>
      <c r="G63" s="5"/>
    </row>
    <row r="64" spans="1:7" x14ac:dyDescent="0.2">
      <c r="A64" t="s">
        <v>73</v>
      </c>
      <c r="B64" s="3">
        <f>22.4+9.5</f>
        <v>31.9</v>
      </c>
      <c r="C64" s="3">
        <v>19.399999999999999</v>
      </c>
      <c r="D64">
        <f t="shared" si="1"/>
        <v>51.3</v>
      </c>
      <c r="E64" s="4"/>
      <c r="G64" s="5"/>
    </row>
    <row r="65" spans="1:7" x14ac:dyDescent="0.2">
      <c r="A65" t="s">
        <v>74</v>
      </c>
      <c r="B65" s="3">
        <v>91.7</v>
      </c>
      <c r="C65" s="3">
        <v>19.399999999999999</v>
      </c>
      <c r="D65">
        <f t="shared" si="1"/>
        <v>111.1</v>
      </c>
      <c r="E65" s="4"/>
      <c r="G65" s="5"/>
    </row>
    <row r="66" spans="1:7" x14ac:dyDescent="0.2">
      <c r="A66" t="s">
        <v>75</v>
      </c>
      <c r="B66" s="3">
        <f>23+10.8</f>
        <v>33.799999999999997</v>
      </c>
      <c r="C66" s="3">
        <v>19.399999999999999</v>
      </c>
      <c r="D66">
        <f t="shared" ref="D66:D73" si="2">B66+C66</f>
        <v>53.199999999999996</v>
      </c>
      <c r="E66" s="4"/>
      <c r="G66" s="5"/>
    </row>
    <row r="67" spans="1:7" x14ac:dyDescent="0.2">
      <c r="A67" t="s">
        <v>76</v>
      </c>
      <c r="B67" s="3">
        <v>67</v>
      </c>
      <c r="C67" s="3">
        <v>19.399999999999999</v>
      </c>
      <c r="D67">
        <f t="shared" si="2"/>
        <v>86.4</v>
      </c>
      <c r="E67" s="4"/>
      <c r="G67" s="5"/>
    </row>
    <row r="68" spans="1:7" x14ac:dyDescent="0.2">
      <c r="A68" t="s">
        <v>77</v>
      </c>
      <c r="B68" s="3">
        <f>22.5+9.3</f>
        <v>31.8</v>
      </c>
      <c r="C68" s="3">
        <v>19.399999999999999</v>
      </c>
      <c r="D68">
        <f t="shared" si="2"/>
        <v>51.2</v>
      </c>
      <c r="E68" s="4"/>
      <c r="G68" s="5"/>
    </row>
    <row r="69" spans="1:7" x14ac:dyDescent="0.2">
      <c r="A69" t="s">
        <v>78</v>
      </c>
      <c r="B69" s="3">
        <v>56.5</v>
      </c>
      <c r="C69" s="3">
        <v>19.399999999999999</v>
      </c>
      <c r="D69">
        <f t="shared" si="2"/>
        <v>75.900000000000006</v>
      </c>
      <c r="E69" s="4"/>
      <c r="G69" s="5"/>
    </row>
    <row r="70" spans="1:7" x14ac:dyDescent="0.2">
      <c r="A70" t="s">
        <v>79</v>
      </c>
      <c r="B70" s="3">
        <f>21.3+6.7</f>
        <v>28</v>
      </c>
      <c r="C70" s="3">
        <v>19.399999999999999</v>
      </c>
      <c r="D70">
        <f t="shared" si="2"/>
        <v>47.4</v>
      </c>
      <c r="E70" s="4"/>
      <c r="G70" s="5"/>
    </row>
    <row r="71" spans="1:7" x14ac:dyDescent="0.2">
      <c r="A71" t="s">
        <v>80</v>
      </c>
      <c r="B71" s="3">
        <f>33.6+24.6</f>
        <v>58.2</v>
      </c>
      <c r="C71" s="3">
        <v>19.399999999999999</v>
      </c>
      <c r="D71">
        <f t="shared" si="2"/>
        <v>77.599999999999994</v>
      </c>
      <c r="E71" s="4"/>
      <c r="G71" s="5"/>
    </row>
    <row r="72" spans="1:7" x14ac:dyDescent="0.2">
      <c r="A72" t="s">
        <v>81</v>
      </c>
      <c r="B72" s="3">
        <f>21.1+6.5</f>
        <v>27.6</v>
      </c>
      <c r="C72" s="3">
        <v>19.399999999999999</v>
      </c>
      <c r="D72">
        <f t="shared" si="2"/>
        <v>47</v>
      </c>
      <c r="E72" s="4"/>
      <c r="G72" s="5"/>
    </row>
    <row r="73" spans="1:7" x14ac:dyDescent="0.2">
      <c r="A73" t="s">
        <v>82</v>
      </c>
      <c r="B73" s="3">
        <f>21.1+6.5</f>
        <v>27.6</v>
      </c>
      <c r="C73" s="3">
        <v>19.399999999999999</v>
      </c>
      <c r="D73">
        <f t="shared" si="2"/>
        <v>47</v>
      </c>
      <c r="E73" s="4"/>
      <c r="G73" s="5"/>
    </row>
    <row r="74" spans="1:7" x14ac:dyDescent="0.2">
      <c r="E74" s="4"/>
      <c r="G74" s="5"/>
    </row>
    <row r="82" spans="8:8" x14ac:dyDescent="0.2">
      <c r="H82" s="5"/>
    </row>
  </sheetData>
  <conditionalFormatting sqref="D2:D73 G3:G74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402E51-4559-764A-BFE7-1D2AA0208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Energieverbruik_woningen__wonin</vt:lpstr>
      <vt:lpstr>Sheet1</vt:lpstr>
      <vt:lpstr>0_EnergyDemandIntensity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Kopp</dc:creator>
  <cp:lastModifiedBy>Mira Kopp</cp:lastModifiedBy>
  <dcterms:created xsi:type="dcterms:W3CDTF">2024-07-03T13:55:51Z</dcterms:created>
  <dcterms:modified xsi:type="dcterms:W3CDTF">2024-08-08T09:47:35Z</dcterms:modified>
</cp:coreProperties>
</file>