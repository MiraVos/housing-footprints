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ira/Documents/IE/REAL UTOPIAN HOUSING/Post-GrowthHousingScenarios/Code/housing-footprints/data_input/"/>
    </mc:Choice>
  </mc:AlternateContent>
  <xr:revisionPtr revIDLastSave="0" documentId="13_ncr:1_{A6A3E593-33EB-4540-B39B-01C96BD18665}" xr6:coauthVersionLast="47" xr6:coauthVersionMax="47" xr10:uidLastSave="{00000000-0000-0000-0000-000000000000}"/>
  <bookViews>
    <workbookView xWindow="10660" yWindow="500" windowWidth="14940" windowHeight="15500" tabRatio="902" activeTab="2" xr2:uid="{501A363E-84AB-4328-B285-EDCE5CC29F1E}"/>
  </bookViews>
  <sheets>
    <sheet name="Content" sheetId="24" r:id="rId1"/>
    <sheet name="meta" sheetId="31" r:id="rId2"/>
    <sheet name="mi_pre2018" sheetId="32" r:id="rId3"/>
    <sheet name="MI_2018" sheetId="22" r:id="rId4"/>
    <sheet name="MI_2018-2050" sheetId="23" r:id="rId5"/>
    <sheet name="Share_of_insulation_materials" sheetId="27" r:id="rId6"/>
    <sheet name="GHG_Primary_production" sheetId="2" r:id="rId7"/>
    <sheet name="GHG_Secondary_production" sheetId="1" r:id="rId8"/>
    <sheet name="LCI_comparison" sheetId="14" r:id="rId9"/>
    <sheet name="RR_MRC" sheetId="4" r:id="rId10"/>
    <sheet name="UFA" sheetId="29" r:id="rId11"/>
    <sheet name="Stock_2018_UFA" sheetId="30" r:id="rId12"/>
    <sheet name="Stock_2018" sheetId="12" r:id="rId13"/>
    <sheet name="Stock_2050" sheetId="13" r:id="rId14"/>
    <sheet name="Stock_per_capita" sheetId="28" r:id="rId15"/>
    <sheet name="Demand_outflow_recycled" sheetId="11" r:id="rId16"/>
    <sheet name="Demand_outflow_urbanization" sheetId="18" r:id="rId17"/>
    <sheet name="Demolition" sheetId="6" r:id="rId18"/>
    <sheet name="Primary_secondary_demand" sheetId="8" r:id="rId19"/>
    <sheet name="Demand" sheetId="5" r:id="rId20"/>
    <sheet name="GHG" sheetId="9" r:id="rId21"/>
    <sheet name="Land_occupation" sheetId="21" r:id="rId22"/>
    <sheet name="Land_use" sheetId="15" r:id="rId23"/>
    <sheet name="BAU_RR" sheetId="7" r:id="rId24"/>
    <sheet name="Current_best_RR" sheetId="19" r:id="rId25"/>
    <sheet name="Current_best_RR_II" sheetId="20" r:id="rId26"/>
    <sheet name="Max_RR" sheetId="25" r:id="rId27"/>
  </sheets>
  <externalReferences>
    <externalReference r:id="rId2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32" l="1" a="1"/>
  <c r="C29" i="32" s="1"/>
  <c r="C28" i="32" a="1"/>
  <c r="C28" i="32" s="1"/>
  <c r="C25" i="32" a="1"/>
  <c r="C25" i="32" s="1"/>
  <c r="C24" i="32" a="1"/>
  <c r="C24" i="32" s="1"/>
  <c r="C21" i="32" a="1"/>
  <c r="C21" i="32" s="1"/>
  <c r="C20" i="32" a="1"/>
  <c r="C20" i="32" s="1"/>
  <c r="C17" i="32" a="1"/>
  <c r="C17" i="32" s="1"/>
  <c r="C16" i="32" a="1"/>
  <c r="C16" i="32" s="1"/>
  <c r="C13" i="32" a="1"/>
  <c r="C13" i="32" s="1"/>
  <c r="C12" i="32" a="1"/>
  <c r="C12" i="32" s="1"/>
  <c r="C9" i="32" a="1"/>
  <c r="C9" i="32" s="1"/>
  <c r="C8" i="32" a="1"/>
  <c r="C8" i="32" s="1"/>
  <c r="C5" i="32" a="1"/>
  <c r="C5" i="32" s="1"/>
  <c r="C4" i="32" a="1"/>
  <c r="C4" i="32" s="1"/>
  <c r="E3" i="30"/>
  <c r="C28" i="30"/>
  <c r="C29" i="30"/>
  <c r="D29" i="30" s="1"/>
  <c r="C30" i="30"/>
  <c r="D30" i="30" s="1"/>
  <c r="C27" i="30"/>
  <c r="E27" i="30" s="1"/>
  <c r="C24" i="30"/>
  <c r="D24" i="30" s="1"/>
  <c r="C25" i="30"/>
  <c r="D25" i="30" s="1"/>
  <c r="C26" i="30"/>
  <c r="D26" i="30" s="1"/>
  <c r="C23" i="30"/>
  <c r="E23" i="30" s="1"/>
  <c r="C20" i="30"/>
  <c r="C21" i="30"/>
  <c r="D21" i="30" s="1"/>
  <c r="C22" i="30"/>
  <c r="D22" i="30" s="1"/>
  <c r="C19" i="30"/>
  <c r="D19" i="30" s="1"/>
  <c r="C16" i="30"/>
  <c r="D16" i="30" s="1"/>
  <c r="C17" i="30"/>
  <c r="D17" i="30" s="1"/>
  <c r="C18" i="30"/>
  <c r="D18" i="30" s="1"/>
  <c r="C15" i="30"/>
  <c r="E15" i="30" s="1"/>
  <c r="C12" i="30"/>
  <c r="D12" i="30" s="1"/>
  <c r="C13" i="30"/>
  <c r="D13" i="30" s="1"/>
  <c r="C14" i="30"/>
  <c r="D14" i="30" s="1"/>
  <c r="C11" i="30"/>
  <c r="E11" i="30" s="1"/>
  <c r="C7" i="30"/>
  <c r="D7" i="30" s="1"/>
  <c r="C8" i="30"/>
  <c r="C9" i="30"/>
  <c r="D9" i="30" s="1"/>
  <c r="C10" i="30"/>
  <c r="D10" i="30" s="1"/>
  <c r="C4" i="30"/>
  <c r="D4" i="30" s="1"/>
  <c r="C5" i="30"/>
  <c r="D5" i="30" s="1"/>
  <c r="C6" i="30"/>
  <c r="D6" i="30" s="1"/>
  <c r="C3" i="30"/>
  <c r="D3" i="30" s="1"/>
  <c r="G4" i="8"/>
  <c r="H9" i="21"/>
  <c r="H3" i="21"/>
  <c r="H4" i="21"/>
  <c r="I4" i="21"/>
  <c r="H5" i="21"/>
  <c r="I5" i="21"/>
  <c r="H8" i="21"/>
  <c r="I8" i="21"/>
  <c r="I9" i="21"/>
  <c r="H10" i="21"/>
  <c r="I10" i="21"/>
  <c r="H12" i="21"/>
  <c r="I12" i="21"/>
  <c r="H13" i="21"/>
  <c r="I13" i="21"/>
  <c r="H14" i="21"/>
  <c r="I14" i="21"/>
  <c r="H16" i="21"/>
  <c r="I16" i="21"/>
  <c r="I3" i="21"/>
  <c r="G4" i="21"/>
  <c r="G5" i="21"/>
  <c r="G8" i="21"/>
  <c r="G9" i="21"/>
  <c r="G10" i="21"/>
  <c r="G12" i="21"/>
  <c r="G13" i="21"/>
  <c r="G14" i="21"/>
  <c r="G16" i="21"/>
  <c r="G3" i="21"/>
  <c r="H17" i="21"/>
  <c r="L19" i="2"/>
  <c r="M13" i="2"/>
  <c r="M11" i="2"/>
  <c r="M10" i="2"/>
  <c r="D8" i="28"/>
  <c r="D8" i="30" l="1"/>
  <c r="D23" i="30"/>
  <c r="D11" i="30"/>
  <c r="D15" i="30"/>
  <c r="D27" i="30"/>
  <c r="L17" i="21"/>
  <c r="D28" i="30"/>
  <c r="E7" i="30"/>
  <c r="E19" i="30"/>
  <c r="D20" i="30"/>
  <c r="L4" i="21"/>
  <c r="G17" i="21"/>
  <c r="K17" i="21" s="1"/>
  <c r="I17" i="21"/>
  <c r="M10" i="21" s="1"/>
  <c r="L12" i="21"/>
  <c r="L9" i="21"/>
  <c r="L8" i="21"/>
  <c r="L5" i="21"/>
  <c r="L3" i="21"/>
  <c r="L16" i="21"/>
  <c r="L14" i="21"/>
  <c r="L13" i="21"/>
  <c r="L10" i="21"/>
  <c r="K13" i="21"/>
  <c r="K12" i="21"/>
  <c r="E8" i="28"/>
  <c r="F8" i="28" s="1"/>
  <c r="E16" i="28"/>
  <c r="F16" i="28" s="1"/>
  <c r="E17" i="28"/>
  <c r="F17" i="28" s="1"/>
  <c r="E13" i="28"/>
  <c r="F13" i="28" s="1"/>
  <c r="E14" i="28"/>
  <c r="F14" i="28" s="1"/>
  <c r="E15" i="28"/>
  <c r="F15" i="28" s="1"/>
  <c r="E12" i="28"/>
  <c r="F12" i="28" s="1"/>
  <c r="E9" i="28"/>
  <c r="F9" i="28" s="1"/>
  <c r="E10" i="28"/>
  <c r="F10" i="28" s="1"/>
  <c r="E11" i="28"/>
  <c r="F11" i="28" s="1"/>
  <c r="D10" i="28"/>
  <c r="D11" i="28"/>
  <c r="D9" i="28"/>
  <c r="M8" i="21" l="1"/>
  <c r="K5" i="21"/>
  <c r="M14" i="21"/>
  <c r="M12" i="21"/>
  <c r="M9" i="21"/>
  <c r="M16" i="21"/>
  <c r="K8" i="21"/>
  <c r="M17" i="21"/>
  <c r="M13" i="21"/>
  <c r="K4" i="21"/>
  <c r="K16" i="21"/>
  <c r="K10" i="21"/>
  <c r="K14" i="21"/>
  <c r="M4" i="21"/>
  <c r="M5" i="21"/>
  <c r="K9" i="21"/>
  <c r="M3" i="21"/>
  <c r="K3" i="21"/>
  <c r="H5" i="27"/>
  <c r="Y7" i="8" l="1"/>
  <c r="X7" i="8"/>
  <c r="W7" i="8"/>
  <c r="V7" i="8"/>
  <c r="U7" i="8"/>
  <c r="T7" i="8"/>
  <c r="R7" i="8"/>
  <c r="Q7" i="8"/>
  <c r="P7" i="8"/>
  <c r="O7" i="8"/>
  <c r="N7" i="8"/>
  <c r="M7" i="8"/>
  <c r="L7" i="8"/>
  <c r="K7" i="8"/>
  <c r="I7" i="8"/>
  <c r="H7" i="8"/>
  <c r="G7" i="8"/>
  <c r="F7" i="8"/>
  <c r="E7" i="8"/>
  <c r="D7" i="8"/>
  <c r="Y6" i="8"/>
  <c r="X6" i="8"/>
  <c r="W6" i="8"/>
  <c r="V6" i="8"/>
  <c r="U6" i="8"/>
  <c r="T6" i="8"/>
  <c r="R6" i="8"/>
  <c r="Q6" i="8"/>
  <c r="O6" i="8"/>
  <c r="N6" i="8"/>
  <c r="K6" i="8"/>
  <c r="G6" i="8"/>
  <c r="F6" i="8"/>
  <c r="E6" i="8"/>
  <c r="Y5" i="8"/>
  <c r="X5" i="8"/>
  <c r="W5" i="8"/>
  <c r="V5" i="8"/>
  <c r="U5" i="8"/>
  <c r="T5" i="8"/>
  <c r="R5" i="8"/>
  <c r="Q5" i="8"/>
  <c r="P5" i="8"/>
  <c r="O5" i="8"/>
  <c r="N5" i="8"/>
  <c r="M5" i="8"/>
  <c r="L5" i="8"/>
  <c r="K5" i="8"/>
  <c r="I5" i="8"/>
  <c r="H5" i="8"/>
  <c r="G5" i="8"/>
  <c r="F5" i="8"/>
  <c r="E5" i="8"/>
  <c r="D5" i="8"/>
  <c r="AA5" i="8" s="1"/>
  <c r="Y4" i="8"/>
  <c r="X4" i="8"/>
  <c r="W4" i="8"/>
  <c r="V4" i="8"/>
  <c r="U4" i="8"/>
  <c r="T4" i="8"/>
  <c r="R4" i="8"/>
  <c r="Q4" i="8"/>
  <c r="O4" i="8"/>
  <c r="N4" i="8"/>
  <c r="L4" i="8"/>
  <c r="K4" i="8"/>
  <c r="F4" i="8"/>
  <c r="E4" i="8"/>
  <c r="Y3" i="8"/>
  <c r="X3" i="8"/>
  <c r="W3" i="8"/>
  <c r="V3" i="8"/>
  <c r="U3" i="8"/>
  <c r="T3" i="8"/>
  <c r="R3" i="8"/>
  <c r="Q3" i="8"/>
  <c r="P3" i="8"/>
  <c r="O3" i="8"/>
  <c r="N3" i="8"/>
  <c r="M3" i="8"/>
  <c r="L3" i="8"/>
  <c r="K3" i="8"/>
  <c r="J3" i="8"/>
  <c r="I3" i="8"/>
  <c r="H3" i="8"/>
  <c r="G3" i="8"/>
  <c r="F3" i="8"/>
  <c r="E3" i="8"/>
  <c r="D3" i="8"/>
  <c r="Y2" i="8"/>
  <c r="X2" i="8"/>
  <c r="W2" i="8"/>
  <c r="V2" i="8"/>
  <c r="U2" i="8"/>
  <c r="T2" i="8"/>
  <c r="R2" i="8"/>
  <c r="Q2" i="8"/>
  <c r="O2" i="8"/>
  <c r="N2" i="8"/>
  <c r="M2" i="8"/>
  <c r="L2" i="8"/>
  <c r="K2" i="8"/>
  <c r="J2" i="8"/>
  <c r="I2" i="8"/>
  <c r="H2" i="8"/>
  <c r="G2" i="8"/>
  <c r="F2" i="8"/>
  <c r="E2" i="8"/>
  <c r="O45" i="11"/>
  <c r="O42" i="11"/>
  <c r="O39" i="11"/>
  <c r="M45" i="11"/>
  <c r="M42" i="11"/>
  <c r="M39" i="11"/>
  <c r="L45" i="11"/>
  <c r="L42" i="11"/>
  <c r="L39" i="11"/>
  <c r="Q34" i="11"/>
  <c r="Q31" i="11"/>
  <c r="Q28" i="11"/>
  <c r="P34" i="11"/>
  <c r="P31" i="11"/>
  <c r="P28" i="11"/>
  <c r="O28" i="11"/>
  <c r="N34" i="11"/>
  <c r="N31" i="11"/>
  <c r="N28" i="11"/>
  <c r="M34" i="11"/>
  <c r="M31" i="11"/>
  <c r="M28" i="11"/>
  <c r="L34" i="11"/>
  <c r="L31" i="11"/>
  <c r="L28" i="11"/>
  <c r="K34" i="11"/>
  <c r="K31" i="11"/>
  <c r="K28" i="11"/>
  <c r="J34" i="11"/>
  <c r="J31" i="11"/>
  <c r="J28" i="11"/>
  <c r="I34" i="11"/>
  <c r="I31" i="11"/>
  <c r="I28" i="11"/>
  <c r="H34" i="11"/>
  <c r="H31" i="11"/>
  <c r="H28" i="11"/>
  <c r="G34" i="11"/>
  <c r="G31" i="11"/>
  <c r="G28" i="11"/>
  <c r="O34" i="11"/>
  <c r="O31" i="11"/>
  <c r="T44" i="11"/>
  <c r="S44" i="11"/>
  <c r="T41" i="11"/>
  <c r="S41" i="11"/>
  <c r="T38" i="11"/>
  <c r="S38" i="11"/>
  <c r="AA3" i="8" l="1"/>
  <c r="AA7" i="8"/>
  <c r="Q45" i="11"/>
  <c r="P45" i="11"/>
  <c r="N45" i="11"/>
  <c r="K45" i="11"/>
  <c r="J45" i="11"/>
  <c r="I45" i="11"/>
  <c r="H45" i="11"/>
  <c r="G45" i="11"/>
  <c r="F45" i="11"/>
  <c r="S45" i="11" s="1"/>
  <c r="E45" i="11"/>
  <c r="D45" i="11"/>
  <c r="Q42" i="11"/>
  <c r="P42" i="11"/>
  <c r="N42" i="11"/>
  <c r="K42" i="11"/>
  <c r="J42" i="11"/>
  <c r="I42" i="11"/>
  <c r="H42" i="11"/>
  <c r="G42" i="11"/>
  <c r="F42" i="11"/>
  <c r="E42" i="11"/>
  <c r="D42" i="11"/>
  <c r="Q39" i="11"/>
  <c r="P39" i="11"/>
  <c r="N39" i="11"/>
  <c r="K39" i="11"/>
  <c r="J39" i="11"/>
  <c r="I39" i="11"/>
  <c r="H39" i="11"/>
  <c r="G39" i="11"/>
  <c r="F39" i="11"/>
  <c r="E39" i="11"/>
  <c r="D39" i="11"/>
  <c r="U39" i="11" l="1"/>
  <c r="T39" i="11"/>
  <c r="S39" i="11"/>
  <c r="U42" i="11"/>
  <c r="T42" i="11"/>
  <c r="S42" i="11"/>
  <c r="T45" i="11"/>
  <c r="U45" i="11"/>
  <c r="F34" i="11"/>
  <c r="E34" i="11"/>
  <c r="D34" i="11"/>
  <c r="F31" i="11"/>
  <c r="E31" i="11"/>
  <c r="D31" i="11"/>
  <c r="F28" i="11"/>
  <c r="E28" i="11"/>
  <c r="D28" i="11"/>
  <c r="C34" i="11"/>
  <c r="C33" i="11"/>
  <c r="C32" i="11"/>
  <c r="B32" i="11"/>
  <c r="C31" i="11"/>
  <c r="C30" i="11"/>
  <c r="C29" i="11"/>
  <c r="B29" i="11"/>
  <c r="C28" i="11"/>
  <c r="C27" i="11"/>
  <c r="C26" i="11"/>
  <c r="B26" i="11"/>
  <c r="W20" i="8"/>
  <c r="V20" i="8"/>
  <c r="U20" i="8"/>
  <c r="T20" i="8"/>
  <c r="V19" i="8"/>
  <c r="U19" i="8"/>
  <c r="T19" i="8"/>
  <c r="V18" i="8"/>
  <c r="U18" i="8"/>
  <c r="T18" i="8"/>
  <c r="S34" i="11" l="1"/>
  <c r="W34" i="11" s="1"/>
  <c r="S31" i="11"/>
  <c r="W31" i="11" s="1"/>
  <c r="S28" i="11"/>
  <c r="D6" i="8"/>
  <c r="D4" i="8"/>
  <c r="D2" i="8"/>
  <c r="AA2" i="8" s="1"/>
  <c r="W28" i="11" l="1"/>
  <c r="S28" i="20"/>
  <c r="S36" i="20"/>
  <c r="T36" i="20" s="1"/>
  <c r="S35" i="20"/>
  <c r="S34" i="20"/>
  <c r="S33" i="20"/>
  <c r="S32" i="20"/>
  <c r="S31" i="20"/>
  <c r="T33" i="20" s="1"/>
  <c r="S30" i="20"/>
  <c r="T30" i="20" s="1"/>
  <c r="S29" i="20"/>
  <c r="N23" i="20"/>
  <c r="J23" i="20"/>
  <c r="L22" i="20"/>
  <c r="H22" i="20"/>
  <c r="G20" i="20"/>
  <c r="N17" i="20"/>
  <c r="J17" i="20"/>
  <c r="F17" i="20"/>
  <c r="Y10" i="20"/>
  <c r="Q23" i="20" s="1"/>
  <c r="X10" i="20"/>
  <c r="W10" i="20"/>
  <c r="H23" i="20" s="1"/>
  <c r="V10" i="20"/>
  <c r="I23" i="20" s="1"/>
  <c r="U10" i="20"/>
  <c r="T10" i="20"/>
  <c r="P23" i="20" s="1"/>
  <c r="R10" i="20"/>
  <c r="Q10" i="20"/>
  <c r="K23" i="20" s="1"/>
  <c r="P10" i="20"/>
  <c r="O23" i="20" s="1"/>
  <c r="O10" i="20"/>
  <c r="L23" i="20" s="1"/>
  <c r="N10" i="20"/>
  <c r="M23" i="20" s="1"/>
  <c r="M10" i="20"/>
  <c r="L10" i="20"/>
  <c r="K10" i="20"/>
  <c r="I10" i="20"/>
  <c r="H10" i="20"/>
  <c r="G10" i="20"/>
  <c r="G23" i="20" s="1"/>
  <c r="F10" i="20"/>
  <c r="E23" i="20" s="1"/>
  <c r="E10" i="20"/>
  <c r="F23" i="20" s="1"/>
  <c r="D10" i="20"/>
  <c r="D23" i="20" s="1"/>
  <c r="Y7" i="20"/>
  <c r="Q20" i="20" s="1"/>
  <c r="X7" i="20"/>
  <c r="J20" i="20" s="1"/>
  <c r="W7" i="20"/>
  <c r="H20" i="20" s="1"/>
  <c r="V7" i="20"/>
  <c r="I20" i="20" s="1"/>
  <c r="U7" i="20"/>
  <c r="N20" i="20" s="1"/>
  <c r="T7" i="20"/>
  <c r="P20" i="20" s="1"/>
  <c r="R7" i="20"/>
  <c r="K20" i="20" s="1"/>
  <c r="Q7" i="20"/>
  <c r="P7" i="20"/>
  <c r="O7" i="20"/>
  <c r="L20" i="20" s="1"/>
  <c r="N7" i="20"/>
  <c r="M20" i="20" s="1"/>
  <c r="M7" i="20"/>
  <c r="L7" i="20"/>
  <c r="K7" i="20"/>
  <c r="I7" i="20"/>
  <c r="O20" i="20" s="1"/>
  <c r="H7" i="20"/>
  <c r="G7" i="20"/>
  <c r="F7" i="20"/>
  <c r="E20" i="20" s="1"/>
  <c r="E7" i="20"/>
  <c r="F20" i="20" s="1"/>
  <c r="D7" i="20"/>
  <c r="D20" i="20" s="1"/>
  <c r="Y4" i="20"/>
  <c r="Q17" i="20" s="1"/>
  <c r="X4" i="20"/>
  <c r="W4" i="20"/>
  <c r="H17" i="20" s="1"/>
  <c r="V4" i="20"/>
  <c r="I17" i="20" s="1"/>
  <c r="U4" i="20"/>
  <c r="T4" i="20"/>
  <c r="P17" i="20" s="1"/>
  <c r="R4" i="20"/>
  <c r="Q4" i="20"/>
  <c r="K17" i="20" s="1"/>
  <c r="P4" i="20"/>
  <c r="O17" i="20" s="1"/>
  <c r="O4" i="20"/>
  <c r="L17" i="20" s="1"/>
  <c r="N4" i="20"/>
  <c r="M17" i="20" s="1"/>
  <c r="M4" i="20"/>
  <c r="L4" i="20"/>
  <c r="K4" i="20"/>
  <c r="J4" i="20"/>
  <c r="I4" i="20"/>
  <c r="H4" i="20"/>
  <c r="G4" i="20"/>
  <c r="G17" i="20" s="1"/>
  <c r="F4" i="20"/>
  <c r="E17" i="20" s="1"/>
  <c r="E4" i="20"/>
  <c r="D4" i="20"/>
  <c r="D17" i="20" s="1"/>
  <c r="S17" i="20" s="1"/>
  <c r="Y9" i="20"/>
  <c r="Q22" i="20" s="1"/>
  <c r="X9" i="20"/>
  <c r="J22" i="20" s="1"/>
  <c r="W9" i="20"/>
  <c r="V9" i="20"/>
  <c r="I22" i="20" s="1"/>
  <c r="U9" i="20"/>
  <c r="N22" i="20" s="1"/>
  <c r="T9" i="20"/>
  <c r="P22" i="20" s="1"/>
  <c r="O9" i="20"/>
  <c r="N9" i="20"/>
  <c r="M22" i="20" s="1"/>
  <c r="G9" i="20"/>
  <c r="G22" i="20" s="1"/>
  <c r="F9" i="20"/>
  <c r="E22" i="20" s="1"/>
  <c r="E9" i="20"/>
  <c r="F22" i="20" s="1"/>
  <c r="D9" i="20"/>
  <c r="D22" i="20" s="1"/>
  <c r="Y8" i="20"/>
  <c r="Q21" i="20" s="1"/>
  <c r="X8" i="20"/>
  <c r="J21" i="20" s="1"/>
  <c r="W8" i="20"/>
  <c r="H21" i="20" s="1"/>
  <c r="V8" i="20"/>
  <c r="I21" i="20" s="1"/>
  <c r="U8" i="20"/>
  <c r="N21" i="20" s="1"/>
  <c r="T8" i="20"/>
  <c r="P21" i="20" s="1"/>
  <c r="R8" i="20"/>
  <c r="Q8" i="20"/>
  <c r="K21" i="20" s="1"/>
  <c r="O8" i="20"/>
  <c r="L21" i="20" s="1"/>
  <c r="N8" i="20"/>
  <c r="M21" i="20" s="1"/>
  <c r="K8" i="20"/>
  <c r="G8" i="20"/>
  <c r="G21" i="20" s="1"/>
  <c r="F8" i="20"/>
  <c r="E21" i="20" s="1"/>
  <c r="E8" i="20"/>
  <c r="F21" i="20" s="1"/>
  <c r="Y6" i="20"/>
  <c r="Q19" i="20" s="1"/>
  <c r="X6" i="20"/>
  <c r="J19" i="20" s="1"/>
  <c r="W6" i="20"/>
  <c r="H19" i="20" s="1"/>
  <c r="V6" i="20"/>
  <c r="I19" i="20" s="1"/>
  <c r="U6" i="20"/>
  <c r="N19" i="20" s="1"/>
  <c r="T6" i="20"/>
  <c r="P19" i="20" s="1"/>
  <c r="O6" i="20"/>
  <c r="L19" i="20" s="1"/>
  <c r="N6" i="20"/>
  <c r="M19" i="20" s="1"/>
  <c r="G6" i="20"/>
  <c r="G19" i="20" s="1"/>
  <c r="F6" i="20"/>
  <c r="E19" i="20" s="1"/>
  <c r="E6" i="20"/>
  <c r="F19" i="20" s="1"/>
  <c r="D6" i="20"/>
  <c r="D19" i="20" s="1"/>
  <c r="Y5" i="20"/>
  <c r="Q18" i="20" s="1"/>
  <c r="X5" i="20"/>
  <c r="J18" i="20" s="1"/>
  <c r="W5" i="20"/>
  <c r="H18" i="20" s="1"/>
  <c r="V5" i="20"/>
  <c r="I18" i="20" s="1"/>
  <c r="U5" i="20"/>
  <c r="N18" i="20" s="1"/>
  <c r="T5" i="20"/>
  <c r="P18" i="20" s="1"/>
  <c r="S5" i="20"/>
  <c r="R5" i="20"/>
  <c r="Q5" i="20"/>
  <c r="O5" i="20"/>
  <c r="L18" i="20" s="1"/>
  <c r="N5" i="20"/>
  <c r="M18" i="20" s="1"/>
  <c r="L5" i="20"/>
  <c r="K5" i="20"/>
  <c r="G5" i="20"/>
  <c r="G18" i="20" s="1"/>
  <c r="F5" i="20"/>
  <c r="E18" i="20" s="1"/>
  <c r="E5" i="20"/>
  <c r="F18" i="20" s="1"/>
  <c r="Y3" i="20"/>
  <c r="Q16" i="20" s="1"/>
  <c r="X3" i="20"/>
  <c r="J16" i="20" s="1"/>
  <c r="W3" i="20"/>
  <c r="H16" i="20" s="1"/>
  <c r="V3" i="20"/>
  <c r="I16" i="20" s="1"/>
  <c r="U3" i="20"/>
  <c r="N16" i="20" s="1"/>
  <c r="T3" i="20"/>
  <c r="P16" i="20" s="1"/>
  <c r="O3" i="20"/>
  <c r="L16" i="20" s="1"/>
  <c r="N3" i="20"/>
  <c r="M16" i="20" s="1"/>
  <c r="G3" i="20"/>
  <c r="G16" i="20" s="1"/>
  <c r="F3" i="20"/>
  <c r="E16" i="20" s="1"/>
  <c r="E3" i="20"/>
  <c r="F16" i="20" s="1"/>
  <c r="D3" i="20"/>
  <c r="D16" i="20" s="1"/>
  <c r="Y2" i="20"/>
  <c r="Q15" i="20" s="1"/>
  <c r="X2" i="20"/>
  <c r="J15" i="20" s="1"/>
  <c r="W2" i="20"/>
  <c r="H15" i="20" s="1"/>
  <c r="V2" i="20"/>
  <c r="I15" i="20" s="1"/>
  <c r="U2" i="20"/>
  <c r="N15" i="20" s="1"/>
  <c r="T2" i="20"/>
  <c r="P15" i="20" s="1"/>
  <c r="S2" i="20"/>
  <c r="R2" i="20"/>
  <c r="Q2" i="20"/>
  <c r="K15" i="20" s="1"/>
  <c r="O2" i="20"/>
  <c r="L15" i="20" s="1"/>
  <c r="N2" i="20"/>
  <c r="M15" i="20" s="1"/>
  <c r="M2" i="20"/>
  <c r="L2" i="20"/>
  <c r="K2" i="20"/>
  <c r="J2" i="20"/>
  <c r="I2" i="20"/>
  <c r="H2" i="20"/>
  <c r="G2" i="20"/>
  <c r="G15" i="20" s="1"/>
  <c r="F2" i="20"/>
  <c r="E15" i="20" s="1"/>
  <c r="E2" i="20"/>
  <c r="F15" i="20" s="1"/>
  <c r="D1" i="20"/>
  <c r="S20" i="20" l="1"/>
  <c r="S23" i="20"/>
  <c r="O15" i="20"/>
  <c r="K18" i="20"/>
  <c r="P17" i="18"/>
  <c r="N17" i="18"/>
  <c r="N12" i="18"/>
  <c r="L17" i="18"/>
  <c r="L12" i="18"/>
  <c r="J17" i="18"/>
  <c r="J14" i="18"/>
  <c r="I13" i="18"/>
  <c r="H16" i="18"/>
  <c r="G15" i="18"/>
  <c r="F13" i="18"/>
  <c r="E13" i="18"/>
  <c r="V6" i="18"/>
  <c r="N13" i="18" s="1"/>
  <c r="W6" i="18"/>
  <c r="X6" i="18"/>
  <c r="H13" i="18" s="1"/>
  <c r="Y6" i="18"/>
  <c r="J13" i="18" s="1"/>
  <c r="Z6" i="18"/>
  <c r="V7" i="18"/>
  <c r="N15" i="18" s="1"/>
  <c r="W7" i="18"/>
  <c r="I15" i="18" s="1"/>
  <c r="X7" i="18"/>
  <c r="H15" i="18" s="1"/>
  <c r="Y7" i="18"/>
  <c r="J15" i="18" s="1"/>
  <c r="Z7" i="18"/>
  <c r="V8" i="18"/>
  <c r="W8" i="18"/>
  <c r="I17" i="18" s="1"/>
  <c r="X8" i="18"/>
  <c r="H17" i="18" s="1"/>
  <c r="Y8" i="18"/>
  <c r="Z8" i="18"/>
  <c r="U6" i="18"/>
  <c r="P13" i="18" s="1"/>
  <c r="U7" i="18"/>
  <c r="P15" i="18" s="1"/>
  <c r="U8" i="18"/>
  <c r="E6" i="18"/>
  <c r="F6" i="18"/>
  <c r="G6" i="18"/>
  <c r="G13" i="18" s="1"/>
  <c r="H6" i="18"/>
  <c r="O13" i="18" s="1"/>
  <c r="O6" i="18"/>
  <c r="M13" i="18" s="1"/>
  <c r="P6" i="18"/>
  <c r="L13" i="18" s="1"/>
  <c r="Q6" i="18"/>
  <c r="K13" i="18" s="1"/>
  <c r="E7" i="18"/>
  <c r="F15" i="18" s="1"/>
  <c r="F7" i="18"/>
  <c r="E15" i="18" s="1"/>
  <c r="G7" i="18"/>
  <c r="H7" i="18"/>
  <c r="O15" i="18" s="1"/>
  <c r="O7" i="18"/>
  <c r="M15" i="18" s="1"/>
  <c r="P7" i="18"/>
  <c r="L15" i="18" s="1"/>
  <c r="Q7" i="18"/>
  <c r="K15" i="18" s="1"/>
  <c r="E8" i="18"/>
  <c r="F17" i="18" s="1"/>
  <c r="F8" i="18"/>
  <c r="E17" i="18" s="1"/>
  <c r="G8" i="18"/>
  <c r="G17" i="18" s="1"/>
  <c r="H8" i="18"/>
  <c r="O17" i="18" s="1"/>
  <c r="O8" i="18"/>
  <c r="M17" i="18" s="1"/>
  <c r="P8" i="18"/>
  <c r="Q8" i="18"/>
  <c r="K17" i="18" s="1"/>
  <c r="D6" i="18"/>
  <c r="D13" i="18" s="1"/>
  <c r="D7" i="18"/>
  <c r="D15" i="18" s="1"/>
  <c r="D8" i="18"/>
  <c r="D17" i="18" s="1"/>
  <c r="E1" i="18"/>
  <c r="F1" i="18"/>
  <c r="G1" i="18"/>
  <c r="H1" i="18"/>
  <c r="I1" i="18"/>
  <c r="J1" i="18"/>
  <c r="K1" i="18"/>
  <c r="L1" i="18"/>
  <c r="M1" i="18"/>
  <c r="N1" i="18"/>
  <c r="O1" i="18"/>
  <c r="P1" i="18"/>
  <c r="Q1" i="18"/>
  <c r="R1" i="18"/>
  <c r="S1" i="18"/>
  <c r="T1" i="18"/>
  <c r="U1" i="18"/>
  <c r="V1" i="18"/>
  <c r="W1" i="18"/>
  <c r="X1" i="18"/>
  <c r="Y1" i="18"/>
  <c r="Z1" i="18"/>
  <c r="E2" i="18"/>
  <c r="F12" i="18" s="1"/>
  <c r="F2" i="18"/>
  <c r="E12" i="18" s="1"/>
  <c r="G2" i="18"/>
  <c r="G12" i="18" s="1"/>
  <c r="H2" i="18"/>
  <c r="O12" i="18" s="1"/>
  <c r="I2" i="18"/>
  <c r="J2" i="18"/>
  <c r="K2" i="18"/>
  <c r="L2" i="18"/>
  <c r="M2" i="18"/>
  <c r="N2" i="18"/>
  <c r="O2" i="18"/>
  <c r="M12" i="18" s="1"/>
  <c r="P2" i="18"/>
  <c r="Q2" i="18"/>
  <c r="K12" i="18" s="1"/>
  <c r="R2" i="18"/>
  <c r="S2" i="18"/>
  <c r="T2" i="18"/>
  <c r="U2" i="18"/>
  <c r="P12" i="18" s="1"/>
  <c r="V2" i="18"/>
  <c r="W2" i="18"/>
  <c r="I12" i="18" s="1"/>
  <c r="X2" i="18"/>
  <c r="H12" i="18" s="1"/>
  <c r="Y2" i="18"/>
  <c r="J12" i="18" s="1"/>
  <c r="Z2" i="18"/>
  <c r="Q12" i="18" s="1"/>
  <c r="E3" i="18"/>
  <c r="F14" i="18" s="1"/>
  <c r="F3" i="18"/>
  <c r="E14" i="18" s="1"/>
  <c r="G3" i="18"/>
  <c r="G14" i="18" s="1"/>
  <c r="H3" i="18"/>
  <c r="O14" i="18" s="1"/>
  <c r="I3" i="18"/>
  <c r="J3" i="18"/>
  <c r="K3" i="18"/>
  <c r="L3" i="18"/>
  <c r="M3" i="18"/>
  <c r="N3" i="18"/>
  <c r="O3" i="18"/>
  <c r="M14" i="18" s="1"/>
  <c r="P3" i="18"/>
  <c r="L14" i="18" s="1"/>
  <c r="Q3" i="18"/>
  <c r="K14" i="18" s="1"/>
  <c r="R3" i="18"/>
  <c r="S3" i="18"/>
  <c r="T3" i="18"/>
  <c r="U3" i="18"/>
  <c r="P14" i="18" s="1"/>
  <c r="V3" i="18"/>
  <c r="N14" i="18" s="1"/>
  <c r="W3" i="18"/>
  <c r="I14" i="18" s="1"/>
  <c r="X3" i="18"/>
  <c r="H14" i="18" s="1"/>
  <c r="Y3" i="18"/>
  <c r="Z3" i="18"/>
  <c r="Q14" i="18" s="1"/>
  <c r="E4" i="18"/>
  <c r="F16" i="18" s="1"/>
  <c r="F4" i="18"/>
  <c r="E16" i="18" s="1"/>
  <c r="G4" i="18"/>
  <c r="G16" i="18" s="1"/>
  <c r="H4" i="18"/>
  <c r="O16" i="18" s="1"/>
  <c r="I4" i="18"/>
  <c r="J4" i="18"/>
  <c r="K4" i="18"/>
  <c r="L4" i="18"/>
  <c r="M4" i="18"/>
  <c r="N4" i="18"/>
  <c r="O4" i="18"/>
  <c r="M16" i="18" s="1"/>
  <c r="P4" i="18"/>
  <c r="L16" i="18" s="1"/>
  <c r="Q4" i="18"/>
  <c r="K16" i="18" s="1"/>
  <c r="R4" i="18"/>
  <c r="S4" i="18"/>
  <c r="T4" i="18"/>
  <c r="U4" i="18"/>
  <c r="P16" i="18" s="1"/>
  <c r="V4" i="18"/>
  <c r="N16" i="18" s="1"/>
  <c r="W4" i="18"/>
  <c r="I16" i="18" s="1"/>
  <c r="X4" i="18"/>
  <c r="Y4" i="18"/>
  <c r="J16" i="18" s="1"/>
  <c r="Z4" i="18"/>
  <c r="Q16" i="18" s="1"/>
  <c r="D1" i="18"/>
  <c r="D1" i="11"/>
  <c r="C68" i="15"/>
  <c r="C71" i="15" s="1"/>
  <c r="B68" i="15"/>
  <c r="B71" i="15" s="1"/>
  <c r="M14" i="15"/>
  <c r="M13" i="15"/>
  <c r="M30" i="15"/>
  <c r="M29" i="15"/>
  <c r="M44" i="15"/>
  <c r="M43" i="15"/>
  <c r="M46" i="15" s="1"/>
  <c r="M58" i="15"/>
  <c r="M57" i="15"/>
  <c r="I60" i="15"/>
  <c r="I59" i="15"/>
  <c r="M60" i="15"/>
  <c r="M59" i="15"/>
  <c r="S4" i="8"/>
  <c r="W19" i="8" s="1"/>
  <c r="G9" i="15" s="1"/>
  <c r="L9" i="15" s="1"/>
  <c r="S5" i="11"/>
  <c r="S2" i="11"/>
  <c r="M32" i="15" l="1"/>
  <c r="S4" i="9"/>
  <c r="M16" i="15"/>
  <c r="M61" i="15"/>
  <c r="Q9" i="15" s="1"/>
  <c r="F7" i="15"/>
  <c r="C10" i="15"/>
  <c r="C7" i="15"/>
  <c r="D7" i="15"/>
  <c r="E7" i="15"/>
  <c r="C8" i="15"/>
  <c r="C9" i="15"/>
  <c r="AF58" i="5"/>
  <c r="K10" i="14" l="1"/>
  <c r="L10" i="14"/>
  <c r="P9" i="14"/>
  <c r="R8" i="4" l="1"/>
  <c r="R7" i="4"/>
  <c r="R6" i="4"/>
  <c r="R5" i="4"/>
  <c r="R4" i="4"/>
  <c r="S3" i="4"/>
  <c r="R3" i="4"/>
  <c r="C8" i="4" l="1"/>
  <c r="C9" i="4"/>
  <c r="C10" i="4"/>
  <c r="C11" i="4"/>
  <c r="C4" i="4"/>
  <c r="C2" i="4"/>
  <c r="J2" i="14" l="1"/>
  <c r="J9" i="14" s="1"/>
  <c r="M3" i="14"/>
  <c r="M10" i="14" s="1"/>
  <c r="X2" i="14"/>
  <c r="X9" i="14" s="1"/>
  <c r="W3" i="14"/>
  <c r="W10" i="14" s="1"/>
  <c r="W2" i="14"/>
  <c r="W9" i="14" s="1"/>
  <c r="V3" i="14"/>
  <c r="V10" i="14" s="1"/>
  <c r="V2" i="14"/>
  <c r="V9" i="14" s="1"/>
  <c r="U3" i="14"/>
  <c r="U10" i="14" s="1"/>
  <c r="U2" i="14"/>
  <c r="U9" i="14" s="1"/>
  <c r="T3" i="14"/>
  <c r="T2" i="14"/>
  <c r="S3" i="14"/>
  <c r="S10" i="14" s="1"/>
  <c r="S2" i="14"/>
  <c r="S9" i="14" s="1"/>
  <c r="R3" i="14"/>
  <c r="R10" i="14" s="1"/>
  <c r="R2" i="14"/>
  <c r="R9" i="14" s="1"/>
  <c r="Q3" i="14"/>
  <c r="Q10" i="14" s="1"/>
  <c r="P3" i="14"/>
  <c r="P10" i="14" s="1"/>
  <c r="O3" i="14"/>
  <c r="O2" i="14"/>
  <c r="N3" i="14"/>
  <c r="N2" i="14"/>
  <c r="J3" i="14"/>
  <c r="J10" i="14" s="1"/>
  <c r="I3" i="14"/>
  <c r="I10" i="14" s="1"/>
  <c r="H3" i="14"/>
  <c r="H10" i="14" s="1"/>
  <c r="G3" i="14"/>
  <c r="G10" i="14" s="1"/>
  <c r="F3" i="14"/>
  <c r="E3" i="14"/>
  <c r="L2" i="14"/>
  <c r="L9" i="14" s="1"/>
  <c r="K2" i="14"/>
  <c r="K9" i="14" s="1"/>
  <c r="I2" i="14"/>
  <c r="I9" i="14" s="1"/>
  <c r="H2" i="14"/>
  <c r="H9" i="14" s="1"/>
  <c r="G2" i="14"/>
  <c r="G9" i="14" s="1"/>
  <c r="F2" i="14"/>
  <c r="E2" i="14"/>
  <c r="D3" i="14"/>
  <c r="D10" i="14" s="1"/>
  <c r="D2" i="14"/>
  <c r="D9" i="14" s="1"/>
  <c r="X3" i="14" l="1"/>
  <c r="X10" i="14" s="1"/>
  <c r="F9" i="14"/>
  <c r="F10" i="14"/>
  <c r="O10" i="14"/>
  <c r="O9" i="14"/>
  <c r="N10" i="14"/>
  <c r="N9" i="14"/>
  <c r="E9" i="14"/>
  <c r="E10" i="14"/>
  <c r="T9" i="14"/>
  <c r="T10" i="14"/>
  <c r="F16" i="11" l="1"/>
  <c r="F27" i="11" s="1"/>
  <c r="L22" i="11"/>
  <c r="L33" i="11" s="1"/>
  <c r="N9" i="11"/>
  <c r="M22" i="11" s="1"/>
  <c r="M33" i="11" s="1"/>
  <c r="O9" i="11"/>
  <c r="T9" i="11"/>
  <c r="P22" i="11" s="1"/>
  <c r="P33" i="11" s="1"/>
  <c r="U9" i="11"/>
  <c r="N22" i="11" s="1"/>
  <c r="N33" i="11" s="1"/>
  <c r="V9" i="11"/>
  <c r="I22" i="11" s="1"/>
  <c r="I33" i="11" s="1"/>
  <c r="W9" i="11"/>
  <c r="H22" i="11" s="1"/>
  <c r="H33" i="11" s="1"/>
  <c r="X9" i="11"/>
  <c r="J22" i="11" s="1"/>
  <c r="J33" i="11" s="1"/>
  <c r="Y9" i="11"/>
  <c r="Q22" i="11" s="1"/>
  <c r="Q33" i="11" s="1"/>
  <c r="N6" i="11"/>
  <c r="M19" i="11" s="1"/>
  <c r="M30" i="11" s="1"/>
  <c r="O6" i="11"/>
  <c r="L19" i="11" s="1"/>
  <c r="L30" i="11" s="1"/>
  <c r="T6" i="11"/>
  <c r="P19" i="11" s="1"/>
  <c r="P30" i="11" s="1"/>
  <c r="U6" i="11"/>
  <c r="N19" i="11" s="1"/>
  <c r="N30" i="11" s="1"/>
  <c r="V6" i="11"/>
  <c r="I19" i="11" s="1"/>
  <c r="I30" i="11" s="1"/>
  <c r="W6" i="11"/>
  <c r="H19" i="11" s="1"/>
  <c r="H30" i="11" s="1"/>
  <c r="X6" i="11"/>
  <c r="J19" i="11" s="1"/>
  <c r="J30" i="11" s="1"/>
  <c r="Y6" i="11"/>
  <c r="Q19" i="11" s="1"/>
  <c r="Q30" i="11" s="1"/>
  <c r="E9" i="11"/>
  <c r="F22" i="11" s="1"/>
  <c r="F33" i="11" s="1"/>
  <c r="F9" i="11"/>
  <c r="E22" i="11" s="1"/>
  <c r="E33" i="11" s="1"/>
  <c r="G9" i="11"/>
  <c r="G22" i="11" s="1"/>
  <c r="G33" i="11" s="1"/>
  <c r="G6" i="11"/>
  <c r="G19" i="11" s="1"/>
  <c r="G30" i="11" s="1"/>
  <c r="E6" i="11"/>
  <c r="F19" i="11" s="1"/>
  <c r="F30" i="11" s="1"/>
  <c r="F6" i="11"/>
  <c r="E19" i="11" s="1"/>
  <c r="E30" i="11" s="1"/>
  <c r="D9" i="11"/>
  <c r="D22" i="11" s="1"/>
  <c r="D6" i="11"/>
  <c r="D19" i="11" s="1"/>
  <c r="D3" i="11"/>
  <c r="D16" i="11" s="1"/>
  <c r="U3" i="11"/>
  <c r="N16" i="11" s="1"/>
  <c r="N27" i="11" s="1"/>
  <c r="V3" i="11"/>
  <c r="I16" i="11" s="1"/>
  <c r="I27" i="11" s="1"/>
  <c r="W3" i="11"/>
  <c r="H16" i="11" s="1"/>
  <c r="H27" i="11" s="1"/>
  <c r="X3" i="11"/>
  <c r="J16" i="11" s="1"/>
  <c r="J27" i="11" s="1"/>
  <c r="Y3" i="11"/>
  <c r="Q16" i="11" s="1"/>
  <c r="Q27" i="11" s="1"/>
  <c r="N3" i="11"/>
  <c r="M16" i="11" s="1"/>
  <c r="M27" i="11" s="1"/>
  <c r="O3" i="11"/>
  <c r="L16" i="11" s="1"/>
  <c r="L27" i="11" s="1"/>
  <c r="T3" i="11"/>
  <c r="P16" i="11" s="1"/>
  <c r="P27" i="11" s="1"/>
  <c r="G3" i="11"/>
  <c r="G16" i="11" s="1"/>
  <c r="G27" i="11" s="1"/>
  <c r="E3" i="11"/>
  <c r="F3" i="11"/>
  <c r="E16" i="11" s="1"/>
  <c r="E27" i="11" s="1"/>
  <c r="Y8" i="11"/>
  <c r="Q21" i="11" s="1"/>
  <c r="Q32" i="11" s="1"/>
  <c r="X8" i="11"/>
  <c r="J21" i="11" s="1"/>
  <c r="J32" i="11" s="1"/>
  <c r="W8" i="11"/>
  <c r="H21" i="11" s="1"/>
  <c r="H32" i="11" s="1"/>
  <c r="V8" i="11"/>
  <c r="I21" i="11" s="1"/>
  <c r="I32" i="11" s="1"/>
  <c r="U8" i="11"/>
  <c r="N21" i="11" s="1"/>
  <c r="N32" i="11" s="1"/>
  <c r="T8" i="11"/>
  <c r="P21" i="11" s="1"/>
  <c r="P32" i="11" s="1"/>
  <c r="O8" i="11"/>
  <c r="L21" i="11" s="1"/>
  <c r="L32" i="11" s="1"/>
  <c r="N8" i="11"/>
  <c r="M21" i="11" s="1"/>
  <c r="M32" i="11" s="1"/>
  <c r="K8" i="11"/>
  <c r="G8" i="11"/>
  <c r="G21" i="11" s="1"/>
  <c r="G32" i="11" s="1"/>
  <c r="F8" i="11"/>
  <c r="E21" i="11" s="1"/>
  <c r="E32" i="11" s="1"/>
  <c r="E8" i="11"/>
  <c r="F21" i="11" s="1"/>
  <c r="F32" i="11" s="1"/>
  <c r="Y5" i="11"/>
  <c r="Q18" i="11" s="1"/>
  <c r="Q29" i="11" s="1"/>
  <c r="X5" i="11"/>
  <c r="J18" i="11" s="1"/>
  <c r="J29" i="11" s="1"/>
  <c r="W5" i="11"/>
  <c r="H18" i="11" s="1"/>
  <c r="H29" i="11" s="1"/>
  <c r="V5" i="11"/>
  <c r="I18" i="11" s="1"/>
  <c r="I29" i="11" s="1"/>
  <c r="U5" i="11"/>
  <c r="N18" i="11" s="1"/>
  <c r="N29" i="11" s="1"/>
  <c r="T5" i="11"/>
  <c r="P18" i="11" s="1"/>
  <c r="P29" i="11" s="1"/>
  <c r="O5" i="11"/>
  <c r="L18" i="11" s="1"/>
  <c r="L29" i="11" s="1"/>
  <c r="N5" i="11"/>
  <c r="M18" i="11" s="1"/>
  <c r="M29" i="11" s="1"/>
  <c r="L5" i="11"/>
  <c r="K5" i="11"/>
  <c r="G5" i="11"/>
  <c r="G18" i="11" s="1"/>
  <c r="G29" i="11" s="1"/>
  <c r="F5" i="11"/>
  <c r="E18" i="11" s="1"/>
  <c r="E29" i="11" s="1"/>
  <c r="E5" i="11"/>
  <c r="F18" i="11" s="1"/>
  <c r="F29" i="11" s="1"/>
  <c r="Y2" i="11"/>
  <c r="Q15" i="11" s="1"/>
  <c r="Q26" i="11" s="1"/>
  <c r="X2" i="11"/>
  <c r="J15" i="11" s="1"/>
  <c r="J26" i="11" s="1"/>
  <c r="W2" i="11"/>
  <c r="H15" i="11" s="1"/>
  <c r="H26" i="11" s="1"/>
  <c r="V2" i="11"/>
  <c r="I15" i="11" s="1"/>
  <c r="I26" i="11" s="1"/>
  <c r="U2" i="11"/>
  <c r="N15" i="11" s="1"/>
  <c r="N26" i="11" s="1"/>
  <c r="T2" i="11"/>
  <c r="P15" i="11" s="1"/>
  <c r="P26" i="11" s="1"/>
  <c r="O2" i="11"/>
  <c r="L15" i="11" s="1"/>
  <c r="L26" i="11" s="1"/>
  <c r="N2" i="11"/>
  <c r="M15" i="11" s="1"/>
  <c r="M26" i="11" s="1"/>
  <c r="M2" i="11"/>
  <c r="G2" i="11"/>
  <c r="G15" i="11" s="1"/>
  <c r="G26" i="11" s="1"/>
  <c r="F2" i="11"/>
  <c r="E15" i="11" s="1"/>
  <c r="E26" i="11" s="1"/>
  <c r="E2" i="11"/>
  <c r="F15" i="11" s="1"/>
  <c r="F26" i="11" s="1"/>
  <c r="Y10" i="11"/>
  <c r="Q23" i="11" s="1"/>
  <c r="X10" i="11"/>
  <c r="J23" i="11" s="1"/>
  <c r="W10" i="11"/>
  <c r="H23" i="11" s="1"/>
  <c r="V10" i="11"/>
  <c r="I23" i="11" s="1"/>
  <c r="U10" i="11"/>
  <c r="N23" i="11" s="1"/>
  <c r="T10" i="11"/>
  <c r="P23" i="11" s="1"/>
  <c r="R10" i="11"/>
  <c r="Q10" i="11"/>
  <c r="K23" i="11" s="1"/>
  <c r="P10" i="11"/>
  <c r="O10" i="11"/>
  <c r="L23" i="11" s="1"/>
  <c r="N10" i="11"/>
  <c r="M23" i="11" s="1"/>
  <c r="M10" i="11"/>
  <c r="L10" i="11"/>
  <c r="K10" i="11"/>
  <c r="I10" i="11"/>
  <c r="H10" i="11"/>
  <c r="G10" i="11"/>
  <c r="G23" i="11" s="1"/>
  <c r="F10" i="11"/>
  <c r="E23" i="11" s="1"/>
  <c r="E10" i="11"/>
  <c r="F23" i="11" s="1"/>
  <c r="D10" i="11"/>
  <c r="D23" i="11" s="1"/>
  <c r="Y7" i="11"/>
  <c r="Q20" i="11" s="1"/>
  <c r="X7" i="11"/>
  <c r="J20" i="11" s="1"/>
  <c r="W7" i="11"/>
  <c r="H20" i="11" s="1"/>
  <c r="V7" i="11"/>
  <c r="I20" i="11" s="1"/>
  <c r="U7" i="11"/>
  <c r="N20" i="11" s="1"/>
  <c r="T7" i="11"/>
  <c r="P20" i="11" s="1"/>
  <c r="R7" i="11"/>
  <c r="Q7" i="11"/>
  <c r="P7" i="11"/>
  <c r="O7" i="11"/>
  <c r="L20" i="11" s="1"/>
  <c r="N7" i="11"/>
  <c r="M20" i="11" s="1"/>
  <c r="M7" i="11"/>
  <c r="L7" i="11"/>
  <c r="K7" i="11"/>
  <c r="I7" i="11"/>
  <c r="H7" i="11"/>
  <c r="G7" i="11"/>
  <c r="G20" i="11" s="1"/>
  <c r="F7" i="11"/>
  <c r="E20" i="11" s="1"/>
  <c r="E7" i="11"/>
  <c r="F20" i="11" s="1"/>
  <c r="D7" i="11"/>
  <c r="D20" i="11" s="1"/>
  <c r="Y4" i="11"/>
  <c r="Q17" i="11" s="1"/>
  <c r="X4" i="11"/>
  <c r="J17" i="11" s="1"/>
  <c r="W4" i="11"/>
  <c r="H17" i="11" s="1"/>
  <c r="V4" i="11"/>
  <c r="I17" i="11" s="1"/>
  <c r="U4" i="11"/>
  <c r="N17" i="11" s="1"/>
  <c r="T4" i="11"/>
  <c r="P17" i="11" s="1"/>
  <c r="R4" i="11"/>
  <c r="Q4" i="11"/>
  <c r="K17" i="11" s="1"/>
  <c r="P4" i="11"/>
  <c r="O4" i="11"/>
  <c r="L17" i="11" s="1"/>
  <c r="N4" i="11"/>
  <c r="M17" i="11" s="1"/>
  <c r="M4" i="11"/>
  <c r="L4" i="11"/>
  <c r="K4" i="11"/>
  <c r="J4" i="11"/>
  <c r="I4" i="11"/>
  <c r="H4" i="11"/>
  <c r="G4" i="11"/>
  <c r="G17" i="11" s="1"/>
  <c r="F4" i="11"/>
  <c r="E17" i="11" s="1"/>
  <c r="E4" i="11"/>
  <c r="F17" i="11" s="1"/>
  <c r="D4" i="11"/>
  <c r="D17" i="11" s="1"/>
  <c r="D7" i="9"/>
  <c r="D19" i="9" s="1"/>
  <c r="D27" i="11" l="1"/>
  <c r="S23" i="11"/>
  <c r="V34" i="11" s="1"/>
  <c r="D30" i="11"/>
  <c r="O23" i="11"/>
  <c r="D33" i="11"/>
  <c r="K20" i="11"/>
  <c r="S20" i="11" s="1"/>
  <c r="V31" i="11" s="1"/>
  <c r="O17" i="11"/>
  <c r="S17" i="11" s="1"/>
  <c r="V28" i="11" s="1"/>
  <c r="O20" i="11"/>
  <c r="D3" i="9"/>
  <c r="D15" i="9" s="1"/>
  <c r="D5" i="9"/>
  <c r="D17" i="9" s="1"/>
  <c r="R7" i="6" l="1"/>
  <c r="Q7" i="6"/>
  <c r="M7" i="6"/>
  <c r="L7" i="6"/>
  <c r="K7" i="6"/>
  <c r="J7" i="6"/>
  <c r="I7" i="6"/>
  <c r="H7" i="6"/>
  <c r="R6" i="6"/>
  <c r="Q6" i="6"/>
  <c r="M6" i="6"/>
  <c r="L6" i="6"/>
  <c r="K6" i="6"/>
  <c r="J6" i="6"/>
  <c r="I6" i="6"/>
  <c r="H6" i="6"/>
  <c r="R5" i="6"/>
  <c r="Q5" i="6"/>
  <c r="M5" i="6"/>
  <c r="L5" i="6"/>
  <c r="K5" i="6"/>
  <c r="J5" i="6"/>
  <c r="I5" i="6"/>
  <c r="H5" i="6"/>
  <c r="R4" i="6"/>
  <c r="S8" i="18" s="1"/>
  <c r="Q4" i="6"/>
  <c r="R8" i="18" s="1"/>
  <c r="M4" i="6"/>
  <c r="N8" i="18" s="1"/>
  <c r="L4" i="6"/>
  <c r="M8" i="18" s="1"/>
  <c r="K4" i="6"/>
  <c r="L8" i="18" s="1"/>
  <c r="J4" i="6"/>
  <c r="K8" i="18" s="1"/>
  <c r="I4" i="6"/>
  <c r="J8" i="18" s="1"/>
  <c r="H4" i="6"/>
  <c r="I8" i="18" s="1"/>
  <c r="R3" i="6"/>
  <c r="S7" i="18" s="1"/>
  <c r="Q3" i="6"/>
  <c r="R7" i="18" s="1"/>
  <c r="M3" i="6"/>
  <c r="N7" i="18" s="1"/>
  <c r="L3" i="6"/>
  <c r="M7" i="18" s="1"/>
  <c r="K3" i="6"/>
  <c r="L7" i="18" s="1"/>
  <c r="J3" i="6"/>
  <c r="K7" i="18" s="1"/>
  <c r="I3" i="6"/>
  <c r="J7" i="18" s="1"/>
  <c r="H3" i="6"/>
  <c r="I7" i="18" s="1"/>
  <c r="R2" i="6"/>
  <c r="Q2" i="6"/>
  <c r="M2" i="6"/>
  <c r="L2" i="6"/>
  <c r="K2" i="6"/>
  <c r="J2" i="6"/>
  <c r="I2" i="6"/>
  <c r="H2" i="6"/>
  <c r="R8" i="11"/>
  <c r="Q8" i="11"/>
  <c r="D8" i="20"/>
  <c r="D21" i="20" s="1"/>
  <c r="R5" i="11"/>
  <c r="Q5" i="11"/>
  <c r="D5" i="20"/>
  <c r="D18" i="20" s="1"/>
  <c r="D4" i="18"/>
  <c r="D16" i="18" s="1"/>
  <c r="R2" i="11"/>
  <c r="Q2" i="11"/>
  <c r="L2" i="11"/>
  <c r="K2" i="11"/>
  <c r="J2" i="11"/>
  <c r="I2" i="11"/>
  <c r="H2" i="11"/>
  <c r="L9" i="20" l="1"/>
  <c r="L3" i="20"/>
  <c r="L6" i="20"/>
  <c r="M6" i="18"/>
  <c r="L6" i="11"/>
  <c r="L3" i="11"/>
  <c r="L9" i="11"/>
  <c r="I9" i="20"/>
  <c r="I6" i="20"/>
  <c r="I3" i="20"/>
  <c r="J6" i="18"/>
  <c r="I6" i="11"/>
  <c r="I3" i="11"/>
  <c r="I9" i="11"/>
  <c r="M9" i="20"/>
  <c r="M6" i="20"/>
  <c r="M3" i="20"/>
  <c r="N6" i="18"/>
  <c r="M6" i="11"/>
  <c r="M3" i="11"/>
  <c r="M9" i="11"/>
  <c r="J9" i="20"/>
  <c r="J6" i="20"/>
  <c r="J3" i="20"/>
  <c r="K6" i="18"/>
  <c r="J9" i="11"/>
  <c r="J6" i="11"/>
  <c r="J3" i="11"/>
  <c r="Q9" i="20"/>
  <c r="K22" i="20" s="1"/>
  <c r="Q6" i="20"/>
  <c r="Q3" i="20"/>
  <c r="K16" i="20" s="1"/>
  <c r="R6" i="18"/>
  <c r="Q6" i="11"/>
  <c r="K19" i="11" s="1"/>
  <c r="Q3" i="11"/>
  <c r="Q9" i="11"/>
  <c r="K22" i="11" s="1"/>
  <c r="H9" i="20"/>
  <c r="H6" i="20"/>
  <c r="H3" i="20"/>
  <c r="I6" i="18"/>
  <c r="H9" i="11"/>
  <c r="H6" i="11"/>
  <c r="H3" i="11"/>
  <c r="K15" i="11"/>
  <c r="K26" i="11" s="1"/>
  <c r="K18" i="11"/>
  <c r="K29" i="11" s="1"/>
  <c r="K6" i="20"/>
  <c r="K3" i="20"/>
  <c r="K9" i="20"/>
  <c r="L6" i="18"/>
  <c r="K9" i="11"/>
  <c r="K3" i="11"/>
  <c r="K6" i="11"/>
  <c r="R9" i="20"/>
  <c r="R6" i="20"/>
  <c r="R3" i="20"/>
  <c r="S6" i="18"/>
  <c r="R6" i="11"/>
  <c r="R3" i="11"/>
  <c r="R9" i="11"/>
  <c r="H8" i="11"/>
  <c r="H6" i="8"/>
  <c r="H8" i="20"/>
  <c r="L8" i="11"/>
  <c r="L6" i="8"/>
  <c r="L8" i="20"/>
  <c r="I5" i="11"/>
  <c r="O18" i="11" s="1"/>
  <c r="O29" i="11" s="1"/>
  <c r="I4" i="8"/>
  <c r="I5" i="20"/>
  <c r="M8" i="11"/>
  <c r="M6" i="8"/>
  <c r="M8" i="20"/>
  <c r="M5" i="11"/>
  <c r="M4" i="8"/>
  <c r="M5" i="20"/>
  <c r="H5" i="11"/>
  <c r="H4" i="8"/>
  <c r="H5" i="20"/>
  <c r="I8" i="11"/>
  <c r="I6" i="8"/>
  <c r="I8" i="20"/>
  <c r="D2" i="18"/>
  <c r="D12" i="18" s="1"/>
  <c r="D2" i="20"/>
  <c r="D15" i="20" s="1"/>
  <c r="S15" i="20" s="1"/>
  <c r="T17" i="20" s="1"/>
  <c r="U17" i="20" s="1"/>
  <c r="D3" i="18"/>
  <c r="D14" i="18" s="1"/>
  <c r="Y7" i="9"/>
  <c r="Q19" i="9" s="1"/>
  <c r="L7" i="9"/>
  <c r="K7" i="9"/>
  <c r="K21" i="11"/>
  <c r="K32" i="11" s="1"/>
  <c r="O15" i="11"/>
  <c r="O26" i="11" s="1"/>
  <c r="L5" i="9"/>
  <c r="K5" i="9"/>
  <c r="Y3" i="9"/>
  <c r="Q15" i="9" s="1"/>
  <c r="D5" i="11"/>
  <c r="D8" i="11"/>
  <c r="D21" i="11" s="1"/>
  <c r="D2" i="11"/>
  <c r="D15" i="11" s="1"/>
  <c r="D26" i="11" s="1"/>
  <c r="X3" i="9"/>
  <c r="P15" i="9" s="1"/>
  <c r="W3" i="9"/>
  <c r="O15" i="9" s="1"/>
  <c r="I3" i="9"/>
  <c r="T4" i="9"/>
  <c r="L16" i="9" s="1"/>
  <c r="G4" i="9"/>
  <c r="G16" i="9" s="1"/>
  <c r="X5" i="9"/>
  <c r="P17" i="9" s="1"/>
  <c r="R2" i="9"/>
  <c r="P5" i="9"/>
  <c r="I4" i="9" s="1"/>
  <c r="W5" i="9"/>
  <c r="O17" i="9" s="1"/>
  <c r="N3" i="9"/>
  <c r="I15" i="9" s="1"/>
  <c r="E4" i="9"/>
  <c r="E16" i="9" s="1"/>
  <c r="N6" i="9"/>
  <c r="I18" i="9" s="1"/>
  <c r="P7" i="9"/>
  <c r="T7" i="9"/>
  <c r="L19" i="9" s="1"/>
  <c r="V5" i="9"/>
  <c r="N17" i="9" s="1"/>
  <c r="X7" i="9"/>
  <c r="P19" i="9" s="1"/>
  <c r="E2" i="9"/>
  <c r="E14" i="9" s="1"/>
  <c r="V7" i="9"/>
  <c r="N19" i="9" s="1"/>
  <c r="U3" i="9"/>
  <c r="M15" i="9" s="1"/>
  <c r="G7" i="9"/>
  <c r="G19" i="9" s="1"/>
  <c r="K2" i="9"/>
  <c r="R7" i="9"/>
  <c r="U5" i="9"/>
  <c r="M17" i="9" s="1"/>
  <c r="U4" i="9"/>
  <c r="M16" i="9" s="1"/>
  <c r="U2" i="9"/>
  <c r="M14" i="9" s="1"/>
  <c r="T2" i="9"/>
  <c r="L14" i="9" s="1"/>
  <c r="Y5" i="9"/>
  <c r="Q17" i="9" s="1"/>
  <c r="U7" i="9"/>
  <c r="M19" i="9" s="1"/>
  <c r="F7" i="9"/>
  <c r="F19" i="9" s="1"/>
  <c r="K4" i="9"/>
  <c r="L6" i="9"/>
  <c r="Y6" i="9"/>
  <c r="Q18" i="9" s="1"/>
  <c r="Q23" i="9" s="1"/>
  <c r="T5" i="9"/>
  <c r="L17" i="9" s="1"/>
  <c r="F5" i="9"/>
  <c r="F17" i="9" s="1"/>
  <c r="E5" i="9"/>
  <c r="E17" i="9" s="1"/>
  <c r="I7" i="9"/>
  <c r="I6" i="9"/>
  <c r="N2" i="9"/>
  <c r="I14" i="9" s="1"/>
  <c r="J3" i="9"/>
  <c r="L2" i="9"/>
  <c r="E7" i="9"/>
  <c r="E19" i="9" s="1"/>
  <c r="H3" i="9"/>
  <c r="H2" i="9"/>
  <c r="K6" i="9"/>
  <c r="O5" i="9"/>
  <c r="J17" i="9" s="1"/>
  <c r="X6" i="9"/>
  <c r="P18" i="9" s="1"/>
  <c r="R5" i="9"/>
  <c r="E3" i="9"/>
  <c r="E15" i="9" s="1"/>
  <c r="N7" i="9"/>
  <c r="I19" i="9" s="1"/>
  <c r="F2" i="9"/>
  <c r="F14" i="9" s="1"/>
  <c r="M7" i="9"/>
  <c r="G6" i="9"/>
  <c r="G18" i="9" s="1"/>
  <c r="G23" i="9" s="1"/>
  <c r="N5" i="9"/>
  <c r="I17" i="9" s="1"/>
  <c r="Q3" i="9"/>
  <c r="W6" i="9"/>
  <c r="O18" i="9" s="1"/>
  <c r="Y4" i="9"/>
  <c r="Q16" i="9" s="1"/>
  <c r="N4" i="9"/>
  <c r="I16" i="9" s="1"/>
  <c r="W7" i="9"/>
  <c r="O19" i="9" s="1"/>
  <c r="I5" i="9"/>
  <c r="G2" i="9"/>
  <c r="G14" i="9" s="1"/>
  <c r="P3" i="9"/>
  <c r="I2" i="9" s="1"/>
  <c r="Y2" i="9"/>
  <c r="Q14" i="9" s="1"/>
  <c r="F6" i="9"/>
  <c r="F18" i="9" s="1"/>
  <c r="H7" i="9"/>
  <c r="H6" i="9"/>
  <c r="M5" i="9"/>
  <c r="Q5" i="9"/>
  <c r="V6" i="9"/>
  <c r="N18" i="9" s="1"/>
  <c r="X4" i="9"/>
  <c r="P16" i="9" s="1"/>
  <c r="L4" i="9"/>
  <c r="F4" i="9"/>
  <c r="F16" i="9" s="1"/>
  <c r="G3" i="9"/>
  <c r="G15" i="9" s="1"/>
  <c r="T3" i="9"/>
  <c r="L15" i="9" s="1"/>
  <c r="X2" i="9"/>
  <c r="P14" i="9" s="1"/>
  <c r="E6" i="9"/>
  <c r="E18" i="9" s="1"/>
  <c r="Q7" i="9"/>
  <c r="U6" i="9"/>
  <c r="M18" i="9" s="1"/>
  <c r="W4" i="9"/>
  <c r="O16" i="9" s="1"/>
  <c r="L3" i="9"/>
  <c r="V2" i="9"/>
  <c r="N14" i="9" s="1"/>
  <c r="R6" i="9"/>
  <c r="V3" i="9"/>
  <c r="N15" i="9" s="1"/>
  <c r="O6" i="9"/>
  <c r="J18" i="9" s="1"/>
  <c r="O3" i="9"/>
  <c r="J15" i="9" s="1"/>
  <c r="O2" i="9"/>
  <c r="J14" i="9" s="1"/>
  <c r="H5" i="9"/>
  <c r="H4" i="9"/>
  <c r="F3" i="9"/>
  <c r="F15" i="9" s="1"/>
  <c r="R3" i="9"/>
  <c r="W2" i="9"/>
  <c r="O14" i="9" s="1"/>
  <c r="G5" i="9"/>
  <c r="G17" i="9" s="1"/>
  <c r="O7" i="9"/>
  <c r="J19" i="9" s="1"/>
  <c r="O4" i="9"/>
  <c r="J16" i="9" s="1"/>
  <c r="T6" i="9"/>
  <c r="L18" i="9" s="1"/>
  <c r="V4" i="9"/>
  <c r="N16" i="9" s="1"/>
  <c r="K3" i="9"/>
  <c r="D6" i="9"/>
  <c r="D18" i="9" s="1"/>
  <c r="D2" i="9"/>
  <c r="D14" i="9" s="1"/>
  <c r="D4" i="9"/>
  <c r="D16" i="9" s="1"/>
  <c r="B16" i="4"/>
  <c r="B15" i="4"/>
  <c r="B14" i="4"/>
  <c r="B13" i="4"/>
  <c r="I19" i="2"/>
  <c r="M2" i="14" s="1"/>
  <c r="M9" i="14" s="1"/>
  <c r="J11" i="2"/>
  <c r="J10" i="2"/>
  <c r="Q2" i="14" s="1"/>
  <c r="Q9" i="14" s="1"/>
  <c r="T15" i="9" l="1"/>
  <c r="O19" i="20"/>
  <c r="S22" i="20"/>
  <c r="O22" i="11"/>
  <c r="O33" i="11" s="1"/>
  <c r="O22" i="20"/>
  <c r="O19" i="11"/>
  <c r="O30" i="11" s="1"/>
  <c r="K33" i="11"/>
  <c r="S22" i="11"/>
  <c r="K30" i="11"/>
  <c r="U20" i="11"/>
  <c r="T19" i="9"/>
  <c r="O16" i="11"/>
  <c r="O27" i="11" s="1"/>
  <c r="O16" i="20"/>
  <c r="S16" i="20" s="1"/>
  <c r="K16" i="11"/>
  <c r="K19" i="20"/>
  <c r="S19" i="20" s="1"/>
  <c r="AA4" i="8"/>
  <c r="AC4" i="8" s="1"/>
  <c r="AA6" i="8"/>
  <c r="AC6" i="8" s="1"/>
  <c r="R26" i="11"/>
  <c r="T28" i="11"/>
  <c r="D18" i="11"/>
  <c r="T19" i="11" s="1"/>
  <c r="O21" i="20"/>
  <c r="S21" i="20" s="1"/>
  <c r="T23" i="20" s="1"/>
  <c r="U23" i="20" s="1"/>
  <c r="O18" i="20"/>
  <c r="S18" i="20" s="1"/>
  <c r="T20" i="20" s="1"/>
  <c r="U20" i="20" s="1"/>
  <c r="O21" i="11"/>
  <c r="O32" i="11" s="1"/>
  <c r="T23" i="11"/>
  <c r="D32" i="11"/>
  <c r="B22" i="4"/>
  <c r="K19" i="9"/>
  <c r="Q21" i="9"/>
  <c r="T17" i="11"/>
  <c r="E23" i="9"/>
  <c r="F23" i="9"/>
  <c r="K17" i="9"/>
  <c r="T17" i="9" s="1"/>
  <c r="H19" i="9"/>
  <c r="T16" i="11"/>
  <c r="R4" i="9"/>
  <c r="F9" i="15"/>
  <c r="D9" i="15"/>
  <c r="D10" i="15"/>
  <c r="N21" i="9"/>
  <c r="F8" i="15"/>
  <c r="H17" i="9"/>
  <c r="F10" i="15"/>
  <c r="D8" i="15"/>
  <c r="G21" i="9"/>
  <c r="H15" i="9"/>
  <c r="P23" i="9"/>
  <c r="I21" i="9"/>
  <c r="M6" i="9"/>
  <c r="H18" i="9" s="1"/>
  <c r="T18" i="9" s="1"/>
  <c r="K15" i="9"/>
  <c r="Q4" i="9"/>
  <c r="J23" i="9"/>
  <c r="I22" i="9"/>
  <c r="Q6" i="9"/>
  <c r="K18" i="9" s="1"/>
  <c r="M4" i="9"/>
  <c r="H16" i="9" s="1"/>
  <c r="F22" i="9"/>
  <c r="I23" i="9"/>
  <c r="Q22" i="9"/>
  <c r="Q2" i="9"/>
  <c r="K14" i="9" s="1"/>
  <c r="J22" i="9"/>
  <c r="E21" i="9"/>
  <c r="G22" i="9"/>
  <c r="H14" i="9"/>
  <c r="T14" i="9" s="1"/>
  <c r="N22" i="9"/>
  <c r="O22" i="9"/>
  <c r="O23" i="9"/>
  <c r="L23" i="9"/>
  <c r="L21" i="9"/>
  <c r="J21" i="9"/>
  <c r="M21" i="9"/>
  <c r="N23" i="9"/>
  <c r="O21" i="9"/>
  <c r="M22" i="9"/>
  <c r="P22" i="9"/>
  <c r="P21" i="9"/>
  <c r="F21" i="9"/>
  <c r="L22" i="9"/>
  <c r="M23" i="9"/>
  <c r="E22" i="9"/>
  <c r="D22" i="9"/>
  <c r="D23" i="9"/>
  <c r="D21" i="9"/>
  <c r="U31" i="11" l="1"/>
  <c r="S30" i="11"/>
  <c r="S33" i="11"/>
  <c r="U34" i="11"/>
  <c r="K27" i="11"/>
  <c r="S16" i="11"/>
  <c r="U17" i="11"/>
  <c r="S19" i="11"/>
  <c r="U23" i="11"/>
  <c r="T22" i="11"/>
  <c r="D29" i="11"/>
  <c r="T20" i="11"/>
  <c r="R32" i="11"/>
  <c r="T33" i="11"/>
  <c r="T34" i="11"/>
  <c r="K23" i="9"/>
  <c r="K16" i="9"/>
  <c r="K22" i="9" s="1"/>
  <c r="I9" i="15"/>
  <c r="N9" i="15" s="1"/>
  <c r="I10" i="15"/>
  <c r="N10" i="15" s="1"/>
  <c r="K9" i="15"/>
  <c r="P9" i="15" s="1"/>
  <c r="K10" i="15"/>
  <c r="P10" i="15" s="1"/>
  <c r="I8" i="15"/>
  <c r="N8" i="15" s="1"/>
  <c r="K8" i="15"/>
  <c r="P8" i="15" s="1"/>
  <c r="H23" i="9"/>
  <c r="E8" i="15"/>
  <c r="J8" i="15" s="1"/>
  <c r="H21" i="9"/>
  <c r="E10" i="15"/>
  <c r="J10" i="15" s="1"/>
  <c r="E9" i="15"/>
  <c r="J9" i="15" s="1"/>
  <c r="H22" i="9"/>
  <c r="K21" i="9"/>
  <c r="T21" i="9" l="1"/>
  <c r="S27" i="11"/>
  <c r="U28" i="11"/>
  <c r="T27" i="11"/>
  <c r="T22" i="9"/>
  <c r="T16" i="9"/>
  <c r="T23" i="9"/>
  <c r="R29" i="11"/>
  <c r="T31" i="11"/>
  <c r="T30" i="11"/>
  <c r="B73" i="15"/>
  <c r="B77" i="15" s="1"/>
  <c r="B75" i="15"/>
  <c r="B79" i="15" s="1"/>
  <c r="B74" i="15"/>
  <c r="B78" i="15"/>
  <c r="B84" i="15" l="1"/>
  <c r="B85" i="15"/>
  <c r="B86" i="15"/>
  <c r="O10" i="15" l="1"/>
  <c r="O8" i="15"/>
  <c r="O9" i="15"/>
  <c r="C74" i="15" s="1"/>
  <c r="C73" i="15" l="1"/>
  <c r="C75" i="15"/>
  <c r="C77" i="15" l="1"/>
  <c r="D73" i="15"/>
  <c r="C79" i="15"/>
  <c r="D75" i="15"/>
  <c r="C78" i="15"/>
  <c r="D74" i="15"/>
  <c r="C85" i="15" l="1"/>
  <c r="D85" i="15" s="1"/>
  <c r="D78" i="15"/>
  <c r="E78" i="15" s="1"/>
  <c r="C86" i="15"/>
  <c r="D86" i="15" s="1"/>
  <c r="D79" i="15"/>
  <c r="E79" i="15" s="1"/>
  <c r="C84" i="15"/>
  <c r="D84" i="15" s="1"/>
  <c r="D77" i="15"/>
  <c r="E77"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tc={851C67C1-A6A9-4AC9-80BC-E86368C80A2D}</author>
  </authors>
  <commentList>
    <comment ref="A17" authorId="0" shapeId="0" xr:uid="{851C67C1-A6A9-4AC9-80BC-E86368C80A2D}">
      <text>
        <t>[Threaded comment]
Your version of Excel allows you to read this threaded comment; however, any edits to it will get removed if the file is opened in a newer version of Excel. Learn more: https://go.microsoft.com/fwlink/?linkid=870924
Comment:
    mean of bitumen, gypsum, stone, sand-lime stone and sand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<sst xmlns="http://schemas.openxmlformats.org/spreadsheetml/2006/main" count="2878" uniqueCount="582">
  <si>
    <t>aluminium, wrought alloy | treatment of aluminium scrap, post-consumer, prepared for recycling, at remelter | RER | kilogram | cutoff38 - Janneke</t>
  </si>
  <si>
    <t>kilogram</t>
  </si>
  <si>
    <t>aluminium, wrought alloy</t>
  </si>
  <si>
    <t>treatment of aluminium scrap, post-consumer, prepared for recycling, at remelter</t>
  </si>
  <si>
    <t>RER</t>
  </si>
  <si>
    <t>cutoff38 - Janneke</t>
  </si>
  <si>
    <t>index</t>
  </si>
  <si>
    <t>amount</t>
  </si>
  <si>
    <t>unit</t>
  </si>
  <si>
    <t>reference product</t>
  </si>
  <si>
    <t>name</t>
  </si>
  <si>
    <t>location</t>
  </si>
  <si>
    <t>database</t>
  </si>
  <si>
    <t>IPCC 2013 | climate change | GWP 100a</t>
  </si>
  <si>
    <t>aluminium, cast alloy | treatment of aluminium scrap, post-consumer, prepared for recycling, at refiner | RER | kilogram | cutoff38 - Janneke</t>
  </si>
  <si>
    <t>aluminium, cast alloy</t>
  </si>
  <si>
    <t>treatment of aluminium scrap, post-consumer, prepared for recycling, at refiner</t>
  </si>
  <si>
    <t>Assumptions</t>
  </si>
  <si>
    <t>clay brick | clay brick production, recycling JvO | RER | kilogram | cutoff38 - Janneke</t>
  </si>
  <si>
    <t>clay brick</t>
  </si>
  <si>
    <t>clay brick production, recycling JvO</t>
  </si>
  <si>
    <t>waste brick | treatment of waste brick, sorting plant | Europe without Switzerland | kilogram | cutoff38 - Janneke</t>
  </si>
  <si>
    <t>waste brick</t>
  </si>
  <si>
    <t>treatment of waste brick, sorting plant</t>
  </si>
  <si>
    <t>Europe without Switzerland</t>
  </si>
  <si>
    <t>concrete, 30MPa | concrete production 30MPa, secondary coarse aggregate (37% RC) | RoW | cubic meter | cutoff38 - Janneke</t>
  </si>
  <si>
    <t>cubic meter</t>
  </si>
  <si>
    <t>concrete, 30MPa</t>
  </si>
  <si>
    <t>concrete production 30MPa, secondary coarse aggregate (37% RC)</t>
  </si>
  <si>
    <t>RoW</t>
  </si>
  <si>
    <t>Density is 2316 kg/m3, 37% is gravel, which is replaced by secondary coarse aggregate, based on the Wet processing process as described by Zhang et al. (2021).</t>
  </si>
  <si>
    <t>bitumen seal | bitumen seal production, recycling JvO | RER | kilogram | cutoff38 - Janneke</t>
  </si>
  <si>
    <t>bitumen seal</t>
  </si>
  <si>
    <t>bitumen seal production, recycling JvO</t>
  </si>
  <si>
    <t>waste concrete, not reinforced | treatment of waste concrete, not reinforced, sorting plant | Europe without Switzerland | kilogram | cutoff38 - Janneke</t>
  </si>
  <si>
    <t>waste concrete, not reinforced</t>
  </si>
  <si>
    <t>treatment of waste concrete, not reinforced, sorting plant</t>
  </si>
  <si>
    <t>input materials are removed, including paper, quicklime, fleece, pitch, silica sand, polystyrene, etc.</t>
  </si>
  <si>
    <t>demolition like concrete</t>
  </si>
  <si>
    <t>Share</t>
  </si>
  <si>
    <t>copper, cathode | treatment of metal part of electronics scrap, in copper, anode, by electrolytic refining | RoW | kilogram | cutoff38 - Janneke</t>
  </si>
  <si>
    <t>copper, cathode</t>
  </si>
  <si>
    <t>treatment of metal part of electronics scrap, in copper, anode, by electrolytic refining</t>
  </si>
  <si>
    <t>polyvinylchloride, suspension polymerised | polyvinylchloride production, suspension polymerisation, recycling JvO  | RER | kilogram | cutoff38 - Janneke</t>
  </si>
  <si>
    <t>polyvinylchloride, suspension polymerised</t>
  </si>
  <si>
    <t xml:space="preserve">polyvinylchloride production, suspension polymerisation, recycling JvO </t>
  </si>
  <si>
    <t>input of vinyl chlorde (0.999 kg) is removed, and replaced with plastic granulate production</t>
  </si>
  <si>
    <t>waste gypsum plasterboard | treatment of waste gypsum plasterboard, sorting plant | CH | kilogram | cutoff38 - Janneke</t>
  </si>
  <si>
    <t>waste gypsum plasterboard</t>
  </si>
  <si>
    <t>treatment of waste gypsum plasterboard, sorting plant</t>
  </si>
  <si>
    <t>CH</t>
  </si>
  <si>
    <t>gypsum fibreboard | gypsum fibreboard production, recycling JvO | RoW | kilogram | cutoff38 - Janneke</t>
  </si>
  <si>
    <t>gypsum fibreboard</t>
  </si>
  <si>
    <t>gypsum fibreboard production, recycling JvO</t>
  </si>
  <si>
    <t>input of stucco, water, waste paper, silicone, alkylbenzene sulfonate and patato starch is removed (total input was 1.18, 0.18 of water remains for production)</t>
  </si>
  <si>
    <t>flat glass, uncoated | flat glass production, uncoated, recycling JvO | RER | kilogram | cutoff38 - Janneke</t>
  </si>
  <si>
    <t>flat glass, uncoated</t>
  </si>
  <si>
    <t>flat glass production, uncoated, recycling JvO</t>
  </si>
  <si>
    <t>waste glass sheet | treatment of waste glass sheet, sorting plant | Europe without Switzerland | kilogram | cutoff38 - Janneke</t>
  </si>
  <si>
    <t>waste glass sheet</t>
  </si>
  <si>
    <t>treatment of waste glass sheet, sorting plant</t>
  </si>
  <si>
    <t>glass wool mat, uncoated, Saint-Gobain ISOVER SA | glass wool mat production, with phenolic binder, uncoated, Saint-Gobain ISOVER SA | CH | kilogram | cutoff38 - Janneke</t>
  </si>
  <si>
    <t>glass wool mat, uncoated, Saint-Gobain ISOVER SA</t>
  </si>
  <si>
    <t>glass wool mat production, with phenolic binder, uncoated, Saint-Gobain ISOVER SA</t>
  </si>
  <si>
    <t>41% of glass to glass wool: 77% recycled content</t>
  </si>
  <si>
    <t>sawnwood, board, softwood, dried (u=20%), planed | planing, board, softwood, u=20%, JvO | Europe without Switzerland | cubic meter | cutoff38 - Janneke</t>
  </si>
  <si>
    <t>sawnwood, board, softwood, dried (u=20%), planed</t>
  </si>
  <si>
    <t>planing, board, softwood, u=20%, JvO</t>
  </si>
  <si>
    <t>particleboard, uncoated | particleboard production, uncoated, from secondary wood, JvO | RoW | cubic meter | cutoff38 - Janneke</t>
  </si>
  <si>
    <t>particleboard, uncoated</t>
  </si>
  <si>
    <t>particleboard production, uncoated, from secondary wood, JvO</t>
  </si>
  <si>
    <t>assuming that, similar like input, 82% of outflow is beam, of which 25% can be recycled into wooden boards. Input of wood is removed in original process</t>
  </si>
  <si>
    <t xml:space="preserve">assumining 18% of outflow is board, of which 80% can be recycled into particle board. In original process, inflow of wood is removed. </t>
  </si>
  <si>
    <t>Assuming building demolition, transportation &amp; sorting like gypsum plasterboard</t>
  </si>
  <si>
    <t>Stonewool, 50% RC, JvO | Stone wool, 50% RC, JvO | GLO | kilogram | cutoff38 - Janneke</t>
  </si>
  <si>
    <t>Stonewool, 50% RC, JvO</t>
  </si>
  <si>
    <t>Stone wool, 50% RC, JvO</t>
  </si>
  <si>
    <t>GLO</t>
  </si>
  <si>
    <t>Wood fibreboard, 80% RC, JvO | Wood fibreboard production, 80% RC,  JvO | GLO | kilogram | cutoff38 - Janneke</t>
  </si>
  <si>
    <t>Wood fibreboard, 80% RC, JvO</t>
  </si>
  <si>
    <t>Wood fibreboard production, 80% RC,  JvO</t>
  </si>
  <si>
    <t>Expanded Polystyrene, 12% RC, JvO | Expanded Polystyrene, 12% RC, JvO | GLO | kilogram | cutoff38 - Janneke</t>
  </si>
  <si>
    <t>Expanded Polystyrene, 12% RC, JvO</t>
  </si>
  <si>
    <t>Glass wool, 80% RC, JvO | Glass wool production, 80% RC, JvO | GLO | kilogram | cutoff38 - Janneke</t>
  </si>
  <si>
    <t>Glass wool, 80% RC, JvO</t>
  </si>
  <si>
    <t>Glass wool production, 80% RC, JvO</t>
  </si>
  <si>
    <t>Aluminum</t>
  </si>
  <si>
    <t>Copper</t>
  </si>
  <si>
    <t>Concrete</t>
  </si>
  <si>
    <t>Bitumen</t>
  </si>
  <si>
    <t>Electronics</t>
  </si>
  <si>
    <t>Gypsum</t>
  </si>
  <si>
    <t>Glass</t>
  </si>
  <si>
    <t>Wood</t>
  </si>
  <si>
    <t>Insulation</t>
  </si>
  <si>
    <t>steel, low-alloyed | steel production, electric, low-alloyed | Europe without Switzerland and Austria | kilogram | cutoff38 - Janneke</t>
  </si>
  <si>
    <t>steel, low-alloyed</t>
  </si>
  <si>
    <t>steel production, electric, low-alloyed</t>
  </si>
  <si>
    <t>Europe without Switzerland and Austria</t>
  </si>
  <si>
    <t>Steel &amp; iron, Other metals</t>
  </si>
  <si>
    <t>paper, woodfree, coated | paper production, woodfree, coated, at integrated mill, recycling JvO | RER | kilogram | cutoff38 - Janneke</t>
  </si>
  <si>
    <t>paper, woodfree, coated</t>
  </si>
  <si>
    <t>paper production, woodfree, coated, at integrated mill, recycling JvO</t>
  </si>
  <si>
    <t>inputs are removed, including sulphate pulp, lime, kaolin, organic and inorganic chemicals, etc.</t>
  </si>
  <si>
    <t>Demolition and sorting like plasterboard</t>
  </si>
  <si>
    <t>Paper</t>
  </si>
  <si>
    <t>Clay brick, sand-lime stone, ceramic tile, stone</t>
  </si>
  <si>
    <t>waste concrete gravel | treatment of waste concrete gravel, sorting plant | CH | kilogram | cutoff38 - Janneke</t>
  </si>
  <si>
    <t>waste concrete gravel</t>
  </si>
  <si>
    <t>treatment of waste concrete gravel, sorting plant</t>
  </si>
  <si>
    <t>Sand</t>
  </si>
  <si>
    <t>Only sorting is required</t>
  </si>
  <si>
    <t>Plastic</t>
  </si>
  <si>
    <t>aluminium, primary, ingot | aluminium production, primary, ingot | RoW | kilogram | cutoff38 - Janneke</t>
  </si>
  <si>
    <t>aluminium, primary, ingot</t>
  </si>
  <si>
    <t>aluminium production, primary, ingot</t>
  </si>
  <si>
    <t>clay brick | clay brick production | RER | kilogram | cutoff38 - Janneke</t>
  </si>
  <si>
    <t>clay brick production</t>
  </si>
  <si>
    <t>concrete, 30MPa | concrete production 30MPa | RoW | cubic meter | cutoff38 - Janneke</t>
  </si>
  <si>
    <t>concrete production 30MPa</t>
  </si>
  <si>
    <t>bitumen seal | bitumen seal production | RER | kilogram | cutoff38 - Janneke</t>
  </si>
  <si>
    <t>bitumen seal production</t>
  </si>
  <si>
    <t>copper, cathode | copper production, cathode, solvent extraction and electrowinning process | GLO | kilogram | cutoff38 - Janneke</t>
  </si>
  <si>
    <t>copper production, cathode, solvent extraction and electrowinning process</t>
  </si>
  <si>
    <t>polyvinylchloride, suspension polymerised | polyvinylchloride production, suspension polymerisation | RER | kilogram | cutoff38 - Janneke</t>
  </si>
  <si>
    <t>polyvinylchloride production, suspension polymerisation</t>
  </si>
  <si>
    <t>gypsum fibreboard | gypsum fibreboard production | RoW | kilogram | cutoff38 - Janneke</t>
  </si>
  <si>
    <t>gypsum fibreboard production</t>
  </si>
  <si>
    <t>flat glass, uncoated | flat glass production, uncoated | RER | kilogram | cutoff38 - Janneke</t>
  </si>
  <si>
    <t>flat glass production, uncoated</t>
  </si>
  <si>
    <t>sawnwood, beam, softwood, dried (u=20%), planed | planing, beam, softwood, u=20% | Europe without Switzerland | cubic meter | cutoff38 - Janneke</t>
  </si>
  <si>
    <t>sawnwood, beam, softwood, dried (u=20%), planed</t>
  </si>
  <si>
    <t>planing, beam, softwood, u=20%</t>
  </si>
  <si>
    <t>sawnwood, beam, hardwood, dried (u=20%), planed | planing, beam, hardwood, u=20% | Europe without Switzerland | cubic meter | cutoff38 - Janneke</t>
  </si>
  <si>
    <t>sawnwood, beam, hardwood, dried (u=20%), planed</t>
  </si>
  <si>
    <t>planing, beam, hardwood, u=20%</t>
  </si>
  <si>
    <t>sawnwood, board, hardwood, dried (u=20%), planed | planing, board, hardwood, u=20% | Europe without Switzerland | cubic meter | cutoff38 - Janneke</t>
  </si>
  <si>
    <t>sawnwood, board, hardwood, dried (u=20%), planed</t>
  </si>
  <si>
    <t>planing, board, hardwood, u=20%</t>
  </si>
  <si>
    <t>stone wool | stone wool production | RoW | kilogram | cutoff38 - Janneke</t>
  </si>
  <si>
    <t>stone wool</t>
  </si>
  <si>
    <t>stone wool production</t>
  </si>
  <si>
    <t>glass wool mat | glass wool mat production | RoW | kilogram | cutoff38 - Janneke</t>
  </si>
  <si>
    <t>glass wool mat</t>
  </si>
  <si>
    <t>glass wool mat production</t>
  </si>
  <si>
    <t>polyurethane, flexible foam | polyurethane production, flexible foam, MDI-based | RER | kilogram | cutoff38 - Janneke</t>
  </si>
  <si>
    <t>polyurethane, flexible foam</t>
  </si>
  <si>
    <t>polyurethane production, flexible foam, MDI-based</t>
  </si>
  <si>
    <t>polystyrene, extruded | polystyrene production, extruded, CO2 blown | RoW | kilogram | cutoff38 - Janneke</t>
  </si>
  <si>
    <t>polystyrene, extruded</t>
  </si>
  <si>
    <t>polystyrene production, extruded, CO2 blown</t>
  </si>
  <si>
    <t>polystyrene, expandable | polystyrene production, expandable | RER | kilogram | cutoff38 - Janneke</t>
  </si>
  <si>
    <t>polystyrene, expandable</t>
  </si>
  <si>
    <t>polystyrene production, expandable</t>
  </si>
  <si>
    <t>residual wood, dry | fibreboard production, soft, from wet &amp; dry processes | Europe without Switzerland | cubic meter | cutoff38 - Janneke</t>
  </si>
  <si>
    <t>residual wood, dry</t>
  </si>
  <si>
    <t>fibreboard production, soft, from wet &amp; dry processes</t>
  </si>
  <si>
    <t>sand-lime brick | sand-lime brick production | DE | kilogram | cutoff38 - Janneke</t>
  </si>
  <si>
    <t>sand-lime brick</t>
  </si>
  <si>
    <t>sand-lime brick production</t>
  </si>
  <si>
    <t>DE</t>
  </si>
  <si>
    <t>ceramic tile | ceramic tile production | RoW | kilogram | cutoff38 - Janneke</t>
  </si>
  <si>
    <t>ceramic tile</t>
  </si>
  <si>
    <t>ceramic tile production</t>
  </si>
  <si>
    <t>alkyd paint, white, without solvent, in 60% solution state | alkyd paint production, white, solvent-based, product in 60% solution state | RoW | kilogram | cutoff38 - Janneke</t>
  </si>
  <si>
    <t>alkyd paint, white, without solvent, in 60% solution state</t>
  </si>
  <si>
    <t>alkyd paint production, white, solvent-based, product in 60% solution state</t>
  </si>
  <si>
    <t>Wood &amp; other biobased materials</t>
  </si>
  <si>
    <t>steel, low-alloyed | steel production, converter, low-alloyed | RER | kilogram | cutoff38 - Janneke</t>
  </si>
  <si>
    <t>steel production, converter, low-alloyed</t>
  </si>
  <si>
    <t>Steel &amp; iron, other metals</t>
  </si>
  <si>
    <t>paper, woodfree, coated | paper production, woodfree, coated, at integrated mill | RER | kilogram | cutoff38 - Janneke</t>
  </si>
  <si>
    <t>paper production, woodfree, coated, at integrated mill</t>
  </si>
  <si>
    <t>stone, sand-lime stone</t>
  </si>
  <si>
    <t>sand | gravel and sand quarry operation | RoW | kilogram | cutoff38 - Janneke</t>
  </si>
  <si>
    <t>sand</t>
  </si>
  <si>
    <t>gravel and sand quarry operation</t>
  </si>
  <si>
    <t>Clay brick</t>
  </si>
  <si>
    <t>Ceramic tile</t>
  </si>
  <si>
    <t>Paint &amp; glue</t>
  </si>
  <si>
    <t>Plastics</t>
  </si>
  <si>
    <t>replaced with flax wool in biobased, replaced with stonewool in circular</t>
  </si>
  <si>
    <t>replaced with wood fibre softboard in biobased and circular</t>
  </si>
  <si>
    <t>softwood share in beam</t>
  </si>
  <si>
    <t>hardwood share in beam</t>
  </si>
  <si>
    <t>Concrete density: 2316 kg/m3</t>
  </si>
  <si>
    <t>300 kg/m3. equal impacts assumed for flax wool insulation</t>
  </si>
  <si>
    <t>kg</t>
  </si>
  <si>
    <t>Material</t>
  </si>
  <si>
    <t>Sources</t>
  </si>
  <si>
    <t>Brick</t>
  </si>
  <si>
    <t>Other construction materials</t>
  </si>
  <si>
    <t>See Concrete</t>
  </si>
  <si>
    <t>Steel &amp; iron</t>
  </si>
  <si>
    <t>PUR</t>
  </si>
  <si>
    <t>Wiprachtiger et al. (2020)</t>
  </si>
  <si>
    <t>XPS</t>
  </si>
  <si>
    <t>EPS</t>
  </si>
  <si>
    <t>Wiprachtiger et al. (2020), EPS Industry Alliance (2016)</t>
  </si>
  <si>
    <t>Glass wool</t>
  </si>
  <si>
    <t>Wiprachtiger et al. (2020), Isover (2018)</t>
  </si>
  <si>
    <t>Rock wool</t>
  </si>
  <si>
    <t>Wiprachtiger et al. (2020), Bouwfisica (2018) &amp; Rockwool (n.d.)</t>
  </si>
  <si>
    <t>Wood insulation</t>
  </si>
  <si>
    <t>Maximum recycled content as glass wool</t>
  </si>
  <si>
    <t>Ceramics</t>
  </si>
  <si>
    <t>See Brick</t>
  </si>
  <si>
    <t>Glass to glass</t>
  </si>
  <si>
    <t>Vlakglas Recycling Nederland (2020) &amp; Verhagen et al. (2021)</t>
  </si>
  <si>
    <t>Glass to glass wool</t>
  </si>
  <si>
    <t>Vlakglas Recycling Nederland (2020), ISOVER St. Gobain (2018) &amp; Verhagen et al. (2021)</t>
  </si>
  <si>
    <t>Mehr et al. (2018) &amp; Verhagen et al. (2021)</t>
  </si>
  <si>
    <t>Beam is sawn into smaller pieces: boards</t>
  </si>
  <si>
    <t>particle board consists of secondary wood and chemicals</t>
  </si>
  <si>
    <t>Other</t>
  </si>
  <si>
    <t>Metabolic (2021)</t>
  </si>
  <si>
    <t>Maximum recycled content based upon plastics and copper (electronics)</t>
  </si>
  <si>
    <t>EuRIC (2018a)</t>
  </si>
  <si>
    <t>Other metals</t>
  </si>
  <si>
    <t>See steel &amp; iron</t>
  </si>
  <si>
    <t>Other biobased materials</t>
  </si>
  <si>
    <t>See wood</t>
  </si>
  <si>
    <t>Mehr, J., Vadenbo, C., Steubing, B., &amp; Hellweg, S. (2018). Environmentally optimal wood use in Switzerland—Investigating the relevance of material cascades. Resources, Conservation and Recycling, 131, 181-191.</t>
  </si>
  <si>
    <r>
      <t>Verhagen, T. J., Sauer, M. L., van der Voet, E., &amp; Sprecher, B. (2021). Matching Demolition and Construction Material Flows, an Urban Mining Case Study. </t>
    </r>
    <r>
      <rPr>
        <i/>
        <sz val="10"/>
        <color rgb="FF222222"/>
        <rFont val="Avenir Next LT Pro"/>
        <family val="2"/>
      </rPr>
      <t>Sustainability</t>
    </r>
    <r>
      <rPr>
        <sz val="10"/>
        <color rgb="FF222222"/>
        <rFont val="Avenir Next LT Pro"/>
        <family val="2"/>
      </rPr>
      <t>, </t>
    </r>
    <r>
      <rPr>
        <i/>
        <sz val="10"/>
        <color rgb="FF222222"/>
        <rFont val="Avenir Next LT Pro"/>
        <family val="2"/>
      </rPr>
      <t>13</t>
    </r>
    <r>
      <rPr>
        <sz val="10"/>
        <color rgb="FF222222"/>
        <rFont val="Avenir Next LT Pro"/>
        <family val="2"/>
      </rPr>
      <t>(2), 653.</t>
    </r>
  </si>
  <si>
    <t>Van Dijk, K., van der Zwan, J., Fraaij, A.L.A., Mulder E., &amp; Hendriks, F. (2001). Closing the clay-brick cycle, options for the recycling or reuse of masonry debris. In CIB world building congress 2001 (pp. 1-12). CIB.</t>
  </si>
  <si>
    <t>KNB (n.d.). Hergebruik en Recycling. https://www.knb-keramiek.nl/themas/duurzaamheid/hergebruik-en-recycling/</t>
  </si>
  <si>
    <t>Bouwen met Staal (n.d.). Recycling en hergebruik. https://www.bouwenmetstaal.nl/themas/duurzaam/recycling-en-hergebruik/</t>
  </si>
  <si>
    <t>Bouwfysica (2018). De circulariteitsprestatie van isolatiematerialen. https://nvbv.org/l/library/download/urn:uuid:01978c2a-35de-4e92-85c4-6d21d0a69c0e/de+circulariteitsprestatie+van+isolatiematerialen.pdf?format=save_to_disk&amp;ext=.pdf</t>
  </si>
  <si>
    <t xml:space="preserve">Rockwool (n.d.). Rockcycle. https://www.rockwool.com/nl/downloads-tools-en-services/services/rockcycle/ . </t>
  </si>
  <si>
    <t>Metabolic (2021). Toekomstscenario’s voor de materialisering van gebouwen. Mogelijke implicaties van de circulaire en energietransitie op het materiaalgebruik in gebouwen tot 2050</t>
  </si>
  <si>
    <t xml:space="preserve">Vlakglas Recycling Nederland (2020). Jaarverslag 2020. https://www.vlakglasrecycling.nl/uploads/jaarverslagen/Jaarverslag%202020.pdf </t>
  </si>
  <si>
    <t>Zhang, C. (2021). Chapter 2: Eco-efficiency assessment of technological innovations in high-grade concrete recycling.</t>
  </si>
  <si>
    <t>Isover (2018). ISOVER Recycling. https://www.isover.fr/presse/isover-recycling</t>
  </si>
  <si>
    <t>MI</t>
  </si>
  <si>
    <t>WLO</t>
  </si>
  <si>
    <t>Baseline</t>
  </si>
  <si>
    <t>Biobased</t>
  </si>
  <si>
    <t>Stone wool</t>
  </si>
  <si>
    <t>Woodfibre insulation</t>
  </si>
  <si>
    <t>Wood beam</t>
  </si>
  <si>
    <t>Wood board</t>
  </si>
  <si>
    <t>Circular</t>
  </si>
  <si>
    <t>Demand</t>
  </si>
  <si>
    <t>Primary</t>
  </si>
  <si>
    <t>Secondary</t>
  </si>
  <si>
    <t>WLO High + Urban</t>
  </si>
  <si>
    <t>Wood fibre insulation</t>
  </si>
  <si>
    <t>Glass glasswool</t>
  </si>
  <si>
    <t>x</t>
  </si>
  <si>
    <t>LCA value recycled content</t>
  </si>
  <si>
    <t>%</t>
  </si>
  <si>
    <t>RC &lt; 100% in LCI</t>
  </si>
  <si>
    <t xml:space="preserve">AGGREGATED </t>
  </si>
  <si>
    <t>Total</t>
  </si>
  <si>
    <t>WLO High + Urban (tonne)</t>
  </si>
  <si>
    <t>m2</t>
  </si>
  <si>
    <t>m3</t>
  </si>
  <si>
    <t>kg/m3</t>
  </si>
  <si>
    <t>Surface area NL</t>
  </si>
  <si>
    <t>Outflow</t>
  </si>
  <si>
    <t>Aggregated</t>
  </si>
  <si>
    <t>% of demand</t>
  </si>
  <si>
    <t>O</t>
  </si>
  <si>
    <t>RC</t>
  </si>
  <si>
    <t>% of O</t>
  </si>
  <si>
    <t>ton</t>
  </si>
  <si>
    <t>&lt;1945</t>
  </si>
  <si>
    <t>1945-1970</t>
  </si>
  <si>
    <t>1970-2000</t>
  </si>
  <si>
    <t>&gt;2000</t>
  </si>
  <si>
    <t>Mortel</t>
  </si>
  <si>
    <t>WLO High</t>
  </si>
  <si>
    <t>Connected</t>
  </si>
  <si>
    <t>Rural</t>
  </si>
  <si>
    <t>WLO Low</t>
  </si>
  <si>
    <t>Baseline, GO + 20%</t>
  </si>
  <si>
    <t>Baseline, GO - 20%</t>
  </si>
  <si>
    <t>Biobased, GO + 20%</t>
  </si>
  <si>
    <t>Biobased, GO - 20%</t>
  </si>
  <si>
    <t>p.m.</t>
  </si>
  <si>
    <t xml:space="preserve">Use to deconstruction: </t>
  </si>
  <si>
    <t>Collection as single material</t>
  </si>
  <si>
    <t>single material to recycling</t>
  </si>
  <si>
    <t>RR</t>
  </si>
  <si>
    <t>wood fiber</t>
  </si>
  <si>
    <t>RR - total</t>
  </si>
  <si>
    <t>EuRIC (2018b) &amp; ASBP (2021), Verhagen et al. (2021)</t>
  </si>
  <si>
    <t>Theoretical EOL RR based upon mean of Verhagen et al. (2020)</t>
  </si>
  <si>
    <t>KNB (2022, 1 March). KNB. Personal communication</t>
  </si>
  <si>
    <t>* 82% is beam, 18% is board, 25% of beam can be recycled into boards, 80% of board can be recycled into particleboard (Mehr et al., 2018)</t>
  </si>
  <si>
    <t>Wiprachtiger et al., 2020: EOL Recycling rate for various insulation materials, 2015,  Switserland</t>
  </si>
  <si>
    <t>Primary production</t>
  </si>
  <si>
    <t>Secondary production</t>
  </si>
  <si>
    <t>MRC not included in value</t>
  </si>
  <si>
    <t>MRC included in value</t>
  </si>
  <si>
    <t>Corrected for MRC</t>
  </si>
  <si>
    <t>sawnwood, beam, softwood, raw, dried (u=20%)</t>
  </si>
  <si>
    <t>beam, softwood, raw, kiln drying to u=20%</t>
  </si>
  <si>
    <t>beam, softwood, raw, air drying to u=20%</t>
  </si>
  <si>
    <t>sawnwood, softwood, raw</t>
  </si>
  <si>
    <t>sawing, softwood</t>
  </si>
  <si>
    <t>sawlog and veneer log, softwood, measured as solid wood under bark</t>
  </si>
  <si>
    <t>market for sawlog and veneer log, softwood, measured as solid wood under bark</t>
  </si>
  <si>
    <t>Process tree softwood beam</t>
  </si>
  <si>
    <t>softwood forestry, pine, sustainable forest management</t>
  </si>
  <si>
    <t>SE</t>
  </si>
  <si>
    <t>softwood forestry, spruce, sustainable forest management</t>
  </si>
  <si>
    <t>! All for 1 m3 of material outut</t>
  </si>
  <si>
    <t>Hardwood</t>
  </si>
  <si>
    <t>Softwood</t>
  </si>
  <si>
    <t>sawlog needed for 1 m3 of planed softwood</t>
  </si>
  <si>
    <t>sawnwood, board, hardwood, raw, dried (u=20%)</t>
  </si>
  <si>
    <t>board, hardwood, raw, air drying to u=20%</t>
  </si>
  <si>
    <t>board, hardwood, raw, kiln drying to u=20%</t>
  </si>
  <si>
    <t>sawnwood, hardwood, raw</t>
  </si>
  <si>
    <t>sawing, hardwood</t>
  </si>
  <si>
    <t>sawlog and veneer log, hardwood, measured as solid wood under bark</t>
  </si>
  <si>
    <t>market for sawlog and veneer log, hardwood, measured as solid wood under bark</t>
  </si>
  <si>
    <t>hardwood forestry, beech, sustainable forest management</t>
  </si>
  <si>
    <t>hardwood forestry, birch, sustainable forest management</t>
  </si>
  <si>
    <t>hardwood forestry, oak, sustainable forest management</t>
  </si>
  <si>
    <t>Process tree hardwood board</t>
  </si>
  <si>
    <t>Process tree hardwood beam</t>
  </si>
  <si>
    <t>sawnwood, beam, hardwood, raw, dried (u=20%)</t>
  </si>
  <si>
    <t>beam, hardwood, raw, kiln drying to u=20%</t>
  </si>
  <si>
    <t>beam, hardwood, raw, air drying to u=20%</t>
  </si>
  <si>
    <t>Primary wood demand</t>
  </si>
  <si>
    <t>Board hard</t>
  </si>
  <si>
    <t>Beam soft</t>
  </si>
  <si>
    <t>Beam hard</t>
  </si>
  <si>
    <t>m3 sawlog</t>
  </si>
  <si>
    <t>Demand (m3/year): Baseline</t>
  </si>
  <si>
    <t>Demand (m3/year): Biobased</t>
  </si>
  <si>
    <t>Demand (m3/year): Circular</t>
  </si>
  <si>
    <t>Board hardwood</t>
  </si>
  <si>
    <t>Beam softwood</t>
  </si>
  <si>
    <t>Beam hardwood</t>
  </si>
  <si>
    <t>Land occupation (m2)</t>
  </si>
  <si>
    <t>cross-laminated timber | cross-laminated timber production | RER | cubic meter | cutoff38 - Janneke</t>
  </si>
  <si>
    <t>cross-laminated timber</t>
  </si>
  <si>
    <t>cross-laminated timber production</t>
  </si>
  <si>
    <t>CLT</t>
  </si>
  <si>
    <t>490 kg/m3</t>
  </si>
  <si>
    <t xml:space="preserve">Share in scenario Biobased only. Other are multiplied by 0.5337 </t>
  </si>
  <si>
    <t>Wood CLT</t>
  </si>
  <si>
    <t>sawnwood, board, softwood, raw, dried (u=10%)</t>
  </si>
  <si>
    <t>market for sawnwood, board, softwood, raw, dried (u=10%)</t>
  </si>
  <si>
    <t>Process tree CLT</t>
  </si>
  <si>
    <t>sawlog needed for 1 m3 of CLT</t>
  </si>
  <si>
    <t>Sawnwood EU</t>
  </si>
  <si>
    <t>Sawnwood CH</t>
  </si>
  <si>
    <t xml:space="preserve">Sawlog EU </t>
  </si>
  <si>
    <t>Sawlog CH</t>
  </si>
  <si>
    <t>kiln drying</t>
  </si>
  <si>
    <t>air dyring</t>
  </si>
  <si>
    <t>air drying</t>
  </si>
  <si>
    <t>kg/m3*</t>
  </si>
  <si>
    <t>** Greenspec (n.d.). Crosslam timber / CLT - Performance characteristics.  https://www.greenspec.co.uk/building-design/crosslam-timber-performance-characteristics/#:~:text=Density%3A%20480%E2%80%93500%20kg%2F,brick%20or%20concrete%20%2F%20concrete%20blockwork.</t>
  </si>
  <si>
    <t>kg/m3 **</t>
  </si>
  <si>
    <t>% of NL needed for wood production</t>
  </si>
  <si>
    <t>Primary wood demand kg (2018-2050</t>
  </si>
  <si>
    <t>Primary wood demand m3 (2018-2050)</t>
  </si>
  <si>
    <t>Primary sawlog demand m3 (2018-2050)</t>
  </si>
  <si>
    <t>650 kg/m3, 0.18 share</t>
  </si>
  <si>
    <t>650 kg/m3, 0.29 share</t>
  </si>
  <si>
    <t>450 kg/m3, 0.53 share</t>
  </si>
  <si>
    <t>In wet processing, 53% can be recycled as coarse aggregate. All gravel in primary concrete production is replaced with secondary coarse aggregate (37%)</t>
  </si>
  <si>
    <t>Maximum recycled content</t>
  </si>
  <si>
    <t>WLO High + Baseline (tonne)</t>
  </si>
  <si>
    <t>Urban</t>
  </si>
  <si>
    <t>Urbanization</t>
  </si>
  <si>
    <t>Flow</t>
  </si>
  <si>
    <t>Inflow</t>
  </si>
  <si>
    <t>BDA (2014). BDA comment on the use of Reclaimed Clay Bricks. https://www.brick.org.uk/admin/resources/g-reclaimed-brickwork.pdf</t>
  </si>
  <si>
    <t>SA</t>
  </si>
  <si>
    <t>Original</t>
  </si>
  <si>
    <t>% secondary</t>
  </si>
  <si>
    <t>increase in SA</t>
  </si>
  <si>
    <t>Conventional</t>
  </si>
  <si>
    <t>Steel &amp; iron, and other metals</t>
  </si>
  <si>
    <t>Low</t>
  </si>
  <si>
    <t>High</t>
  </si>
  <si>
    <t>Urbanization scenario</t>
  </si>
  <si>
    <t>Wooden fibers</t>
  </si>
  <si>
    <t>Glass glass wool</t>
  </si>
  <si>
    <t>UFA</t>
  </si>
  <si>
    <t>Detached house</t>
  </si>
  <si>
    <t>Row house</t>
  </si>
  <si>
    <t>Apartment</t>
  </si>
  <si>
    <t>Industry</t>
  </si>
  <si>
    <t>Office</t>
  </si>
  <si>
    <t>Services</t>
  </si>
  <si>
    <t>Shop</t>
  </si>
  <si>
    <t>Circular, GO + 20%</t>
  </si>
  <si>
    <t>Circular, GO - 20%</t>
  </si>
  <si>
    <t>Building type</t>
  </si>
  <si>
    <t>Cohort</t>
  </si>
  <si>
    <t>Steel</t>
  </si>
  <si>
    <t>detached house</t>
  </si>
  <si>
    <t>row house</t>
  </si>
  <si>
    <t>shop</t>
  </si>
  <si>
    <t>apartment</t>
  </si>
  <si>
    <t>office</t>
  </si>
  <si>
    <t>industry</t>
  </si>
  <si>
    <t>services</t>
  </si>
  <si>
    <t>Stone</t>
  </si>
  <si>
    <t>Adhesives &amp; paint</t>
  </si>
  <si>
    <t>Mortal</t>
  </si>
  <si>
    <t>Iron &amp; steel</t>
  </si>
  <si>
    <t>Sand-lime brick</t>
  </si>
  <si>
    <t>Results: stocks and flows</t>
  </si>
  <si>
    <t>Results: GHG emssions and land use</t>
  </si>
  <si>
    <t xml:space="preserve">Values above need to be multiplied with 1.000, because flows are calculated in tonnes, while impact per kg material. </t>
  </si>
  <si>
    <t xml:space="preserve">kg CO2 eq. </t>
  </si>
  <si>
    <t>Content</t>
  </si>
  <si>
    <t>Row 4-10 present primary material demand for scenario Conventional, Biobased and Circular (Urban) in kg, in m3 and total demand for sawlog (based on row 11-64).</t>
  </si>
  <si>
    <t>Row 11-64 present the losses during the production of softwood/hardwood beam, board or CLT.</t>
  </si>
  <si>
    <t>Methods: Material intensity data</t>
  </si>
  <si>
    <t>Methods: LCI data</t>
  </si>
  <si>
    <t>Results: Recycling rate (RR) and Maximum recycled content (MRC) values</t>
  </si>
  <si>
    <t xml:space="preserve">References: </t>
  </si>
  <si>
    <t>Wooden beam to board*</t>
  </si>
  <si>
    <t>Wooden board to particle board*</t>
  </si>
  <si>
    <t>* beam, board ratio is based on : Heeren et al. (2015)</t>
  </si>
  <si>
    <t>ASBP (2021). Recycled plastics in construction – Is it a good thing?  https://asbp.org.uk/asbp-news/think-piece-recycled-plastics</t>
  </si>
  <si>
    <t>Betonakkoord (2018). Betonakkoord voor duurzame groei. https://www.betonakkoord.nl/</t>
  </si>
  <si>
    <t>Bowyer, J., Bratkovich, S., Fernholz, K., Frank, M., Groot, H., Howe, J., &amp; Pepke, E. (2015). Understanding steel recovery and recycling rates and limitations to recycling. Dovetail Partners Inc.: Minneapolis, MN, USA, 1-12.</t>
  </si>
  <si>
    <t>EPS Industry Alliance (2016). Recycled Content in Expanded Polystyrene Foam Protective Packaging. http://www.epsindustry.org/sites/default/files/Recycled%20Content%20In%20Expanded%20Polystyrene%20Foam%20Protective%20Packaging.pdf</t>
  </si>
  <si>
    <t>ISOVER St. Gobain (2018) ISOVER Recycling - les déchets de laine de verre ont désormais und filière de recyclage – Dossier de presse</t>
  </si>
  <si>
    <t>Betonakkoord (2018), Zhang (2021, chapter 2), Verhagen et al. (2021)</t>
  </si>
  <si>
    <t>KNB (n.d.), KNB (2022), Verhagen et al. (2021), BDA (2014)</t>
  </si>
  <si>
    <t>EuRIC (2018b). Plastic Recycling Factsheet. https://circulareconomy.europa.eu/platform/sites/default/files/euric_-_plastic_recycling_fact_sheet.pdf</t>
  </si>
  <si>
    <t>EuRIC (2018a). Metal Recycling Factsheet. https://www.euric-aisbl.eu/position-papers/download/591/335/32</t>
  </si>
  <si>
    <t>EuRIC (2018a), Bouwen met Staal (n.d.), Verhagen et al. (2021), Bowyer et al. (2015)</t>
  </si>
  <si>
    <r>
      <t>Wiprächtiger, M., Haupt, M., Heeren, N., Waser, E., &amp; Hellweg, S. (2020). A framework for sustainable and circular system design: Development and application on thermal insulation materials. </t>
    </r>
    <r>
      <rPr>
        <i/>
        <sz val="10"/>
        <color rgb="FF222222"/>
        <rFont val="Avenir Next LT Pro"/>
        <family val="2"/>
      </rPr>
      <t>Resources, Conservation and Recycling</t>
    </r>
    <r>
      <rPr>
        <sz val="10"/>
        <color rgb="FF222222"/>
        <rFont val="Avenir Next LT Pro"/>
        <family val="2"/>
      </rPr>
      <t>, </t>
    </r>
    <r>
      <rPr>
        <i/>
        <sz val="10"/>
        <color rgb="FF222222"/>
        <rFont val="Avenir Next LT Pro"/>
        <family val="2"/>
      </rPr>
      <t>154</t>
    </r>
    <r>
      <rPr>
        <sz val="10"/>
        <color rgb="FF222222"/>
        <rFont val="Avenir Next LT Pro"/>
        <family val="2"/>
      </rPr>
      <t>, 104631.</t>
    </r>
  </si>
  <si>
    <t>Other*</t>
  </si>
  <si>
    <t>* excluded from analysis</t>
  </si>
  <si>
    <t>Calculation method:</t>
  </si>
  <si>
    <t>Row 67-86: calculation of surface area required for wood production</t>
  </si>
  <si>
    <t>Yield (m3/m2) (excluding bark)*</t>
  </si>
  <si>
    <t>rotation period (years) *</t>
  </si>
  <si>
    <t>Yield (m3/m2) (excluding bark)/year *</t>
  </si>
  <si>
    <t>* Wernet, G., Bauer, C., Steubing, B., Reinhard, J., Moreno-Ruiz, E., &amp; Weidema, B. (2016). The ecoinvent database version 3 (part I): Overview and methodology. The International Journal of Life Cycle Assessment, 21(9), 1218–1230. https://doi.org/10.1007/s11367-016-1087-8</t>
  </si>
  <si>
    <t>Stonewool</t>
  </si>
  <si>
    <t>Glasswool</t>
  </si>
  <si>
    <t>Woodfibers</t>
  </si>
  <si>
    <t>Wooden beam</t>
  </si>
  <si>
    <t>Wooden board</t>
  </si>
  <si>
    <t>S2-1</t>
  </si>
  <si>
    <t>S2-2</t>
  </si>
  <si>
    <t>S2-3</t>
  </si>
  <si>
    <t>S2-4</t>
  </si>
  <si>
    <t>S2-5</t>
  </si>
  <si>
    <t>S2-6</t>
  </si>
  <si>
    <t>kg/m2 UFA</t>
  </si>
  <si>
    <t>2000-2018</t>
  </si>
  <si>
    <t>Recycled content is max 25% (KNB, n.d.), included in calculation in separate step</t>
  </si>
  <si>
    <t>References</t>
  </si>
  <si>
    <t>involves building demolition, collection, sorting, melting and casting; output is aluminium, wrought alloy, assuming 39% is refined and 61% is remelted, based on Zhong et al. (2021)</t>
  </si>
  <si>
    <t>"Energy for dismantling, particulate matter emissions from dismantling and handling, machines for handling in sorting plant, electricity demand for sorting plant, transport to dismantling facilities, final disposal of waste material." (Wernet et al., 2016)</t>
  </si>
  <si>
    <r>
      <t xml:space="preserve">Wernet, G., Bauer, C., Steubing, B., Reinhard, J., Moreno-Ruiz, E., &amp; Weidema, B. (2016). The ecoinvent database version 3 (part I): Overview and methodology. </t>
    </r>
    <r>
      <rPr>
        <i/>
        <sz val="10"/>
        <color theme="1"/>
        <rFont val="Avenir Next LT Pro"/>
        <family val="2"/>
      </rPr>
      <t>The International Journal of Life Cycle Assessment</t>
    </r>
    <r>
      <rPr>
        <sz val="10"/>
        <color theme="1"/>
        <rFont val="Avenir Next LT Pro"/>
        <family val="2"/>
      </rPr>
      <t xml:space="preserve">, </t>
    </r>
    <r>
      <rPr>
        <i/>
        <sz val="10"/>
        <color theme="1"/>
        <rFont val="Avenir Next LT Pro"/>
        <family val="2"/>
      </rPr>
      <t>21</t>
    </r>
    <r>
      <rPr>
        <sz val="10"/>
        <color theme="1"/>
        <rFont val="Avenir Next LT Pro"/>
        <family val="2"/>
      </rPr>
      <t>(9), 1218–1230. https://doi.org/10.1007/s11367-016-1087-8</t>
    </r>
  </si>
  <si>
    <r>
      <t xml:space="preserve">Zhong, X., Hu, M., Deetman, S., Steubing, B., Lin, H. X., Hernandez, G. A., Harpprecht, C., Zhang, C., Tukker, A., &amp; Behrens, P. (2021). Global greenhouse gas emissions from residential and commercial building materials and mitigation strategies to 2060. </t>
    </r>
    <r>
      <rPr>
        <i/>
        <sz val="10"/>
        <color theme="1"/>
        <rFont val="Avenir Next LT Pro"/>
        <family val="2"/>
      </rPr>
      <t>Nature Communications</t>
    </r>
    <r>
      <rPr>
        <sz val="10"/>
        <color theme="1"/>
        <rFont val="Avenir Next LT Pro"/>
        <family val="2"/>
      </rPr>
      <t xml:space="preserve">, </t>
    </r>
    <r>
      <rPr>
        <i/>
        <sz val="10"/>
        <color theme="1"/>
        <rFont val="Avenir Next LT Pro"/>
        <family val="2"/>
      </rPr>
      <t>12</t>
    </r>
    <r>
      <rPr>
        <sz val="10"/>
        <color theme="1"/>
        <rFont val="Avenir Next LT Pro"/>
        <family val="2"/>
      </rPr>
      <t>(1), 6126. https://doi.org/10.1038/s41467-021-26212-z</t>
    </r>
  </si>
  <si>
    <t>input of silica sand, lime and stone ash (1.19 kg) is removed. Only 7% is recycled into new glass. Vlakglasrecycling Nederland (2020)</t>
  </si>
  <si>
    <t>High RR</t>
  </si>
  <si>
    <t>BAU</t>
  </si>
  <si>
    <t>Max RR</t>
  </si>
  <si>
    <t>GO</t>
  </si>
  <si>
    <t>Ruimtelijk</t>
  </si>
  <si>
    <t>Beton</t>
  </si>
  <si>
    <t>Baksteen</t>
  </si>
  <si>
    <t>Overige constructiematerialen</t>
  </si>
  <si>
    <t>Staal &amp; Ijzer</t>
  </si>
  <si>
    <t>Steenwol</t>
  </si>
  <si>
    <t>Glaswol</t>
  </si>
  <si>
    <t>Houtvezels</t>
  </si>
  <si>
    <t>Keramiek</t>
  </si>
  <si>
    <t>Glas</t>
  </si>
  <si>
    <t>Glas glaswol</t>
  </si>
  <si>
    <t>Hout</t>
  </si>
  <si>
    <t>Hout beam</t>
  </si>
  <si>
    <t>Hout board</t>
  </si>
  <si>
    <t>Overig</t>
  </si>
  <si>
    <t>Kunststoffen</t>
  </si>
  <si>
    <t>Aluminium</t>
  </si>
  <si>
    <t>Koper</t>
  </si>
  <si>
    <t>Overige metalen</t>
  </si>
  <si>
    <t>Overige biobased materialen</t>
  </si>
  <si>
    <t>Hoog</t>
  </si>
  <si>
    <t>Dichtbij</t>
  </si>
  <si>
    <t>Verbonden</t>
  </si>
  <si>
    <t>Ruim</t>
  </si>
  <si>
    <t>Laag</t>
  </si>
  <si>
    <t>Groot</t>
  </si>
  <si>
    <t>Klein</t>
  </si>
  <si>
    <t>Hergebruik</t>
  </si>
  <si>
    <t>100%RR</t>
  </si>
  <si>
    <t>Sensitivity</t>
  </si>
  <si>
    <t xml:space="preserve">EOL         recycling rate    (100%) </t>
  </si>
  <si>
    <t>EOL         recycling rate            (actual)</t>
  </si>
  <si>
    <t>Discussion: Sensitivity analysis: recycling rates</t>
  </si>
  <si>
    <t>EOL         recycling rate (best practice)</t>
  </si>
  <si>
    <t>Supporting Information 2 (S2)</t>
  </si>
  <si>
    <t>km2</t>
  </si>
  <si>
    <t>Expanded polystyrene</t>
  </si>
  <si>
    <t>Polyurethanes</t>
  </si>
  <si>
    <t>Extruded polystyrene</t>
  </si>
  <si>
    <t>Biobased (wooden fibre board or flaxwool )</t>
  </si>
  <si>
    <t>Stock</t>
  </si>
  <si>
    <t>Construction</t>
  </si>
  <si>
    <t>Zhang (2021), chapter 5, Table A5.5., page 113 + own assumptions, see main text</t>
  </si>
  <si>
    <t>UFA/cap</t>
  </si>
  <si>
    <t>UFA (m2)</t>
  </si>
  <si>
    <t>Stock (ton)</t>
  </si>
  <si>
    <t>Stock/cap</t>
  </si>
  <si>
    <t>m2/cap</t>
  </si>
  <si>
    <t>ton/cap</t>
  </si>
  <si>
    <t>Population size</t>
  </si>
  <si>
    <t>This study</t>
  </si>
  <si>
    <t>Stock per capita</t>
  </si>
  <si>
    <t>Year</t>
  </si>
  <si>
    <t>131-152</t>
  </si>
  <si>
    <t>t/cap</t>
  </si>
  <si>
    <t>Region</t>
  </si>
  <si>
    <t>Netherlands</t>
  </si>
  <si>
    <t>Vienna, Austria</t>
  </si>
  <si>
    <t>Miatto et al., 2019</t>
  </si>
  <si>
    <t>Padua, Italy</t>
  </si>
  <si>
    <t>Grenada</t>
  </si>
  <si>
    <t>Mollaei et al., 2021</t>
  </si>
  <si>
    <t>Waterloo, Canada</t>
  </si>
  <si>
    <t>Scale</t>
  </si>
  <si>
    <t>National</t>
  </si>
  <si>
    <t>Primary material demand</t>
  </si>
  <si>
    <t>Biboased</t>
  </si>
  <si>
    <t>associated land occupation (m2 year)</t>
  </si>
  <si>
    <t>Share per material</t>
  </si>
  <si>
    <t>selected LCI results | resource | land occupation (m2 year)</t>
  </si>
  <si>
    <t>Demolition</t>
  </si>
  <si>
    <t>Retail</t>
  </si>
  <si>
    <t>Totaal</t>
  </si>
  <si>
    <t>Flows</t>
  </si>
  <si>
    <t>Stocks</t>
  </si>
  <si>
    <t>Total per building type</t>
  </si>
  <si>
    <t>Reduction in primary material demand</t>
  </si>
  <si>
    <t>Zhang (2021)*, chapter 5, Table A5.5., page 113</t>
  </si>
  <si>
    <t>Zhang, C. (2021). Towards circular and energy-efficient management of building stock: an analysis of the residential sector of the Netherlands. PhD Thesis at Leiden University, The Netherlands. 
Chapter 5: Recycling potential in building energy renovation: a prospective study of the Dutch residential building stock up to 2050</t>
  </si>
  <si>
    <t>Study*</t>
  </si>
  <si>
    <t>Symmes, R., Fishman, T., Telesford, J. N., Singh, S. J., Tan, S., &amp; De Kroon, K. (2020). The weight of islands: Leveraging Grenada’s material stocks to adapt to climate change. Journal of Industrial Ecology, 24(2), 369–382. https://doi.org/10.1111/jiec.12853</t>
  </si>
  <si>
    <t>Lederer et al., 2021</t>
  </si>
  <si>
    <t>Kleemann, F., Lederer, J., Rechberger, H., &amp; Fellner, J. (2017). GIS-based Analysis of Vienna’s Material Stock in Buildings: GIS-based Analysis of Material Stock in Buildings. Journal of Industrial Ecology, 21(2), 368–380. https://doi.org/10.1111/jiec.12446</t>
  </si>
  <si>
    <r>
      <t xml:space="preserve">Miatto, A., Schandl, H., Forlin, L., Ronzani, F., Borin, P., Giordano, A., &amp; Tanikawa, H. (2019). A spatial analysis of material stock accumulation and demolition waste potential of buildings: A case study of Padua. </t>
    </r>
    <r>
      <rPr>
        <i/>
        <sz val="9"/>
        <color theme="1"/>
        <rFont val="Avenir Next LT Pro"/>
        <family val="2"/>
      </rPr>
      <t>Resources, Conservation and Recycling</t>
    </r>
    <r>
      <rPr>
        <sz val="9"/>
        <color theme="1"/>
        <rFont val="Avenir Next LT Pro"/>
        <family val="2"/>
      </rPr>
      <t xml:space="preserve">, </t>
    </r>
    <r>
      <rPr>
        <i/>
        <sz val="9"/>
        <color theme="1"/>
        <rFont val="Avenir Next LT Pro"/>
        <family val="2"/>
      </rPr>
      <t>142</t>
    </r>
    <r>
      <rPr>
        <sz val="9"/>
        <color theme="1"/>
        <rFont val="Avenir Next LT Pro"/>
        <family val="2"/>
      </rPr>
      <t>, 245–256. https://doi.org/10.1016/j.resconrec.2018.12.011</t>
    </r>
  </si>
  <si>
    <r>
      <t xml:space="preserve">Lederer, J., Gassner, A., Fellner, J., Mollay, U., &amp; Schremmer, C. (2021). Raw materials consumption and demolition waste generation of the urban building sector 2016–2050: A scenario-based material flow analysis of Vienna. </t>
    </r>
    <r>
      <rPr>
        <i/>
        <sz val="9"/>
        <color theme="1"/>
        <rFont val="Avenir Next LT Pro"/>
        <family val="2"/>
      </rPr>
      <t>Journal of Cleaner Production</t>
    </r>
    <r>
      <rPr>
        <sz val="9"/>
        <color theme="1"/>
        <rFont val="Avenir Next LT Pro"/>
        <family val="2"/>
      </rPr>
      <t xml:space="preserve">, </t>
    </r>
    <r>
      <rPr>
        <i/>
        <sz val="9"/>
        <color theme="1"/>
        <rFont val="Avenir Next LT Pro"/>
        <family val="2"/>
      </rPr>
      <t>288</t>
    </r>
    <r>
      <rPr>
        <sz val="9"/>
        <color theme="1"/>
        <rFont val="Avenir Next LT Pro"/>
        <family val="2"/>
      </rPr>
      <t>, 125566. https://doi.org/10.1016/j.jclepro.2020.125566</t>
    </r>
  </si>
  <si>
    <r>
      <t xml:space="preserve">Mollaei, A., Ibrahim, N., &amp; Habib, K. (2021). Estimating the construction material stocks in two Canadian cities: A case study of Kitchener and Waterloo. </t>
    </r>
    <r>
      <rPr>
        <i/>
        <sz val="9"/>
        <color theme="1"/>
        <rFont val="Avenir Next LT Pro"/>
        <family val="2"/>
      </rPr>
      <t>Journal of Cleaner Production</t>
    </r>
    <r>
      <rPr>
        <sz val="9"/>
        <color theme="1"/>
        <rFont val="Avenir Next LT Pro"/>
        <family val="2"/>
      </rPr>
      <t xml:space="preserve">, </t>
    </r>
    <r>
      <rPr>
        <i/>
        <sz val="9"/>
        <color theme="1"/>
        <rFont val="Avenir Next LT Pro"/>
        <family val="2"/>
      </rPr>
      <t>280</t>
    </r>
    <r>
      <rPr>
        <sz val="9"/>
        <color theme="1"/>
        <rFont val="Avenir Next LT Pro"/>
        <family val="2"/>
      </rPr>
      <t>, 124501. https://doi.org/10.1016/j.jclepro.2020.124501</t>
    </r>
  </si>
  <si>
    <t>*</t>
  </si>
  <si>
    <t>Kleeman et al., 2017</t>
  </si>
  <si>
    <t>Symmes et al., 2020</t>
  </si>
  <si>
    <t>Journal of Industrial Ecology – www.wileyonlinelibrary.com/journal/jie</t>
  </si>
  <si>
    <t>This supporting information provides material intensity data, recycling data, material stock and flow results, and impact data used for GHG emission and land-use calculations.</t>
  </si>
  <si>
    <r>
      <t xml:space="preserve">                 </t>
    </r>
    <r>
      <rPr>
        <sz val="10.5"/>
        <color rgb="FF000000"/>
        <rFont val="Arial Rounded MT Bold"/>
        <family val="2"/>
      </rPr>
      <t>SUPPORTING INFORMATION FOR:</t>
    </r>
  </si>
  <si>
    <r>
      <t xml:space="preserve">van Oorschot, J., Sprecher, B., Rijken, B., Witteveen, P., Blok, M., Schouten, N. &amp; van der Voet, E. Towards a low carbon and circular building sector: Building strategies and urbanization pathways for the Netherlands. </t>
    </r>
    <r>
      <rPr>
        <i/>
        <sz val="14"/>
        <color rgb="FF000000"/>
        <rFont val="Arial"/>
        <family val="2"/>
      </rPr>
      <t xml:space="preserve">Journal of Industrial Ecology. </t>
    </r>
  </si>
  <si>
    <t>Title:</t>
  </si>
  <si>
    <t>Source:</t>
  </si>
  <si>
    <t>doi:</t>
  </si>
  <si>
    <t>Empirical Source:</t>
  </si>
  <si>
    <t>Temporal Scope:</t>
  </si>
  <si>
    <t>Geographical Scope:</t>
  </si>
  <si>
    <t xml:space="preserve">Unit: </t>
  </si>
  <si>
    <t>Material content intensity of existing and new buildings (kg/m2)</t>
  </si>
  <si>
    <t>Oorschot et al. 2023</t>
  </si>
  <si>
    <t>https://doi.org/10.1111/jiec.13375</t>
  </si>
  <si>
    <t>Arnoldussen, J., Errami, S., Semenov, R., Roemers, G., Blok, M., Kamps, M., &amp; Faes, K. (2019). Materiaalstromen, milieu-impact en energieverbruik in de woning- en utiliteitsbouw. Uitgangssituatie en doorkijk naar 2030. https://circulairebouweconomie.nl/wp-content/uploads/2020/02/Rapport-Materiaalstromen-in-de-woning-en-utiliteitsbouw-klein.pdf</t>
  </si>
  <si>
    <t>pre-1945 to 2050</t>
  </si>
  <si>
    <t>NL</t>
  </si>
  <si>
    <t>kg/m2 useful floor area</t>
  </si>
  <si>
    <t>Baseline (without biobased construction)</t>
  </si>
  <si>
    <t>1975-2005</t>
  </si>
  <si>
    <t>pre 1945</t>
  </si>
  <si>
    <t>1946-1974</t>
  </si>
  <si>
    <t>detached (vrijstaand)</t>
  </si>
  <si>
    <t>row house (tussenwoning)</t>
  </si>
  <si>
    <t>multiple fam (meergezins)</t>
  </si>
  <si>
    <t>2006-2022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</si>
</sst>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59" x14ac:knownFonts="1">
    <font>
      <sz val="11"/>
      <color theme="1"/>
      <name val="Calibri"/>
      <family val="2"/>
      <scheme val="minor"/>
    </font>
    <font>
      <sz val="11"/>
      <color theme="1"/>
      <name val="Calibri"/>
      <family val="2"/>
      <scheme val="minor"/>
    </font>
    <font>
      <b/>
      <sz val="10"/>
      <color theme="1"/>
      <name val="Avenir Next LT Pro"/>
      <family val="2"/>
    </font>
    <font>
      <sz val="10"/>
      <color theme="1"/>
      <name val="Avenir Next LT Pro"/>
      <family val="2"/>
    </font>
    <font>
      <sz val="10"/>
      <name val="Avenir Next LT Pro"/>
      <family val="2"/>
    </font>
    <font>
      <sz val="11"/>
      <name val="Calibri"/>
      <family val="2"/>
      <scheme val="minor"/>
    </font>
    <font>
      <b/>
      <sz val="11"/>
      <color theme="1"/>
      <name val="Avenir Next LT Pro"/>
      <family val="2"/>
    </font>
    <font>
      <sz val="11"/>
      <color theme="1"/>
      <name val="Avenir Next LT Pro"/>
      <family val="2"/>
    </font>
    <font>
      <sz val="9"/>
      <color theme="1"/>
      <name val="Avenir Next LT Pro"/>
      <family val="2"/>
    </font>
    <font>
      <sz val="11"/>
      <name val="Avenir Next LT Pro"/>
      <family val="2"/>
    </font>
    <font>
      <sz val="9"/>
      <color theme="1"/>
      <name val="Calibri"/>
      <family val="2"/>
      <scheme val="minor"/>
    </font>
    <font>
      <sz val="10"/>
      <color rgb="FF222222"/>
      <name val="Avenir Next LT Pro"/>
      <family val="2"/>
    </font>
    <font>
      <i/>
      <sz val="10"/>
      <color rgb="FF222222"/>
      <name val="Avenir Next LT Pro"/>
      <family val="2"/>
    </font>
    <font>
      <i/>
      <sz val="9"/>
      <color theme="2" tint="-0.499984740745262"/>
      <name val="Avenir Next LT Pro"/>
      <family val="2"/>
    </font>
    <font>
      <i/>
      <sz val="9"/>
      <color theme="1"/>
      <name val="Avenir Next LT Pro"/>
      <family val="2"/>
    </font>
    <font>
      <b/>
      <sz val="10"/>
      <name val="Avenir Next LT Pro"/>
      <family val="2"/>
    </font>
    <font>
      <sz val="8"/>
      <name val="Calibri"/>
      <family val="2"/>
      <scheme val="minor"/>
    </font>
    <font>
      <sz val="10"/>
      <color theme="1"/>
      <name val="Calibri"/>
      <family val="2"/>
      <scheme val="minor"/>
    </font>
    <font>
      <b/>
      <sz val="9"/>
      <color theme="1"/>
      <name val="Avenir Next LT Pro"/>
      <family val="2"/>
    </font>
    <font>
      <i/>
      <sz val="10"/>
      <color theme="1"/>
      <name val="Avenir Next LT Pro"/>
      <family val="2"/>
    </font>
    <font>
      <sz val="10"/>
      <color rgb="FFFF0000"/>
      <name val="Avenir Next LT Pro"/>
      <family val="2"/>
    </font>
    <font>
      <b/>
      <sz val="11"/>
      <color theme="1"/>
      <name val="Calibri"/>
      <family val="2"/>
      <scheme val="minor"/>
    </font>
    <font>
      <sz val="11"/>
      <color rgb="FFFF0000"/>
      <name val="Avenir Next LT Pro"/>
      <family val="2"/>
    </font>
    <font>
      <b/>
      <sz val="12"/>
      <color theme="1"/>
      <name val="Avenir Next LT Pro"/>
      <family val="2"/>
    </font>
    <font>
      <i/>
      <sz val="10"/>
      <color rgb="FFFF0000"/>
      <name val="Avenir Next LT Pro"/>
      <family val="2"/>
    </font>
    <font>
      <b/>
      <sz val="8"/>
      <color theme="1"/>
      <name val="Avenir Next LT Pro"/>
      <family val="2"/>
    </font>
    <font>
      <sz val="8"/>
      <name val="Avenir Next LT Pro"/>
      <family val="2"/>
    </font>
    <font>
      <sz val="8"/>
      <color theme="1"/>
      <name val="Avenir Next LT Pro"/>
      <family val="2"/>
    </font>
    <font>
      <sz val="8"/>
      <color theme="1"/>
      <name val="Calibri"/>
      <family val="2"/>
      <scheme val="minor"/>
    </font>
    <font>
      <sz val="8"/>
      <color theme="9" tint="-0.249977111117893"/>
      <name val="Avenir Next LT Pro"/>
      <family val="2"/>
    </font>
    <font>
      <b/>
      <sz val="8"/>
      <color rgb="FF1199FF"/>
      <name val="Avenir Next LT Pro"/>
      <family val="2"/>
    </font>
    <font>
      <b/>
      <sz val="8"/>
      <color theme="9" tint="-0.249977111117893"/>
      <name val="Avenir Next LT Pro"/>
      <family val="2"/>
    </font>
    <font>
      <b/>
      <sz val="8"/>
      <color rgb="FFFF00FF"/>
      <name val="Avenir Next LT Pro"/>
      <family val="2"/>
    </font>
    <font>
      <b/>
      <sz val="8"/>
      <color rgb="FFFFC000"/>
      <name val="Avenir Next LT Pro"/>
      <family val="2"/>
    </font>
    <font>
      <b/>
      <sz val="8"/>
      <color rgb="FFC00000"/>
      <name val="Avenir Next LT Pro"/>
      <family val="2"/>
    </font>
    <font>
      <b/>
      <sz val="9"/>
      <color theme="4" tint="-0.249977111117893"/>
      <name val="Avenir Next LT Pro"/>
      <family val="2"/>
    </font>
    <font>
      <sz val="9"/>
      <color theme="4" tint="-0.249977111117893"/>
      <name val="Avenir Next LT Pro"/>
      <family val="2"/>
    </font>
    <font>
      <sz val="16"/>
      <color theme="0"/>
      <name val="Calibri"/>
      <family val="2"/>
      <scheme val="minor"/>
    </font>
    <font>
      <b/>
      <sz val="10"/>
      <color theme="4" tint="-0.249977111117893"/>
      <name val="Avenir Next LT Pro"/>
      <family val="2"/>
    </font>
    <font>
      <i/>
      <sz val="9"/>
      <color theme="4" tint="-0.249977111117893"/>
      <name val="Avenir Next LT Pro"/>
      <family val="2"/>
    </font>
    <font>
      <b/>
      <i/>
      <sz val="10"/>
      <color theme="4" tint="-0.249977111117893"/>
      <name val="Avenir Next LT Pro"/>
      <family val="2"/>
    </font>
    <font>
      <sz val="11"/>
      <color rgb="FFFF0000"/>
      <name val="Calibri"/>
      <family val="2"/>
      <scheme val="minor"/>
    </font>
    <font>
      <u/>
      <sz val="10"/>
      <color theme="1"/>
      <name val="Avenir Next LT Pro"/>
      <family val="2"/>
    </font>
    <font>
      <sz val="11"/>
      <color theme="4" tint="-0.249977111117893"/>
      <name val="Avenir Next LT Pro"/>
      <family val="2"/>
    </font>
    <font>
      <i/>
      <sz val="8"/>
      <color theme="1"/>
      <name val="Avenir Next LT Pro"/>
      <family val="2"/>
    </font>
    <font>
      <sz val="9"/>
      <name val="Avenir Next LT Pro"/>
      <family val="2"/>
    </font>
    <font>
      <sz val="16"/>
      <color theme="0"/>
      <name val="Avenir Next LT Pro"/>
      <family val="2"/>
    </font>
    <font>
      <sz val="11"/>
      <color theme="0"/>
      <name val="Avenir Next LT Pro"/>
      <family val="2"/>
    </font>
    <font>
      <b/>
      <sz val="10"/>
      <color theme="1"/>
      <name val="Calibri"/>
      <family val="2"/>
      <scheme val="minor"/>
    </font>
    <font>
      <u/>
      <sz val="11"/>
      <color theme="10"/>
      <name val="Calibri"/>
      <family val="2"/>
      <scheme val="minor"/>
    </font>
    <font>
      <u/>
      <sz val="10"/>
      <name val="Arial"/>
      <family val="2"/>
    </font>
    <font>
      <sz val="10"/>
      <name val="Arial"/>
      <family val="2"/>
    </font>
    <font>
      <sz val="14"/>
      <color rgb="FF000000"/>
      <name val="Arial"/>
      <family val="2"/>
    </font>
    <font>
      <sz val="10.5"/>
      <color rgb="FF000000"/>
      <name val="Arial Rounded MT Bold"/>
      <family val="2"/>
    </font>
    <font>
      <i/>
      <sz val="14"/>
      <color rgb="FF000000"/>
      <name val="Arial"/>
      <family val="2"/>
    </font>
    <font>
      <sz val="11"/>
      <color rgb="FF000000"/>
      <name val="Arial"/>
      <family val="2"/>
    </font>
    <font>
      <i/>
      <sz val="11"/>
      <color theme="1"/>
      <name val="Avenir Next LT Pro"/>
      <family val="2"/>
    </font>
    <font>
      <sz val="10"/>
      <color theme="1"/>
      <name val="Avenir Next LT Pro Light"/>
      <family val="2"/>
    </font>
    <font>
      <i/>
      <sz val="10"/>
      <color theme="1"/>
      <name val="Avenir Next LT Pro Light"/>
      <family val="2"/>
    </font>
  </fonts>
  <fills count="16">
    <fill>
      <patternFill patternType="none"/>
    </fill>
    <fill>
      <patternFill patternType="gray125"/>
    </fill>
    <fill>
      <patternFill patternType="solid">
        <fgColor theme="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B3A2C7"/>
        <bgColor indexed="64"/>
      </patternFill>
    </fill>
    <fill>
      <patternFill patternType="solid">
        <fgColor theme="1"/>
        <bgColor indexed="64"/>
      </patternFill>
    </fill>
    <fill>
      <patternFill patternType="solid">
        <fgColor theme="3" tint="0.79998168889431442"/>
        <bgColor indexed="64"/>
      </patternFill>
    </fill>
    <fill>
      <patternFill patternType="solid">
        <fgColor theme="4" tint="-0.249977111117893"/>
        <bgColor indexed="64"/>
      </patternFill>
    </fill>
  </fills>
  <borders count="52">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right/>
      <top style="medium">
        <color indexed="64"/>
      </top>
      <bottom/>
      <diagonal/>
    </border>
    <border>
      <left/>
      <right/>
      <top/>
      <bottom style="medium">
        <color indexed="64"/>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medium">
        <color indexed="64"/>
      </left>
      <right style="thin">
        <color auto="1"/>
      </right>
      <top/>
      <bottom/>
      <diagonal/>
    </border>
    <border>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auto="1"/>
      </top>
      <bottom/>
      <diagonal/>
    </border>
    <border>
      <left style="medium">
        <color indexed="64"/>
      </left>
      <right style="medium">
        <color indexed="64"/>
      </right>
      <top/>
      <bottom style="thin">
        <color auto="1"/>
      </bottom>
      <diagonal/>
    </border>
    <border>
      <left style="thin">
        <color auto="1"/>
      </left>
      <right/>
      <top style="thin">
        <color auto="1"/>
      </top>
      <bottom/>
      <diagonal/>
    </border>
    <border>
      <left style="thin">
        <color auto="1"/>
      </left>
      <right style="thin">
        <color auto="1"/>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style="thin">
        <color indexed="64"/>
      </top>
      <bottom/>
      <diagonal/>
    </border>
    <border>
      <left style="thin">
        <color indexed="64"/>
      </left>
      <right/>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medium">
        <color indexed="64"/>
      </right>
      <top style="thin">
        <color auto="1"/>
      </top>
      <bottom/>
      <diagonal/>
    </border>
    <border>
      <left style="thin">
        <color auto="1"/>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49" fillId="0" borderId="0" applyNumberFormat="0" applyFill="0" applyBorder="0" applyAlignment="0" applyProtection="0"/>
  </cellStyleXfs>
  <cellXfs count="602">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3" fillId="0" borderId="3" xfId="0" applyFont="1" applyBorder="1"/>
    <xf numFmtId="0" fontId="3" fillId="0" borderId="4" xfId="0" applyFont="1" applyBorder="1"/>
    <xf numFmtId="9" fontId="3" fillId="0" borderId="3" xfId="0" applyNumberFormat="1" applyFont="1" applyBorder="1" applyAlignment="1">
      <alignment horizontal="center" vertical="center"/>
    </xf>
    <xf numFmtId="9" fontId="3"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6" xfId="0" applyFont="1" applyBorder="1"/>
    <xf numFmtId="0" fontId="3" fillId="0" borderId="12" xfId="0" applyFont="1" applyBorder="1"/>
    <xf numFmtId="0" fontId="3" fillId="0" borderId="14" xfId="0" applyFont="1" applyBorder="1"/>
    <xf numFmtId="0" fontId="3" fillId="0" borderId="3" xfId="0" applyFont="1" applyBorder="1" applyAlignment="1">
      <alignment wrapText="1"/>
    </xf>
    <xf numFmtId="0" fontId="3" fillId="0" borderId="4" xfId="0" applyFont="1" applyBorder="1" applyAlignment="1">
      <alignment wrapText="1"/>
    </xf>
    <xf numFmtId="0" fontId="3" fillId="0" borderId="6" xfId="0" applyFont="1" applyBorder="1" applyAlignment="1">
      <alignment wrapText="1"/>
    </xf>
    <xf numFmtId="0" fontId="3" fillId="0" borderId="7" xfId="0" applyFont="1" applyBorder="1"/>
    <xf numFmtId="0" fontId="3" fillId="0" borderId="9" xfId="0" applyFont="1" applyBorder="1"/>
    <xf numFmtId="0" fontId="3" fillId="0" borderId="11" xfId="0" applyFont="1" applyBorder="1"/>
    <xf numFmtId="9" fontId="3" fillId="0" borderId="3" xfId="0" applyNumberFormat="1" applyFont="1" applyBorder="1"/>
    <xf numFmtId="9" fontId="3" fillId="0" borderId="4" xfId="0" applyNumberFormat="1" applyFont="1" applyBorder="1"/>
    <xf numFmtId="0" fontId="4" fillId="0" borderId="4" xfId="0" applyFont="1" applyBorder="1" applyAlignment="1">
      <alignment wrapText="1"/>
    </xf>
    <xf numFmtId="0" fontId="2" fillId="0" borderId="5" xfId="0" applyFont="1" applyBorder="1" applyAlignment="1">
      <alignment horizontal="center"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9" fontId="3" fillId="0" borderId="0" xfId="0" applyNumberFormat="1" applyFont="1" applyAlignment="1">
      <alignment horizontal="center" vertical="center"/>
    </xf>
    <xf numFmtId="0" fontId="3" fillId="0" borderId="6" xfId="0" applyFont="1" applyBorder="1" applyAlignment="1">
      <alignment horizontal="center" vertical="center"/>
    </xf>
    <xf numFmtId="0" fontId="2" fillId="0" borderId="1" xfId="0" applyFont="1" applyBorder="1" applyAlignment="1">
      <alignment horizontal="center" vertical="top"/>
    </xf>
    <xf numFmtId="0" fontId="2" fillId="0" borderId="22" xfId="0" applyFont="1" applyBorder="1" applyAlignment="1">
      <alignment horizontal="center" vertical="top"/>
    </xf>
    <xf numFmtId="0" fontId="2" fillId="0" borderId="1" xfId="0" applyFont="1" applyBorder="1" applyAlignment="1">
      <alignment horizontal="center" vertical="top" wrapText="1"/>
    </xf>
    <xf numFmtId="0" fontId="2" fillId="0" borderId="21" xfId="0" applyFont="1" applyBorder="1" applyAlignment="1">
      <alignment horizontal="center" vertical="top"/>
    </xf>
    <xf numFmtId="0" fontId="3" fillId="0" borderId="21" xfId="0" applyFont="1" applyBorder="1"/>
    <xf numFmtId="0" fontId="2" fillId="2" borderId="1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2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0" borderId="10" xfId="0" applyFont="1" applyBorder="1"/>
    <xf numFmtId="0" fontId="3" fillId="0" borderId="13" xfId="0" applyFont="1" applyBorder="1"/>
    <xf numFmtId="0" fontId="3" fillId="0" borderId="8" xfId="0" applyFont="1" applyBorder="1"/>
    <xf numFmtId="0" fontId="2" fillId="3" borderId="15" xfId="0" applyFont="1" applyFill="1" applyBorder="1" applyAlignment="1">
      <alignment horizontal="center" vertical="center" wrapText="1"/>
    </xf>
    <xf numFmtId="9" fontId="3" fillId="0" borderId="0" xfId="1" applyFont="1" applyFill="1" applyBorder="1"/>
    <xf numFmtId="0" fontId="0" fillId="0" borderId="3" xfId="0" applyBorder="1"/>
    <xf numFmtId="9" fontId="3" fillId="0" borderId="3" xfId="1" applyFont="1" applyFill="1" applyBorder="1"/>
    <xf numFmtId="0" fontId="0" fillId="0" borderId="4" xfId="0" applyBorder="1"/>
    <xf numFmtId="0" fontId="2" fillId="2" borderId="3" xfId="0" applyFont="1" applyFill="1" applyBorder="1" applyAlignment="1">
      <alignment horizontal="center" vertical="center" wrapText="1"/>
    </xf>
    <xf numFmtId="0" fontId="0" fillId="0" borderId="6" xfId="0" applyBorder="1"/>
    <xf numFmtId="0" fontId="0" fillId="0" borderId="13" xfId="0" applyBorder="1"/>
    <xf numFmtId="0" fontId="0" fillId="0" borderId="14" xfId="0" applyBorder="1"/>
    <xf numFmtId="0" fontId="2" fillId="0" borderId="25" xfId="0" applyFont="1" applyBorder="1" applyAlignment="1">
      <alignment horizontal="center" vertical="top" wrapText="1"/>
    </xf>
    <xf numFmtId="0" fontId="3" fillId="0" borderId="26" xfId="0" applyFont="1" applyBorder="1" applyAlignment="1">
      <alignment wrapText="1"/>
    </xf>
    <xf numFmtId="0" fontId="4" fillId="0" borderId="4" xfId="0" applyFont="1" applyBorder="1"/>
    <xf numFmtId="0" fontId="4" fillId="0" borderId="11" xfId="0" applyFont="1" applyBorder="1"/>
    <xf numFmtId="0" fontId="5" fillId="0" borderId="4" xfId="0" applyFont="1" applyBorder="1"/>
    <xf numFmtId="0" fontId="6" fillId="4" borderId="8" xfId="0" applyFont="1" applyFill="1" applyBorder="1" applyAlignment="1">
      <alignment horizontal="center" vertical="center" wrapText="1"/>
    </xf>
    <xf numFmtId="0" fontId="5" fillId="0" borderId="0" xfId="0" applyFont="1"/>
    <xf numFmtId="0" fontId="9" fillId="0" borderId="14" xfId="0" applyFont="1" applyBorder="1" applyAlignment="1">
      <alignment horizontal="center" wrapText="1"/>
    </xf>
    <xf numFmtId="0" fontId="7" fillId="0" borderId="0" xfId="0" applyFont="1"/>
    <xf numFmtId="0" fontId="11" fillId="0" borderId="0" xfId="0" applyFont="1"/>
    <xf numFmtId="11" fontId="0" fillId="0" borderId="0" xfId="0" applyNumberFormat="1"/>
    <xf numFmtId="0" fontId="7" fillId="0" borderId="13" xfId="0" applyFont="1" applyBorder="1"/>
    <xf numFmtId="0" fontId="7" fillId="0" borderId="14" xfId="0" applyFont="1" applyBorder="1"/>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7" fillId="0" borderId="11" xfId="0" applyFont="1" applyBorder="1"/>
    <xf numFmtId="0" fontId="7" fillId="0" borderId="12" xfId="0" applyFont="1" applyBorder="1"/>
    <xf numFmtId="0" fontId="7" fillId="0" borderId="4" xfId="0" applyFont="1" applyBorder="1"/>
    <xf numFmtId="0" fontId="7" fillId="0" borderId="9" xfId="0" applyFont="1" applyBorder="1"/>
    <xf numFmtId="0" fontId="7" fillId="0" borderId="10" xfId="0" applyFont="1" applyBorder="1"/>
    <xf numFmtId="0" fontId="7" fillId="5" borderId="13" xfId="0" applyFont="1" applyFill="1" applyBorder="1"/>
    <xf numFmtId="0" fontId="7" fillId="5" borderId="9" xfId="0" applyFont="1" applyFill="1" applyBorder="1"/>
    <xf numFmtId="0" fontId="7" fillId="5" borderId="11" xfId="0" applyFont="1" applyFill="1" applyBorder="1"/>
    <xf numFmtId="11" fontId="7" fillId="0" borderId="0" xfId="0" applyNumberFormat="1" applyFont="1"/>
    <xf numFmtId="11" fontId="3" fillId="0" borderId="0" xfId="0" applyNumberFormat="1" applyFont="1"/>
    <xf numFmtId="11" fontId="3" fillId="0" borderId="4" xfId="0" applyNumberFormat="1" applyFont="1" applyBorder="1"/>
    <xf numFmtId="0" fontId="14" fillId="5" borderId="7" xfId="0" applyFont="1" applyFill="1" applyBorder="1" applyAlignment="1">
      <alignment horizontal="center" vertical="center" wrapText="1"/>
    </xf>
    <xf numFmtId="11" fontId="3" fillId="0" borderId="3" xfId="0" applyNumberFormat="1" applyFont="1" applyBorder="1"/>
    <xf numFmtId="0" fontId="7" fillId="0" borderId="3" xfId="0" applyFont="1" applyBorder="1"/>
    <xf numFmtId="11" fontId="3" fillId="0" borderId="9" xfId="0" applyNumberFormat="1" applyFont="1" applyBorder="1"/>
    <xf numFmtId="11" fontId="3" fillId="0" borderId="10" xfId="0" applyNumberFormat="1" applyFont="1" applyBorder="1"/>
    <xf numFmtId="11" fontId="3" fillId="0" borderId="11" xfId="0" applyNumberFormat="1" applyFont="1" applyBorder="1"/>
    <xf numFmtId="11" fontId="3" fillId="0" borderId="12" xfId="0" applyNumberFormat="1" applyFont="1" applyBorder="1"/>
    <xf numFmtId="11" fontId="3" fillId="0" borderId="13" xfId="0" applyNumberFormat="1" applyFont="1" applyBorder="1"/>
    <xf numFmtId="11" fontId="3" fillId="0" borderId="14" xfId="0" applyNumberFormat="1" applyFont="1" applyBorder="1"/>
    <xf numFmtId="0" fontId="2" fillId="2" borderId="0" xfId="0" applyFont="1" applyFill="1" applyAlignment="1">
      <alignment horizontal="center" vertical="center" wrapText="1"/>
    </xf>
    <xf numFmtId="0" fontId="14" fillId="4"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0" fillId="4" borderId="0" xfId="0" applyFill="1"/>
    <xf numFmtId="0" fontId="7" fillId="4" borderId="9" xfId="0" applyFont="1" applyFill="1" applyBorder="1"/>
    <xf numFmtId="0" fontId="7" fillId="4" borderId="11" xfId="0" applyFont="1" applyFill="1" applyBorder="1"/>
    <xf numFmtId="0" fontId="7" fillId="4" borderId="13" xfId="0" applyFont="1" applyFill="1" applyBorder="1"/>
    <xf numFmtId="0" fontId="3" fillId="0" borderId="26" xfId="0" applyFont="1" applyBorder="1" applyAlignment="1">
      <alignment horizontal="center" vertical="center"/>
    </xf>
    <xf numFmtId="9" fontId="3" fillId="0" borderId="26" xfId="1" applyFont="1" applyBorder="1" applyAlignment="1">
      <alignment horizontal="center" vertical="center"/>
    </xf>
    <xf numFmtId="2" fontId="3" fillId="0" borderId="3" xfId="1" applyNumberFormat="1" applyFont="1" applyBorder="1"/>
    <xf numFmtId="2" fontId="3" fillId="0" borderId="4" xfId="1" applyNumberFormat="1" applyFont="1" applyBorder="1"/>
    <xf numFmtId="2" fontId="3" fillId="0" borderId="0" xfId="1" applyNumberFormat="1" applyFont="1"/>
    <xf numFmtId="2" fontId="3" fillId="0" borderId="6" xfId="1" applyNumberFormat="1" applyFont="1" applyBorder="1"/>
    <xf numFmtId="2" fontId="4" fillId="0" borderId="3" xfId="1" applyNumberFormat="1" applyFont="1" applyBorder="1" applyAlignment="1">
      <alignment wrapText="1"/>
    </xf>
    <xf numFmtId="2" fontId="3" fillId="0" borderId="0" xfId="1" applyNumberFormat="1" applyFont="1" applyBorder="1"/>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0" fillId="7" borderId="0" xfId="0" applyFill="1"/>
    <xf numFmtId="0" fontId="3" fillId="7" borderId="0" xfId="0" applyFont="1" applyFill="1"/>
    <xf numFmtId="0" fontId="3" fillId="7" borderId="21" xfId="0" applyFont="1" applyFill="1" applyBorder="1" applyAlignment="1">
      <alignment horizontal="center" vertical="center"/>
    </xf>
    <xf numFmtId="0" fontId="3" fillId="7" borderId="14" xfId="0" applyFont="1" applyFill="1" applyBorder="1"/>
    <xf numFmtId="0" fontId="4" fillId="6" borderId="7" xfId="0" applyFont="1" applyFill="1" applyBorder="1"/>
    <xf numFmtId="0" fontId="4" fillId="6" borderId="6" xfId="0" applyFont="1" applyFill="1" applyBorder="1"/>
    <xf numFmtId="9" fontId="4" fillId="6" borderId="6" xfId="0" applyNumberFormat="1" applyFont="1" applyFill="1" applyBorder="1"/>
    <xf numFmtId="0" fontId="5" fillId="6" borderId="6" xfId="0" applyFont="1" applyFill="1" applyBorder="1"/>
    <xf numFmtId="0" fontId="3" fillId="0" borderId="0" xfId="0" applyFont="1" applyAlignment="1">
      <alignment horizontal="center" vertical="center" wrapText="1"/>
    </xf>
    <xf numFmtId="0" fontId="3" fillId="0" borderId="21" xfId="0" applyFont="1" applyBorder="1" applyAlignment="1">
      <alignment horizontal="center" vertical="center" wrapText="1"/>
    </xf>
    <xf numFmtId="0" fontId="3" fillId="4" borderId="0" xfId="0" applyFont="1" applyFill="1" applyAlignment="1">
      <alignment horizontal="center" vertical="center" wrapText="1"/>
    </xf>
    <xf numFmtId="0" fontId="3" fillId="4" borderId="14" xfId="0" applyFont="1" applyFill="1" applyBorder="1" applyAlignment="1">
      <alignment horizontal="center" vertical="center" wrapText="1"/>
    </xf>
    <xf numFmtId="0" fontId="3" fillId="4" borderId="19" xfId="0" applyFont="1" applyFill="1" applyBorder="1" applyAlignment="1">
      <alignment horizontal="center" vertical="center" wrapText="1"/>
    </xf>
    <xf numFmtId="11" fontId="3" fillId="0" borderId="21" xfId="0" applyNumberFormat="1" applyFont="1" applyBorder="1"/>
    <xf numFmtId="11" fontId="3" fillId="0" borderId="20" xfId="0" applyNumberFormat="1" applyFont="1" applyBorder="1"/>
    <xf numFmtId="0" fontId="15" fillId="6" borderId="6" xfId="0" applyFont="1" applyFill="1" applyBorder="1"/>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11" fontId="4" fillId="0" borderId="6" xfId="0" applyNumberFormat="1" applyFont="1" applyBorder="1"/>
    <xf numFmtId="9" fontId="7" fillId="0" borderId="0" xfId="1" applyFont="1" applyBorder="1"/>
    <xf numFmtId="9" fontId="7" fillId="0" borderId="4" xfId="1" applyFont="1" applyBorder="1"/>
    <xf numFmtId="0" fontId="8" fillId="0" borderId="0" xfId="0" applyFont="1"/>
    <xf numFmtId="0" fontId="2" fillId="4" borderId="0" xfId="0" applyFont="1" applyFill="1" applyAlignment="1">
      <alignment horizontal="center" vertical="center" wrapText="1"/>
    </xf>
    <xf numFmtId="0" fontId="8" fillId="0" borderId="13" xfId="0" applyFont="1" applyBorder="1"/>
    <xf numFmtId="9" fontId="7" fillId="0" borderId="14" xfId="1" applyFont="1" applyBorder="1"/>
    <xf numFmtId="9" fontId="7" fillId="0" borderId="12" xfId="1" applyFont="1" applyBorder="1"/>
    <xf numFmtId="0" fontId="0" fillId="6" borderId="0" xfId="0" applyFill="1"/>
    <xf numFmtId="0" fontId="7" fillId="6" borderId="0" xfId="0" applyFont="1" applyFill="1"/>
    <xf numFmtId="0" fontId="17" fillId="0" borderId="0" xfId="0" applyFont="1"/>
    <xf numFmtId="0" fontId="18" fillId="5" borderId="7" xfId="0" applyFont="1" applyFill="1" applyBorder="1" applyAlignment="1">
      <alignment horizontal="center" vertical="center" wrapText="1"/>
    </xf>
    <xf numFmtId="0" fontId="18" fillId="5" borderId="8" xfId="0" applyFont="1" applyFill="1" applyBorder="1" applyAlignment="1">
      <alignment horizontal="center" vertical="center" wrapText="1"/>
    </xf>
    <xf numFmtId="0" fontId="8" fillId="0" borderId="9" xfId="0" applyFont="1" applyBorder="1"/>
    <xf numFmtId="0" fontId="8" fillId="0" borderId="10" xfId="0" applyFont="1" applyBorder="1"/>
    <xf numFmtId="11" fontId="8" fillId="0" borderId="0" xfId="0" applyNumberFormat="1" applyFont="1"/>
    <xf numFmtId="0" fontId="8" fillId="0" borderId="14" xfId="0" applyFont="1" applyBorder="1"/>
    <xf numFmtId="0" fontId="8" fillId="0" borderId="11" xfId="0" applyFont="1" applyBorder="1"/>
    <xf numFmtId="0" fontId="8" fillId="0" borderId="12" xfId="0" applyFont="1" applyBorder="1"/>
    <xf numFmtId="0" fontId="8" fillId="5" borderId="7"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8" xfId="0" applyFont="1" applyFill="1" applyBorder="1" applyAlignment="1">
      <alignment horizontal="center" vertical="center" wrapText="1"/>
    </xf>
    <xf numFmtId="11" fontId="8" fillId="0" borderId="9" xfId="0" applyNumberFormat="1" applyFont="1" applyBorder="1"/>
    <xf numFmtId="11" fontId="8" fillId="0" borderId="3" xfId="0" applyNumberFormat="1" applyFont="1" applyBorder="1"/>
    <xf numFmtId="11" fontId="8" fillId="0" borderId="10" xfId="0" applyNumberFormat="1" applyFont="1" applyBorder="1"/>
    <xf numFmtId="11" fontId="8" fillId="0" borderId="13" xfId="0" applyNumberFormat="1" applyFont="1" applyBorder="1"/>
    <xf numFmtId="11" fontId="8" fillId="0" borderId="14" xfId="0" applyNumberFormat="1" applyFont="1" applyBorder="1"/>
    <xf numFmtId="11" fontId="8" fillId="0" borderId="11" xfId="0" applyNumberFormat="1" applyFont="1" applyBorder="1"/>
    <xf numFmtId="11" fontId="8" fillId="0" borderId="4" xfId="0" applyNumberFormat="1" applyFont="1" applyBorder="1"/>
    <xf numFmtId="11" fontId="8" fillId="0" borderId="12" xfId="0" applyNumberFormat="1" applyFont="1" applyBorder="1"/>
    <xf numFmtId="9" fontId="3" fillId="0" borderId="0" xfId="1" applyFont="1" applyBorder="1"/>
    <xf numFmtId="0" fontId="3" fillId="0" borderId="20" xfId="0" applyFont="1" applyBorder="1" applyAlignment="1">
      <alignment wrapText="1"/>
    </xf>
    <xf numFmtId="0" fontId="3" fillId="0" borderId="19" xfId="0" applyFont="1" applyBorder="1" applyAlignment="1">
      <alignment wrapText="1"/>
    </xf>
    <xf numFmtId="0" fontId="3" fillId="0" borderId="21" xfId="0" applyFont="1" applyBorder="1" applyAlignment="1">
      <alignment wrapText="1"/>
    </xf>
    <xf numFmtId="0" fontId="2" fillId="5" borderId="29" xfId="0" applyFont="1" applyFill="1" applyBorder="1" applyAlignment="1">
      <alignment horizontal="center" vertical="center" wrapText="1"/>
    </xf>
    <xf numFmtId="0" fontId="0" fillId="5" borderId="0" xfId="0" applyFill="1" applyAlignment="1">
      <alignment horizontal="center" vertical="center" wrapText="1"/>
    </xf>
    <xf numFmtId="0" fontId="2" fillId="5" borderId="30"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2" fillId="5" borderId="31" xfId="0" applyFont="1" applyFill="1" applyBorder="1" applyAlignment="1">
      <alignment horizontal="center" vertical="center" wrapText="1"/>
    </xf>
    <xf numFmtId="0" fontId="2" fillId="5" borderId="32" xfId="0" applyFont="1" applyFill="1" applyBorder="1" applyAlignment="1">
      <alignment horizontal="center" vertical="center" wrapText="1"/>
    </xf>
    <xf numFmtId="0" fontId="2" fillId="0" borderId="33" xfId="0" applyFont="1" applyBorder="1" applyAlignment="1">
      <alignment horizontal="center" vertical="top"/>
    </xf>
    <xf numFmtId="0" fontId="3" fillId="7" borderId="9"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19" fillId="0" borderId="3" xfId="0" applyFont="1" applyBorder="1" applyAlignment="1">
      <alignment horizontal="center" vertical="center" wrapText="1"/>
    </xf>
    <xf numFmtId="0" fontId="2" fillId="5" borderId="3" xfId="0" applyFont="1" applyFill="1" applyBorder="1" applyAlignment="1">
      <alignment horizontal="center" vertical="center" wrapText="1"/>
    </xf>
    <xf numFmtId="11" fontId="2" fillId="5" borderId="3" xfId="0" applyNumberFormat="1" applyFont="1" applyFill="1" applyBorder="1" applyAlignment="1">
      <alignment horizontal="center" vertical="center" wrapText="1"/>
    </xf>
    <xf numFmtId="0" fontId="2" fillId="5" borderId="10" xfId="0" applyFont="1" applyFill="1" applyBorder="1" applyAlignment="1">
      <alignment horizontal="center" vertical="center" wrapText="1"/>
    </xf>
    <xf numFmtId="11" fontId="3" fillId="0" borderId="6" xfId="0" applyNumberFormat="1" applyFont="1" applyBorder="1"/>
    <xf numFmtId="11" fontId="3" fillId="0" borderId="8" xfId="0" applyNumberFormat="1" applyFont="1" applyBorder="1"/>
    <xf numFmtId="11" fontId="3" fillId="8" borderId="0" xfId="0" applyNumberFormat="1" applyFont="1" applyFill="1"/>
    <xf numFmtId="11" fontId="3" fillId="8" borderId="14" xfId="0" applyNumberFormat="1" applyFont="1" applyFill="1" applyBorder="1"/>
    <xf numFmtId="11" fontId="3" fillId="8" borderId="3" xfId="0" applyNumberFormat="1" applyFont="1" applyFill="1" applyBorder="1"/>
    <xf numFmtId="11" fontId="3" fillId="8" borderId="10" xfId="0" applyNumberFormat="1" applyFont="1" applyFill="1" applyBorder="1"/>
    <xf numFmtId="11" fontId="3" fillId="8" borderId="4" xfId="0" applyNumberFormat="1" applyFont="1" applyFill="1" applyBorder="1"/>
    <xf numFmtId="11" fontId="3" fillId="8" borderId="12" xfId="0" applyNumberFormat="1" applyFont="1" applyFill="1" applyBorder="1"/>
    <xf numFmtId="0" fontId="14" fillId="4" borderId="6" xfId="0" applyFont="1" applyFill="1" applyBorder="1" applyAlignment="1">
      <alignment horizontal="center" vertical="center" wrapText="1"/>
    </xf>
    <xf numFmtId="0" fontId="7" fillId="4" borderId="3" xfId="0" applyFont="1" applyFill="1" applyBorder="1"/>
    <xf numFmtId="11" fontId="20" fillId="0" borderId="3" xfId="0" applyNumberFormat="1" applyFont="1" applyBorder="1"/>
    <xf numFmtId="11" fontId="20" fillId="0" borderId="0" xfId="0" applyNumberFormat="1" applyFont="1"/>
    <xf numFmtId="11" fontId="20" fillId="0" borderId="4" xfId="0" applyNumberFormat="1" applyFont="1" applyBorder="1"/>
    <xf numFmtId="0" fontId="20" fillId="7" borderId="0" xfId="0" applyFont="1" applyFill="1"/>
    <xf numFmtId="0" fontId="0" fillId="0" borderId="10" xfId="0" applyBorder="1"/>
    <xf numFmtId="0" fontId="3" fillId="0" borderId="14" xfId="0" applyFont="1" applyBorder="1" applyAlignment="1">
      <alignment wrapText="1"/>
    </xf>
    <xf numFmtId="0" fontId="21" fillId="0" borderId="0" xfId="0" applyFont="1"/>
    <xf numFmtId="0" fontId="8" fillId="0" borderId="26" xfId="0" applyFont="1" applyBorder="1" applyAlignment="1">
      <alignment horizontal="center" vertical="center"/>
    </xf>
    <xf numFmtId="9" fontId="8" fillId="0" borderId="26" xfId="1" applyFont="1" applyBorder="1" applyAlignment="1">
      <alignment horizontal="center" vertical="center"/>
    </xf>
    <xf numFmtId="0" fontId="22" fillId="4" borderId="11" xfId="0" applyFont="1" applyFill="1" applyBorder="1"/>
    <xf numFmtId="0" fontId="22" fillId="4" borderId="4" xfId="0" applyFont="1" applyFill="1" applyBorder="1"/>
    <xf numFmtId="0" fontId="22" fillId="0" borderId="4" xfId="0" applyFont="1" applyBorder="1"/>
    <xf numFmtId="11" fontId="20" fillId="0" borderId="13" xfId="0" applyNumberFormat="1" applyFont="1" applyBorder="1"/>
    <xf numFmtId="11" fontId="20" fillId="0" borderId="14" xfId="0" applyNumberFormat="1" applyFont="1" applyBorder="1"/>
    <xf numFmtId="0" fontId="22" fillId="0" borderId="0" xfId="0" applyFont="1"/>
    <xf numFmtId="0" fontId="8" fillId="0" borderId="3" xfId="0" applyFont="1" applyBorder="1" applyAlignment="1">
      <alignment wrapText="1"/>
    </xf>
    <xf numFmtId="0" fontId="8" fillId="0" borderId="4" xfId="0" applyFont="1" applyBorder="1" applyAlignment="1">
      <alignment wrapText="1"/>
    </xf>
    <xf numFmtId="0" fontId="8" fillId="0" borderId="3" xfId="0" applyFont="1" applyBorder="1"/>
    <xf numFmtId="0" fontId="8" fillId="0" borderId="4" xfId="0" applyFont="1" applyBorder="1"/>
    <xf numFmtId="9" fontId="3" fillId="0" borderId="0" xfId="1" applyFont="1"/>
    <xf numFmtId="0" fontId="2" fillId="0" borderId="0" xfId="0" applyFont="1" applyAlignment="1">
      <alignment wrapText="1"/>
    </xf>
    <xf numFmtId="0" fontId="2" fillId="0" borderId="3" xfId="0" applyFont="1" applyBorder="1" applyAlignment="1">
      <alignment wrapText="1"/>
    </xf>
    <xf numFmtId="11" fontId="3" fillId="0" borderId="4" xfId="0" applyNumberFormat="1" applyFont="1" applyBorder="1" applyAlignment="1">
      <alignment wrapText="1"/>
    </xf>
    <xf numFmtId="0" fontId="15" fillId="0" borderId="0" xfId="0" applyFont="1"/>
    <xf numFmtId="9" fontId="15" fillId="6" borderId="8" xfId="1" applyFont="1" applyFill="1" applyBorder="1"/>
    <xf numFmtId="0" fontId="3" fillId="8" borderId="0" xfId="0" applyFont="1" applyFill="1"/>
    <xf numFmtId="0" fontId="3" fillId="8" borderId="0" xfId="0" applyFont="1" applyFill="1" applyAlignment="1">
      <alignment wrapText="1"/>
    </xf>
    <xf numFmtId="0" fontId="3" fillId="8" borderId="4" xfId="0" applyFont="1" applyFill="1" applyBorder="1" applyAlignment="1">
      <alignment wrapText="1"/>
    </xf>
    <xf numFmtId="0" fontId="2" fillId="0" borderId="9" xfId="0" applyFont="1" applyBorder="1"/>
    <xf numFmtId="0" fontId="2" fillId="0" borderId="3" xfId="0" applyFont="1" applyBorder="1"/>
    <xf numFmtId="0" fontId="2" fillId="0" borderId="7" xfId="0" applyFont="1" applyBorder="1" applyAlignment="1">
      <alignment wrapText="1"/>
    </xf>
    <xf numFmtId="0" fontId="2" fillId="0" borderId="6" xfId="0" applyFont="1" applyBorder="1" applyAlignment="1">
      <alignment wrapText="1"/>
    </xf>
    <xf numFmtId="0" fontId="3" fillId="0" borderId="19" xfId="0" applyFont="1" applyBorder="1"/>
    <xf numFmtId="0" fontId="3" fillId="0" borderId="20" xfId="0" applyFont="1" applyBorder="1"/>
    <xf numFmtId="0" fontId="3" fillId="6" borderId="0" xfId="0" applyFont="1" applyFill="1" applyAlignment="1">
      <alignment wrapText="1"/>
    </xf>
    <xf numFmtId="9" fontId="15" fillId="6" borderId="1" xfId="1" applyFont="1" applyFill="1" applyBorder="1"/>
    <xf numFmtId="11" fontId="3" fillId="0" borderId="0" xfId="0" applyNumberFormat="1" applyFont="1" applyAlignment="1">
      <alignment wrapText="1"/>
    </xf>
    <xf numFmtId="0" fontId="2" fillId="0" borderId="9" xfId="0" applyFont="1" applyBorder="1" applyAlignment="1">
      <alignment wrapText="1"/>
    </xf>
    <xf numFmtId="0" fontId="3" fillId="0" borderId="10" xfId="0" applyFont="1" applyBorder="1" applyAlignment="1">
      <alignment wrapText="1"/>
    </xf>
    <xf numFmtId="0" fontId="3" fillId="0" borderId="13" xfId="0" applyFont="1" applyBorder="1" applyAlignment="1">
      <alignment wrapText="1"/>
    </xf>
    <xf numFmtId="11" fontId="3" fillId="0" borderId="14" xfId="0" applyNumberFormat="1" applyFont="1" applyBorder="1" applyAlignment="1">
      <alignment wrapText="1"/>
    </xf>
    <xf numFmtId="0" fontId="3" fillId="0" borderId="11" xfId="0" applyFont="1" applyBorder="1" applyAlignment="1">
      <alignment wrapText="1"/>
    </xf>
    <xf numFmtId="11" fontId="3" fillId="0" borderId="12" xfId="0" applyNumberFormat="1" applyFont="1" applyBorder="1" applyAlignment="1">
      <alignment wrapText="1"/>
    </xf>
    <xf numFmtId="0" fontId="3" fillId="0" borderId="9" xfId="0" applyFont="1" applyBorder="1" applyAlignment="1">
      <alignment wrapText="1"/>
    </xf>
    <xf numFmtId="0" fontId="3" fillId="8" borderId="13" xfId="0" applyFont="1" applyFill="1" applyBorder="1" applyAlignment="1">
      <alignment wrapText="1"/>
    </xf>
    <xf numFmtId="0" fontId="3" fillId="8" borderId="11" xfId="0" applyFont="1" applyFill="1" applyBorder="1" applyAlignment="1">
      <alignment wrapText="1"/>
    </xf>
    <xf numFmtId="11" fontId="3" fillId="0" borderId="3" xfId="0" applyNumberFormat="1" applyFont="1" applyBorder="1" applyAlignment="1">
      <alignment wrapText="1"/>
    </xf>
    <xf numFmtId="9" fontId="3" fillId="0" borderId="3" xfId="1" applyFont="1" applyBorder="1" applyAlignment="1">
      <alignment wrapText="1"/>
    </xf>
    <xf numFmtId="9" fontId="3" fillId="0" borderId="10" xfId="1" applyFont="1" applyBorder="1" applyAlignment="1">
      <alignment wrapText="1"/>
    </xf>
    <xf numFmtId="9" fontId="3" fillId="0" borderId="0" xfId="1" applyFont="1" applyBorder="1" applyAlignment="1">
      <alignment wrapText="1"/>
    </xf>
    <xf numFmtId="9" fontId="3" fillId="0" borderId="14" xfId="1" applyFont="1" applyBorder="1" applyAlignment="1">
      <alignment wrapText="1"/>
    </xf>
    <xf numFmtId="9" fontId="3" fillId="0" borderId="4" xfId="1" applyFont="1" applyBorder="1" applyAlignment="1">
      <alignment wrapText="1"/>
    </xf>
    <xf numFmtId="9" fontId="3" fillId="0" borderId="12" xfId="1" applyFont="1" applyBorder="1" applyAlignment="1">
      <alignment wrapText="1"/>
    </xf>
    <xf numFmtId="0" fontId="23" fillId="0" borderId="0" xfId="0" applyFont="1"/>
    <xf numFmtId="0" fontId="4" fillId="0" borderId="0" xfId="0" applyFont="1"/>
    <xf numFmtId="0" fontId="3" fillId="0" borderId="12" xfId="0" applyFont="1" applyBorder="1" applyAlignment="1">
      <alignment wrapText="1"/>
    </xf>
    <xf numFmtId="0" fontId="2" fillId="0" borderId="15" xfId="0" applyFont="1" applyBorder="1" applyAlignment="1">
      <alignment horizontal="center" vertical="top" wrapText="1"/>
    </xf>
    <xf numFmtId="0" fontId="14" fillId="0" borderId="13" xfId="0" applyFont="1" applyBorder="1"/>
    <xf numFmtId="9" fontId="3" fillId="0" borderId="4" xfId="1" applyFont="1" applyBorder="1"/>
    <xf numFmtId="0" fontId="18" fillId="0" borderId="3" xfId="0" applyFont="1" applyBorder="1"/>
    <xf numFmtId="11" fontId="20" fillId="0" borderId="14" xfId="0" applyNumberFormat="1" applyFont="1" applyBorder="1" applyAlignment="1">
      <alignment wrapText="1"/>
    </xf>
    <xf numFmtId="11" fontId="4" fillId="0" borderId="0" xfId="0" applyNumberFormat="1" applyFont="1" applyAlignment="1">
      <alignment wrapText="1"/>
    </xf>
    <xf numFmtId="11" fontId="3" fillId="0" borderId="21" xfId="0" applyNumberFormat="1" applyFont="1" applyBorder="1" applyAlignment="1">
      <alignment wrapText="1"/>
    </xf>
    <xf numFmtId="11" fontId="3" fillId="0" borderId="20" xfId="0" applyNumberFormat="1" applyFont="1" applyBorder="1" applyAlignment="1">
      <alignment wrapText="1"/>
    </xf>
    <xf numFmtId="0" fontId="10" fillId="0" borderId="4" xfId="0" applyFont="1" applyBorder="1"/>
    <xf numFmtId="0" fontId="8" fillId="0" borderId="0" xfId="0" applyFont="1" applyAlignment="1">
      <alignment wrapText="1"/>
    </xf>
    <xf numFmtId="9" fontId="2" fillId="0" borderId="19" xfId="0" applyNumberFormat="1" applyFont="1" applyBorder="1" applyAlignment="1">
      <alignment wrapText="1"/>
    </xf>
    <xf numFmtId="9" fontId="2" fillId="0" borderId="21" xfId="0" applyNumberFormat="1" applyFont="1" applyBorder="1" applyAlignment="1">
      <alignment wrapText="1"/>
    </xf>
    <xf numFmtId="9" fontId="2" fillId="0" borderId="20" xfId="0" applyNumberFormat="1" applyFont="1" applyBorder="1" applyAlignment="1">
      <alignment wrapText="1"/>
    </xf>
    <xf numFmtId="0" fontId="3" fillId="0" borderId="0" xfId="0" applyFont="1" applyAlignment="1">
      <alignment vertical="center" wrapText="1"/>
    </xf>
    <xf numFmtId="0" fontId="2" fillId="6" borderId="9" xfId="0" applyFont="1" applyFill="1" applyBorder="1" applyAlignment="1">
      <alignment wrapText="1"/>
    </xf>
    <xf numFmtId="0" fontId="2" fillId="6" borderId="0" xfId="0" applyFont="1" applyFill="1" applyAlignment="1">
      <alignment wrapText="1"/>
    </xf>
    <xf numFmtId="0" fontId="20" fillId="0" borderId="3" xfId="0" applyFont="1" applyBorder="1" applyAlignment="1">
      <alignment wrapText="1"/>
    </xf>
    <xf numFmtId="0" fontId="22" fillId="0" borderId="0" xfId="0" applyFont="1" applyAlignment="1">
      <alignment horizontal="left" vertical="top"/>
    </xf>
    <xf numFmtId="0" fontId="18" fillId="4" borderId="7" xfId="0" applyFont="1" applyFill="1" applyBorder="1" applyAlignment="1">
      <alignment horizontal="center" vertical="center" wrapText="1"/>
    </xf>
    <xf numFmtId="0" fontId="18" fillId="4" borderId="8" xfId="0" applyFont="1" applyFill="1" applyBorder="1" applyAlignment="1">
      <alignment horizontal="center" vertical="center"/>
    </xf>
    <xf numFmtId="0" fontId="25" fillId="5" borderId="13" xfId="0" applyFont="1" applyFill="1" applyBorder="1" applyAlignment="1">
      <alignment horizontal="center" vertical="center" wrapText="1"/>
    </xf>
    <xf numFmtId="0" fontId="25" fillId="5" borderId="27" xfId="0" applyFont="1" applyFill="1" applyBorder="1" applyAlignment="1">
      <alignment horizontal="center" vertical="center" wrapText="1"/>
    </xf>
    <xf numFmtId="0" fontId="25" fillId="5" borderId="22" xfId="0" applyFont="1" applyFill="1" applyBorder="1" applyAlignment="1">
      <alignment horizontal="center" vertical="center" wrapText="1"/>
    </xf>
    <xf numFmtId="0" fontId="25" fillId="5" borderId="28" xfId="0" applyFont="1" applyFill="1" applyBorder="1" applyAlignment="1">
      <alignment horizontal="center" vertical="center" wrapText="1"/>
    </xf>
    <xf numFmtId="2" fontId="26" fillId="0" borderId="21" xfId="0" applyNumberFormat="1" applyFont="1" applyBorder="1" applyAlignment="1">
      <alignment horizontal="center" vertical="center"/>
    </xf>
    <xf numFmtId="2" fontId="26" fillId="0" borderId="14" xfId="0" applyNumberFormat="1" applyFont="1" applyBorder="1" applyAlignment="1">
      <alignment horizontal="center" vertical="center"/>
    </xf>
    <xf numFmtId="2" fontId="27" fillId="0" borderId="14" xfId="0" applyNumberFormat="1" applyFont="1" applyBorder="1" applyAlignment="1">
      <alignment horizontal="center" vertical="center"/>
    </xf>
    <xf numFmtId="0" fontId="27" fillId="0" borderId="10" xfId="0" applyFont="1" applyBorder="1" applyAlignment="1">
      <alignment horizontal="center" vertical="center" wrapText="1"/>
    </xf>
    <xf numFmtId="0" fontId="27" fillId="0" borderId="19" xfId="0" applyFont="1" applyBorder="1" applyAlignment="1">
      <alignment horizontal="center" vertical="center" wrapText="1"/>
    </xf>
    <xf numFmtId="0" fontId="28" fillId="0" borderId="0" xfId="0" applyFont="1"/>
    <xf numFmtId="0" fontId="29" fillId="0" borderId="0" xfId="0" applyFont="1"/>
    <xf numFmtId="0" fontId="27" fillId="0" borderId="0" xfId="0" applyFont="1"/>
    <xf numFmtId="0" fontId="27" fillId="0" borderId="13" xfId="0" applyFont="1" applyBorder="1"/>
    <xf numFmtId="0" fontId="27" fillId="0" borderId="0" xfId="0" applyFont="1" applyAlignment="1">
      <alignment wrapText="1"/>
    </xf>
    <xf numFmtId="0" fontId="27" fillId="0" borderId="14" xfId="0" applyFont="1" applyBorder="1" applyAlignment="1">
      <alignment wrapText="1"/>
    </xf>
    <xf numFmtId="0" fontId="27" fillId="0" borderId="8" xfId="0" applyFont="1" applyBorder="1" applyAlignment="1">
      <alignment horizontal="center" vertical="center" wrapText="1"/>
    </xf>
    <xf numFmtId="0" fontId="27" fillId="0" borderId="1" xfId="0" applyFont="1" applyBorder="1" applyAlignment="1">
      <alignment horizontal="center" vertical="center" wrapText="1"/>
    </xf>
    <xf numFmtId="0" fontId="25" fillId="0" borderId="13" xfId="0" applyFont="1" applyBorder="1"/>
    <xf numFmtId="165" fontId="25" fillId="0" borderId="0" xfId="1" applyNumberFormat="1" applyFont="1" applyBorder="1"/>
    <xf numFmtId="165" fontId="28" fillId="0" borderId="14" xfId="1" applyNumberFormat="1" applyFont="1" applyBorder="1"/>
    <xf numFmtId="0" fontId="30" fillId="0" borderId="13" xfId="0" applyFont="1" applyBorder="1"/>
    <xf numFmtId="0" fontId="28" fillId="0" borderId="14" xfId="0" applyFont="1" applyBorder="1"/>
    <xf numFmtId="0" fontId="26" fillId="0" borderId="1" xfId="0" applyFont="1" applyBorder="1" applyAlignment="1">
      <alignment horizontal="center" vertical="center" wrapText="1"/>
    </xf>
    <xf numFmtId="0" fontId="31" fillId="0" borderId="13" xfId="0" applyFont="1" applyBorder="1"/>
    <xf numFmtId="0" fontId="32" fillId="0" borderId="13" xfId="0" applyFont="1" applyBorder="1"/>
    <xf numFmtId="0" fontId="26" fillId="0" borderId="21" xfId="0" applyFont="1" applyBorder="1" applyAlignment="1">
      <alignment horizontal="center" vertical="center" wrapText="1"/>
    </xf>
    <xf numFmtId="0" fontId="33" fillId="0" borderId="13" xfId="0" applyFont="1" applyBorder="1"/>
    <xf numFmtId="0" fontId="34" fillId="0" borderId="11" xfId="0" applyFont="1" applyBorder="1"/>
    <xf numFmtId="0" fontId="27" fillId="0" borderId="4" xfId="0" applyFont="1" applyBorder="1"/>
    <xf numFmtId="165" fontId="25" fillId="0" borderId="4" xfId="1" applyNumberFormat="1" applyFont="1" applyBorder="1"/>
    <xf numFmtId="0" fontId="28" fillId="0" borderId="12" xfId="0" applyFont="1" applyBorder="1"/>
    <xf numFmtId="0" fontId="27" fillId="0" borderId="14" xfId="0" applyFont="1" applyBorder="1" applyAlignment="1">
      <alignment horizontal="center" vertical="center" wrapText="1"/>
    </xf>
    <xf numFmtId="0" fontId="28" fillId="0" borderId="1" xfId="0" applyFont="1" applyBorder="1" applyAlignment="1">
      <alignment horizontal="center" vertical="center" wrapText="1"/>
    </xf>
    <xf numFmtId="0" fontId="26" fillId="0" borderId="14" xfId="0" applyFont="1" applyBorder="1" applyAlignment="1">
      <alignment horizontal="center" vertical="center" wrapText="1"/>
    </xf>
    <xf numFmtId="2" fontId="26" fillId="0" borderId="20" xfId="0" applyNumberFormat="1" applyFont="1" applyBorder="1" applyAlignment="1">
      <alignment horizontal="center" vertical="center"/>
    </xf>
    <xf numFmtId="2" fontId="26" fillId="0" borderId="12" xfId="0" applyNumberFormat="1" applyFont="1" applyBorder="1" applyAlignment="1">
      <alignment horizontal="center" vertical="center"/>
    </xf>
    <xf numFmtId="0" fontId="26" fillId="0" borderId="8" xfId="0" applyFont="1" applyBorder="1" applyAlignment="1">
      <alignment horizontal="center" vertical="center" wrapText="1"/>
    </xf>
    <xf numFmtId="0" fontId="14" fillId="5" borderId="0" xfId="0" applyFont="1" applyFill="1" applyAlignment="1">
      <alignment horizontal="center" vertical="center" wrapText="1"/>
    </xf>
    <xf numFmtId="0" fontId="18" fillId="5" borderId="0" xfId="0" applyFont="1" applyFill="1" applyAlignment="1">
      <alignment horizontal="center" vertical="center" wrapText="1"/>
    </xf>
    <xf numFmtId="0" fontId="8" fillId="5" borderId="0" xfId="0" applyFont="1" applyFill="1"/>
    <xf numFmtId="0" fontId="18" fillId="5" borderId="6" xfId="0" applyFont="1" applyFill="1" applyBorder="1" applyAlignment="1">
      <alignment horizontal="center" vertical="center" wrapText="1"/>
    </xf>
    <xf numFmtId="11" fontId="8" fillId="0" borderId="0" xfId="0" applyNumberFormat="1" applyFont="1" applyAlignment="1">
      <alignment vertical="center"/>
    </xf>
    <xf numFmtId="11" fontId="8" fillId="0" borderId="0" xfId="0" applyNumberFormat="1" applyFont="1" applyAlignment="1">
      <alignment vertical="center" wrapText="1"/>
    </xf>
    <xf numFmtId="9" fontId="8" fillId="0" borderId="0" xfId="1" applyFont="1"/>
    <xf numFmtId="0" fontId="0" fillId="8" borderId="0" xfId="0" applyFill="1" applyAlignment="1">
      <alignment horizontal="center" vertical="center" wrapText="1"/>
    </xf>
    <xf numFmtId="0" fontId="8" fillId="5" borderId="0" xfId="0" applyFont="1" applyFill="1" applyAlignment="1">
      <alignment horizontal="center" vertical="center" wrapText="1"/>
    </xf>
    <xf numFmtId="0" fontId="13" fillId="0" borderId="0" xfId="0" applyFont="1"/>
    <xf numFmtId="0" fontId="37" fillId="13" borderId="0" xfId="0" applyFont="1" applyFill="1"/>
    <xf numFmtId="0" fontId="14" fillId="0" borderId="0" xfId="0" applyFont="1"/>
    <xf numFmtId="0" fontId="39" fillId="0" borderId="0" xfId="0" applyFont="1"/>
    <xf numFmtId="0" fontId="39" fillId="0" borderId="11" xfId="0" applyFont="1" applyBorder="1"/>
    <xf numFmtId="0" fontId="40" fillId="0" borderId="13" xfId="0" applyFont="1" applyBorder="1" applyAlignment="1">
      <alignment wrapText="1"/>
    </xf>
    <xf numFmtId="0" fontId="8" fillId="0" borderId="7" xfId="0" applyFont="1" applyBorder="1"/>
    <xf numFmtId="0" fontId="8" fillId="0" borderId="8" xfId="0" applyFont="1" applyBorder="1"/>
    <xf numFmtId="0" fontId="8" fillId="0" borderId="6" xfId="0" applyFont="1" applyBorder="1"/>
    <xf numFmtId="11" fontId="8" fillId="0" borderId="0" xfId="0" applyNumberFormat="1" applyFont="1" applyAlignment="1">
      <alignment horizontal="center" vertical="center"/>
    </xf>
    <xf numFmtId="0" fontId="3" fillId="6" borderId="0" xfId="0" applyFont="1" applyFill="1"/>
    <xf numFmtId="0" fontId="3" fillId="6" borderId="14" xfId="0" applyFont="1" applyFill="1" applyBorder="1"/>
    <xf numFmtId="0" fontId="19" fillId="0" borderId="21" xfId="0" applyFont="1" applyBorder="1" applyAlignment="1">
      <alignment horizontal="center" vertical="center" wrapText="1"/>
    </xf>
    <xf numFmtId="0" fontId="41" fillId="0" borderId="0" xfId="0" applyFont="1"/>
    <xf numFmtId="0" fontId="42" fillId="0" borderId="0" xfId="0" applyFont="1" applyAlignment="1">
      <alignment wrapText="1"/>
    </xf>
    <xf numFmtId="0" fontId="3" fillId="8" borderId="1" xfId="0" applyFont="1" applyFill="1" applyBorder="1" applyAlignment="1">
      <alignment wrapText="1"/>
    </xf>
    <xf numFmtId="0" fontId="3" fillId="8" borderId="1" xfId="0" applyFont="1" applyFill="1" applyBorder="1"/>
    <xf numFmtId="0" fontId="3" fillId="8" borderId="6" xfId="0" applyFont="1" applyFill="1" applyBorder="1" applyAlignment="1">
      <alignment wrapText="1"/>
    </xf>
    <xf numFmtId="0" fontId="3" fillId="8" borderId="8" xfId="0" applyFont="1" applyFill="1" applyBorder="1" applyAlignment="1">
      <alignment wrapText="1"/>
    </xf>
    <xf numFmtId="0" fontId="3" fillId="8" borderId="21" xfId="0" applyFont="1" applyFill="1" applyBorder="1" applyAlignment="1">
      <alignment wrapText="1"/>
    </xf>
    <xf numFmtId="0" fontId="8" fillId="8" borderId="9" xfId="0" applyFont="1" applyFill="1" applyBorder="1" applyAlignment="1">
      <alignment horizontal="center" vertical="center" wrapText="1"/>
    </xf>
    <xf numFmtId="0" fontId="18" fillId="8" borderId="0" xfId="0" applyFont="1" applyFill="1" applyAlignment="1">
      <alignment horizontal="center" vertical="center" wrapText="1"/>
    </xf>
    <xf numFmtId="0" fontId="18" fillId="0" borderId="13" xfId="0" applyFont="1" applyBorder="1" applyAlignment="1">
      <alignment horizontal="center" vertical="top"/>
    </xf>
    <xf numFmtId="0" fontId="35" fillId="5" borderId="7" xfId="0" applyFont="1" applyFill="1" applyBorder="1" applyAlignment="1">
      <alignment horizontal="center" vertical="center" wrapText="1"/>
    </xf>
    <xf numFmtId="0" fontId="35" fillId="5" borderId="8" xfId="0" applyFont="1" applyFill="1" applyBorder="1" applyAlignment="1">
      <alignment horizontal="center" vertical="center" wrapText="1"/>
    </xf>
    <xf numFmtId="0" fontId="36" fillId="5" borderId="7" xfId="0" applyFont="1" applyFill="1" applyBorder="1" applyAlignment="1">
      <alignment horizontal="center" vertical="center" wrapText="1"/>
    </xf>
    <xf numFmtId="0" fontId="36" fillId="5" borderId="6" xfId="0" applyFont="1" applyFill="1" applyBorder="1" applyAlignment="1">
      <alignment horizontal="center" vertical="center" wrapText="1"/>
    </xf>
    <xf numFmtId="0" fontId="36" fillId="5" borderId="8" xfId="0" applyFont="1" applyFill="1" applyBorder="1" applyAlignment="1">
      <alignment horizontal="center" vertical="center" wrapText="1"/>
    </xf>
    <xf numFmtId="0" fontId="36" fillId="0" borderId="9" xfId="0" applyFont="1" applyBorder="1"/>
    <xf numFmtId="0" fontId="36" fillId="0" borderId="10" xfId="0" applyFont="1" applyBorder="1"/>
    <xf numFmtId="11" fontId="36" fillId="0" borderId="9" xfId="0" applyNumberFormat="1" applyFont="1" applyBorder="1"/>
    <xf numFmtId="11" fontId="36" fillId="0" borderId="3" xfId="0" applyNumberFormat="1" applyFont="1" applyBorder="1"/>
    <xf numFmtId="11" fontId="36" fillId="0" borderId="10" xfId="0" applyNumberFormat="1" applyFont="1" applyBorder="1"/>
    <xf numFmtId="0" fontId="36" fillId="0" borderId="13" xfId="0" applyFont="1" applyBorder="1"/>
    <xf numFmtId="0" fontId="36" fillId="0" borderId="14" xfId="0" applyFont="1" applyBorder="1"/>
    <xf numFmtId="11" fontId="36" fillId="0" borderId="13" xfId="0" applyNumberFormat="1" applyFont="1" applyBorder="1"/>
    <xf numFmtId="11" fontId="36" fillId="0" borderId="0" xfId="0" applyNumberFormat="1" applyFont="1"/>
    <xf numFmtId="11" fontId="36" fillId="0" borderId="14" xfId="0" applyNumberFormat="1" applyFont="1" applyBorder="1"/>
    <xf numFmtId="0" fontId="36" fillId="0" borderId="11" xfId="0" applyFont="1" applyBorder="1"/>
    <xf numFmtId="0" fontId="36" fillId="0" borderId="12" xfId="0" applyFont="1" applyBorder="1"/>
    <xf numFmtId="11" fontId="36" fillId="0" borderId="11" xfId="0" applyNumberFormat="1" applyFont="1" applyBorder="1"/>
    <xf numFmtId="11" fontId="36" fillId="0" borderId="4" xfId="0" applyNumberFormat="1" applyFont="1" applyBorder="1"/>
    <xf numFmtId="11" fontId="36" fillId="0" borderId="12" xfId="0" applyNumberFormat="1" applyFont="1" applyBorder="1"/>
    <xf numFmtId="9" fontId="7" fillId="0" borderId="0" xfId="1" applyFont="1"/>
    <xf numFmtId="9" fontId="7" fillId="0" borderId="0" xfId="0" applyNumberFormat="1" applyFont="1"/>
    <xf numFmtId="0" fontId="43" fillId="0" borderId="0" xfId="0" applyFont="1"/>
    <xf numFmtId="0" fontId="14" fillId="0" borderId="4" xfId="0" applyFont="1" applyBorder="1"/>
    <xf numFmtId="0" fontId="14" fillId="0" borderId="12" xfId="0" applyFont="1" applyBorder="1"/>
    <xf numFmtId="164" fontId="3" fillId="0" borderId="0" xfId="0" applyNumberFormat="1" applyFont="1"/>
    <xf numFmtId="0" fontId="2" fillId="8" borderId="19"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44" fillId="8" borderId="6"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8" borderId="6"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45" fillId="0" borderId="19" xfId="0" applyFont="1" applyBorder="1" applyAlignment="1">
      <alignment wrapText="1"/>
    </xf>
    <xf numFmtId="0" fontId="8" fillId="0" borderId="20" xfId="0" applyFont="1" applyBorder="1" applyAlignment="1">
      <alignment wrapText="1"/>
    </xf>
    <xf numFmtId="0" fontId="45" fillId="0" borderId="20" xfId="0" applyFont="1" applyBorder="1" applyAlignment="1">
      <alignment wrapText="1"/>
    </xf>
    <xf numFmtId="0" fontId="45" fillId="0" borderId="21" xfId="0" applyFont="1" applyBorder="1" applyAlignment="1">
      <alignment wrapText="1"/>
    </xf>
    <xf numFmtId="0" fontId="8" fillId="0" borderId="19" xfId="0" applyFont="1" applyBorder="1" applyAlignment="1">
      <alignment wrapText="1"/>
    </xf>
    <xf numFmtId="0" fontId="8" fillId="0" borderId="21" xfId="0" applyFont="1" applyBorder="1" applyAlignment="1">
      <alignment wrapText="1"/>
    </xf>
    <xf numFmtId="0" fontId="8" fillId="0" borderId="1" xfId="0" applyFont="1" applyBorder="1" applyAlignment="1">
      <alignment wrapText="1"/>
    </xf>
    <xf numFmtId="0" fontId="3" fillId="0" borderId="0" xfId="0" applyFont="1" applyAlignment="1">
      <alignment vertical="center"/>
    </xf>
    <xf numFmtId="0" fontId="2" fillId="0" borderId="21" xfId="0" applyFont="1" applyBorder="1"/>
    <xf numFmtId="0" fontId="21" fillId="0" borderId="0" xfId="0" applyFont="1" applyAlignment="1">
      <alignment wrapText="1"/>
    </xf>
    <xf numFmtId="0" fontId="46" fillId="13" borderId="0" xfId="0" applyFont="1" applyFill="1"/>
    <xf numFmtId="0" fontId="47" fillId="13" borderId="0" xfId="0" applyFont="1" applyFill="1"/>
    <xf numFmtId="0" fontId="9" fillId="9" borderId="0" xfId="0" applyFont="1" applyFill="1"/>
    <xf numFmtId="0" fontId="9" fillId="10" borderId="0" xfId="0" applyFont="1" applyFill="1"/>
    <xf numFmtId="0" fontId="9" fillId="14" borderId="0" xfId="0" applyFont="1" applyFill="1"/>
    <xf numFmtId="0" fontId="9" fillId="11" borderId="0" xfId="0" applyFont="1" applyFill="1"/>
    <xf numFmtId="0" fontId="9" fillId="15" borderId="0" xfId="0" applyFont="1" applyFill="1"/>
    <xf numFmtId="0" fontId="9" fillId="12" borderId="0" xfId="0" applyFont="1" applyFill="1"/>
    <xf numFmtId="0" fontId="48" fillId="6" borderId="0" xfId="0" applyFont="1" applyFill="1"/>
    <xf numFmtId="0" fontId="21" fillId="6" borderId="0" xfId="0" applyFont="1" applyFill="1" applyAlignment="1">
      <alignment wrapText="1"/>
    </xf>
    <xf numFmtId="0" fontId="21" fillId="0" borderId="29" xfId="0" applyFont="1" applyBorder="1" applyAlignment="1">
      <alignment horizontal="center" vertical="top"/>
    </xf>
    <xf numFmtId="0" fontId="0" fillId="0" borderId="9" xfId="0" applyBorder="1"/>
    <xf numFmtId="0" fontId="0" fillId="0" borderId="11" xfId="0" applyBorder="1"/>
    <xf numFmtId="11" fontId="7" fillId="0" borderId="4" xfId="0" applyNumberFormat="1" applyFont="1" applyBorder="1"/>
    <xf numFmtId="0" fontId="0" fillId="0" borderId="9" xfId="0" applyBorder="1" applyAlignment="1">
      <alignment wrapText="1"/>
    </xf>
    <xf numFmtId="0" fontId="21" fillId="6" borderId="0" xfId="0" applyFont="1" applyFill="1"/>
    <xf numFmtId="0" fontId="21" fillId="6" borderId="13" xfId="0" applyFont="1" applyFill="1" applyBorder="1" applyAlignment="1">
      <alignment wrapText="1"/>
    </xf>
    <xf numFmtId="0" fontId="21" fillId="6" borderId="14" xfId="0" applyFont="1" applyFill="1" applyBorder="1" applyAlignment="1">
      <alignment wrapText="1"/>
    </xf>
    <xf numFmtId="11" fontId="0" fillId="0" borderId="13" xfId="0" applyNumberFormat="1" applyBorder="1"/>
    <xf numFmtId="11" fontId="0" fillId="0" borderId="14" xfId="0" applyNumberFormat="1" applyBorder="1"/>
    <xf numFmtId="11" fontId="0" fillId="0" borderId="11" xfId="0" applyNumberFormat="1" applyBorder="1"/>
    <xf numFmtId="11" fontId="0" fillId="0" borderId="12" xfId="0" applyNumberFormat="1" applyBorder="1"/>
    <xf numFmtId="0" fontId="2" fillId="4" borderId="1" xfId="0" applyFont="1" applyFill="1" applyBorder="1" applyAlignment="1">
      <alignment horizontal="center" vertical="center" wrapText="1"/>
    </xf>
    <xf numFmtId="0" fontId="18" fillId="6" borderId="13" xfId="0" applyFont="1" applyFill="1" applyBorder="1" applyAlignment="1">
      <alignment horizontal="center" vertical="top"/>
    </xf>
    <xf numFmtId="11" fontId="8" fillId="6" borderId="0" xfId="0" applyNumberFormat="1" applyFont="1" applyFill="1"/>
    <xf numFmtId="0" fontId="21" fillId="6" borderId="29" xfId="0" applyFont="1" applyFill="1" applyBorder="1" applyAlignment="1">
      <alignment horizontal="center" vertical="top"/>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38" fillId="0" borderId="6" xfId="0" applyFont="1" applyBorder="1" applyAlignment="1">
      <alignment horizontal="center" vertical="center" wrapText="1"/>
    </xf>
    <xf numFmtId="0" fontId="3" fillId="0" borderId="6" xfId="0" applyFont="1" applyBorder="1" applyAlignment="1">
      <alignment horizontal="center" vertical="center" wrapText="1"/>
    </xf>
    <xf numFmtId="0" fontId="49" fillId="0" borderId="0" xfId="2" applyAlignment="1">
      <alignment vertical="center"/>
    </xf>
    <xf numFmtId="0" fontId="50" fillId="0" borderId="0" xfId="0" applyFont="1" applyAlignment="1">
      <alignment vertical="center"/>
    </xf>
    <xf numFmtId="0" fontId="51" fillId="0" borderId="0" xfId="0" applyFont="1"/>
    <xf numFmtId="0" fontId="52" fillId="0" borderId="0" xfId="0" applyFont="1" applyAlignment="1">
      <alignment vertical="center"/>
    </xf>
    <xf numFmtId="0" fontId="55" fillId="0" borderId="0" xfId="0" applyFont="1" applyAlignment="1">
      <alignment vertical="top" wrapText="1"/>
    </xf>
    <xf numFmtId="1" fontId="3" fillId="0" borderId="0" xfId="0" applyNumberFormat="1" applyFont="1" applyAlignment="1">
      <alignment wrapText="1"/>
    </xf>
    <xf numFmtId="9" fontId="0" fillId="0" borderId="9" xfId="1" applyFont="1" applyBorder="1"/>
    <xf numFmtId="9" fontId="0" fillId="0" borderId="3" xfId="1" applyFont="1" applyBorder="1"/>
    <xf numFmtId="9" fontId="0" fillId="0" borderId="10" xfId="1" applyFont="1" applyBorder="1"/>
    <xf numFmtId="9" fontId="0" fillId="0" borderId="13" xfId="1" applyFont="1" applyBorder="1"/>
    <xf numFmtId="9" fontId="0" fillId="0" borderId="0" xfId="1" applyFont="1" applyBorder="1"/>
    <xf numFmtId="9" fontId="0" fillId="0" borderId="14" xfId="1" applyFont="1" applyBorder="1"/>
    <xf numFmtId="9" fontId="0" fillId="0" borderId="11" xfId="1" applyFont="1" applyBorder="1"/>
    <xf numFmtId="9" fontId="0" fillId="0" borderId="4" xfId="1" applyFont="1" applyBorder="1"/>
    <xf numFmtId="9" fontId="0" fillId="0" borderId="12" xfId="1" applyFont="1" applyBorder="1"/>
    <xf numFmtId="0" fontId="0" fillId="0" borderId="3" xfId="0" applyBorder="1" applyAlignment="1">
      <alignment wrapText="1"/>
    </xf>
    <xf numFmtId="0" fontId="0" fillId="0" borderId="10" xfId="0" applyBorder="1" applyAlignment="1">
      <alignment wrapText="1"/>
    </xf>
    <xf numFmtId="0" fontId="0" fillId="0" borderId="7" xfId="0" applyBorder="1"/>
    <xf numFmtId="0" fontId="0" fillId="0" borderId="7" xfId="0" applyBorder="1" applyAlignment="1">
      <alignment horizontal="center" vertical="center"/>
    </xf>
    <xf numFmtId="1" fontId="3" fillId="0" borderId="0" xfId="0" applyNumberFormat="1" applyFont="1"/>
    <xf numFmtId="0" fontId="3" fillId="6" borderId="7" xfId="0" applyFont="1" applyFill="1" applyBorder="1"/>
    <xf numFmtId="0" fontId="3" fillId="6" borderId="6" xfId="0" applyFont="1" applyFill="1" applyBorder="1"/>
    <xf numFmtId="0" fontId="3" fillId="6" borderId="8" xfId="0" applyFont="1" applyFill="1" applyBorder="1"/>
    <xf numFmtId="0" fontId="3" fillId="0" borderId="35" xfId="0" applyFont="1" applyBorder="1"/>
    <xf numFmtId="0" fontId="3" fillId="0" borderId="36" xfId="0" applyFont="1" applyBorder="1"/>
    <xf numFmtId="0" fontId="3" fillId="0" borderId="10" xfId="0" applyFont="1" applyBorder="1" applyAlignment="1">
      <alignment horizontal="center" vertical="center"/>
    </xf>
    <xf numFmtId="0" fontId="3" fillId="0" borderId="12" xfId="0" applyFont="1" applyBorder="1" applyAlignment="1">
      <alignment horizontal="center" vertical="center"/>
    </xf>
    <xf numFmtId="11" fontId="3" fillId="0" borderId="9" xfId="0" applyNumberFormat="1" applyFont="1" applyBorder="1" applyAlignment="1">
      <alignment horizontal="center" vertical="center"/>
    </xf>
    <xf numFmtId="11" fontId="3" fillId="0" borderId="3" xfId="0" applyNumberFormat="1" applyFont="1" applyBorder="1" applyAlignment="1">
      <alignment horizontal="center" vertical="center"/>
    </xf>
    <xf numFmtId="1" fontId="3" fillId="0" borderId="10" xfId="0" applyNumberFormat="1" applyFont="1" applyBorder="1" applyAlignment="1">
      <alignment horizontal="center" vertical="center"/>
    </xf>
    <xf numFmtId="11" fontId="3" fillId="0" borderId="13" xfId="0" applyNumberFormat="1" applyFont="1" applyBorder="1" applyAlignment="1">
      <alignment horizontal="center" vertical="center"/>
    </xf>
    <xf numFmtId="11" fontId="3" fillId="0" borderId="0" xfId="0" applyNumberFormat="1" applyFont="1" applyAlignment="1">
      <alignment horizontal="center" vertical="center"/>
    </xf>
    <xf numFmtId="1" fontId="3" fillId="0" borderId="14" xfId="0" applyNumberFormat="1" applyFont="1" applyBorder="1" applyAlignment="1">
      <alignment horizontal="center" vertical="center"/>
    </xf>
    <xf numFmtId="0" fontId="3" fillId="5" borderId="9"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1" xfId="0" applyFont="1" applyFill="1" applyBorder="1" applyAlignment="1">
      <alignment horizontal="center" vertical="center"/>
    </xf>
    <xf numFmtId="11" fontId="3" fillId="0" borderId="4" xfId="0" applyNumberFormat="1" applyFont="1" applyBorder="1" applyAlignment="1">
      <alignment horizontal="center" vertical="center"/>
    </xf>
    <xf numFmtId="1" fontId="3" fillId="0" borderId="12" xfId="0" applyNumberFormat="1"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1" fontId="3" fillId="0" borderId="37" xfId="0" applyNumberFormat="1" applyFont="1" applyBorder="1" applyAlignment="1">
      <alignment horizontal="center" vertical="center"/>
    </xf>
    <xf numFmtId="1" fontId="3" fillId="0" borderId="34" xfId="0" applyNumberFormat="1" applyFont="1" applyBorder="1" applyAlignment="1">
      <alignment horizontal="center" vertical="center"/>
    </xf>
    <xf numFmtId="0" fontId="3" fillId="5" borderId="3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38" xfId="0" applyFont="1" applyFill="1" applyBorder="1" applyAlignment="1">
      <alignment horizontal="center" vertical="center"/>
    </xf>
    <xf numFmtId="0" fontId="3" fillId="8" borderId="10" xfId="0" applyFont="1" applyFill="1" applyBorder="1"/>
    <xf numFmtId="0" fontId="3" fillId="0" borderId="1" xfId="0" applyFont="1" applyBorder="1" applyAlignment="1">
      <alignment horizontal="left"/>
    </xf>
    <xf numFmtId="0" fontId="3" fillId="0" borderId="24" xfId="0" applyFont="1" applyBorder="1"/>
    <xf numFmtId="0" fontId="3" fillId="0" borderId="39" xfId="0" applyFont="1" applyBorder="1"/>
    <xf numFmtId="0" fontId="3" fillId="0" borderId="18" xfId="0" applyFont="1" applyBorder="1"/>
    <xf numFmtId="0" fontId="3" fillId="0" borderId="40" xfId="0" applyFont="1" applyBorder="1"/>
    <xf numFmtId="0" fontId="3" fillId="0" borderId="38" xfId="0" applyFont="1" applyBorder="1"/>
    <xf numFmtId="0" fontId="3" fillId="0" borderId="34" xfId="0" applyFont="1" applyBorder="1"/>
    <xf numFmtId="0" fontId="3" fillId="0" borderId="41" xfId="0" applyFont="1" applyBorder="1" applyAlignment="1">
      <alignment horizontal="center"/>
    </xf>
    <xf numFmtId="0" fontId="3" fillId="0" borderId="42" xfId="0" applyFont="1" applyBorder="1" applyAlignment="1">
      <alignment horizontal="center"/>
    </xf>
    <xf numFmtId="0" fontId="3" fillId="0" borderId="43" xfId="0" applyFont="1" applyBorder="1"/>
    <xf numFmtId="0" fontId="3" fillId="0" borderId="44" xfId="0" applyFont="1" applyBorder="1"/>
    <xf numFmtId="0" fontId="15" fillId="0" borderId="41" xfId="0" applyFont="1" applyBorder="1" applyAlignment="1">
      <alignment horizontal="center"/>
    </xf>
    <xf numFmtId="0" fontId="15" fillId="0" borderId="34" xfId="0" applyFont="1" applyBorder="1"/>
    <xf numFmtId="9" fontId="56" fillId="0" borderId="21" xfId="1" applyFont="1" applyBorder="1"/>
    <xf numFmtId="9" fontId="56" fillId="0" borderId="20" xfId="1" applyFont="1" applyBorder="1"/>
    <xf numFmtId="0" fontId="3" fillId="8" borderId="19" xfId="0" applyFont="1" applyFill="1" applyBorder="1" applyAlignment="1">
      <alignment horizontal="center" vertical="center"/>
    </xf>
    <xf numFmtId="11" fontId="8" fillId="0" borderId="19" xfId="0" applyNumberFormat="1" applyFont="1" applyBorder="1"/>
    <xf numFmtId="11" fontId="8" fillId="0" borderId="21" xfId="0" applyNumberFormat="1" applyFont="1" applyBorder="1"/>
    <xf numFmtId="0" fontId="7" fillId="0" borderId="21" xfId="0" applyFont="1" applyBorder="1"/>
    <xf numFmtId="11" fontId="8" fillId="0" borderId="20" xfId="0" applyNumberFormat="1" applyFont="1" applyBorder="1"/>
    <xf numFmtId="0" fontId="3" fillId="8" borderId="1" xfId="0" applyFont="1" applyFill="1" applyBorder="1" applyAlignment="1">
      <alignment horizontal="center" vertical="center"/>
    </xf>
    <xf numFmtId="0" fontId="8" fillId="0" borderId="13" xfId="0" applyFont="1" applyBorder="1" applyAlignment="1">
      <alignment horizontal="center" vertical="center"/>
    </xf>
    <xf numFmtId="0" fontId="8" fillId="0" borderId="21" xfId="0" applyFont="1" applyBorder="1" applyAlignment="1">
      <alignment horizontal="center" vertical="center"/>
    </xf>
    <xf numFmtId="0" fontId="8" fillId="0" borderId="14" xfId="0" applyFont="1" applyBorder="1" applyAlignment="1">
      <alignment horizontal="center" vertical="center"/>
    </xf>
    <xf numFmtId="166" fontId="7" fillId="0" borderId="10" xfId="0" applyNumberFormat="1" applyFont="1" applyBorder="1"/>
    <xf numFmtId="166" fontId="7" fillId="0" borderId="14" xfId="0" applyNumberFormat="1" applyFont="1" applyBorder="1"/>
    <xf numFmtId="166" fontId="7" fillId="0" borderId="12" xfId="0" applyNumberFormat="1" applyFont="1" applyBorder="1" applyAlignment="1">
      <alignment horizontal="right"/>
    </xf>
    <xf numFmtId="0" fontId="7" fillId="8" borderId="19" xfId="0" applyFont="1" applyFill="1" applyBorder="1" applyAlignment="1">
      <alignment horizontal="center" vertical="center" wrapText="1"/>
    </xf>
    <xf numFmtId="0" fontId="7" fillId="0" borderId="20" xfId="0" applyFont="1" applyBorder="1"/>
    <xf numFmtId="0" fontId="7" fillId="0" borderId="19" xfId="0" applyFont="1" applyBorder="1"/>
    <xf numFmtId="11" fontId="7" fillId="0" borderId="3" xfId="0" applyNumberFormat="1" applyFont="1" applyBorder="1"/>
    <xf numFmtId="11" fontId="7" fillId="0" borderId="10" xfId="0" applyNumberFormat="1" applyFont="1" applyBorder="1"/>
    <xf numFmtId="11" fontId="7" fillId="0" borderId="14" xfId="0" applyNumberFormat="1" applyFont="1" applyBorder="1"/>
    <xf numFmtId="11" fontId="7" fillId="0" borderId="12" xfId="0" applyNumberFormat="1" applyFont="1" applyBorder="1"/>
    <xf numFmtId="11" fontId="7" fillId="0" borderId="9" xfId="0" applyNumberFormat="1" applyFont="1" applyBorder="1"/>
    <xf numFmtId="11" fontId="7" fillId="0" borderId="13" xfId="0" applyNumberFormat="1" applyFont="1" applyBorder="1"/>
    <xf numFmtId="11" fontId="7" fillId="0" borderId="11" xfId="0" applyNumberFormat="1" applyFont="1" applyBorder="1"/>
    <xf numFmtId="0" fontId="7"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6" fillId="6" borderId="9" xfId="0" applyFont="1" applyFill="1" applyBorder="1" applyAlignment="1">
      <alignment horizontal="center" vertical="center"/>
    </xf>
    <xf numFmtId="0" fontId="6" fillId="6" borderId="7" xfId="0" applyFont="1" applyFill="1" applyBorder="1" applyAlignment="1">
      <alignment horizontal="center" vertical="center"/>
    </xf>
    <xf numFmtId="0" fontId="7" fillId="0" borderId="6" xfId="0" applyFont="1" applyBorder="1"/>
    <xf numFmtId="0" fontId="7" fillId="0" borderId="8" xfId="0" applyFont="1" applyBorder="1"/>
    <xf numFmtId="0" fontId="57" fillId="0" borderId="9" xfId="0" applyFont="1" applyBorder="1"/>
    <xf numFmtId="0" fontId="57" fillId="0" borderId="10" xfId="0" applyFont="1" applyBorder="1"/>
    <xf numFmtId="0" fontId="57" fillId="0" borderId="0" xfId="0" applyFont="1"/>
    <xf numFmtId="0" fontId="57" fillId="0" borderId="11" xfId="0" applyFont="1" applyBorder="1"/>
    <xf numFmtId="0" fontId="57" fillId="0" borderId="12" xfId="0" applyFont="1" applyBorder="1"/>
    <xf numFmtId="0" fontId="57" fillId="0" borderId="13" xfId="0" applyFont="1" applyBorder="1"/>
    <xf numFmtId="0" fontId="57" fillId="0" borderId="14" xfId="0" applyFont="1" applyBorder="1"/>
    <xf numFmtId="0" fontId="58" fillId="0" borderId="14" xfId="0" applyFont="1" applyBorder="1" applyAlignment="1">
      <alignment horizontal="center"/>
    </xf>
    <xf numFmtId="11" fontId="57" fillId="0" borderId="46" xfId="0" applyNumberFormat="1" applyFont="1" applyBorder="1" applyAlignment="1">
      <alignment horizontal="center"/>
    </xf>
    <xf numFmtId="11" fontId="57" fillId="0" borderId="47" xfId="0" applyNumberFormat="1" applyFont="1" applyBorder="1" applyAlignment="1">
      <alignment horizontal="center"/>
    </xf>
    <xf numFmtId="11" fontId="57" fillId="0" borderId="48" xfId="0" applyNumberFormat="1" applyFont="1" applyBorder="1" applyAlignment="1">
      <alignment horizontal="center"/>
    </xf>
    <xf numFmtId="0" fontId="57" fillId="0" borderId="47" xfId="0" applyFont="1" applyBorder="1" applyAlignment="1">
      <alignment horizontal="center"/>
    </xf>
    <xf numFmtId="0" fontId="57" fillId="0" borderId="50" xfId="0" applyFont="1" applyBorder="1" applyAlignment="1">
      <alignment horizontal="center"/>
    </xf>
    <xf numFmtId="0" fontId="0" fillId="0" borderId="0" xfId="0" applyAlignment="1">
      <alignment horizontal="center"/>
    </xf>
    <xf numFmtId="0" fontId="57" fillId="0" borderId="0" xfId="0" applyFont="1" applyAlignment="1">
      <alignment horizontal="center" vertical="center"/>
    </xf>
    <xf numFmtId="9" fontId="57" fillId="0" borderId="2" xfId="1" applyFont="1" applyBorder="1" applyAlignment="1">
      <alignment horizontal="center" vertical="center"/>
    </xf>
    <xf numFmtId="9" fontId="57" fillId="0" borderId="25" xfId="1" applyFont="1" applyBorder="1" applyAlignment="1">
      <alignment horizontal="center" vertical="center"/>
    </xf>
    <xf numFmtId="9" fontId="57" fillId="0" borderId="45" xfId="1" applyFont="1" applyBorder="1" applyAlignment="1">
      <alignment horizontal="center" vertical="center"/>
    </xf>
    <xf numFmtId="9" fontId="57" fillId="0" borderId="49" xfId="1" applyFont="1" applyBorder="1" applyAlignment="1">
      <alignment horizontal="center" vertical="center"/>
    </xf>
    <xf numFmtId="11" fontId="0" fillId="0" borderId="0" xfId="0" applyNumberFormat="1" applyAlignment="1">
      <alignment horizontal="center" vertical="center"/>
    </xf>
    <xf numFmtId="0" fontId="0" fillId="0" borderId="0" xfId="0" applyAlignment="1">
      <alignment horizontal="center" vertical="center"/>
    </xf>
    <xf numFmtId="0" fontId="58" fillId="0" borderId="11" xfId="0" applyFont="1" applyBorder="1" applyAlignment="1">
      <alignment horizontal="center" vertical="center"/>
    </xf>
    <xf numFmtId="11" fontId="57" fillId="0" borderId="13" xfId="0" applyNumberFormat="1" applyFont="1" applyBorder="1" applyAlignment="1">
      <alignment horizontal="center" vertical="center"/>
    </xf>
    <xf numFmtId="11" fontId="57" fillId="0" borderId="11" xfId="0" applyNumberFormat="1" applyFont="1" applyBorder="1" applyAlignment="1">
      <alignment horizontal="center" vertical="center"/>
    </xf>
    <xf numFmtId="9" fontId="7" fillId="0" borderId="3" xfId="1" applyFont="1" applyBorder="1"/>
    <xf numFmtId="0" fontId="3" fillId="0" borderId="0" xfId="0" applyFont="1" applyAlignment="1">
      <alignment horizontal="center"/>
    </xf>
    <xf numFmtId="0" fontId="0" fillId="0" borderId="39" xfId="0" applyBorder="1"/>
    <xf numFmtId="0" fontId="0" fillId="0" borderId="18" xfId="0" applyBorder="1"/>
    <xf numFmtId="0" fontId="8" fillId="0" borderId="0" xfId="0" applyFont="1" applyAlignment="1">
      <alignment vertical="center"/>
    </xf>
    <xf numFmtId="0" fontId="0" fillId="0" borderId="34" xfId="0" applyBorder="1"/>
    <xf numFmtId="0" fontId="0" fillId="0" borderId="43" xfId="0" applyBorder="1"/>
    <xf numFmtId="0" fontId="0" fillId="0" borderId="44" xfId="0" applyBorder="1"/>
    <xf numFmtId="0" fontId="8" fillId="0" borderId="41" xfId="0" applyFont="1" applyBorder="1"/>
    <xf numFmtId="0" fontId="8" fillId="0" borderId="34" xfId="0" applyFont="1" applyBorder="1"/>
    <xf numFmtId="0" fontId="8" fillId="0" borderId="42" xfId="0" applyFont="1" applyBorder="1"/>
    <xf numFmtId="0" fontId="8" fillId="0" borderId="44" xfId="0" applyFont="1" applyBorder="1"/>
    <xf numFmtId="11" fontId="8" fillId="0" borderId="34" xfId="0" applyNumberFormat="1" applyFont="1" applyBorder="1"/>
    <xf numFmtId="11" fontId="8" fillId="0" borderId="43" xfId="0" applyNumberFormat="1" applyFont="1" applyBorder="1"/>
    <xf numFmtId="11" fontId="36" fillId="0" borderId="43" xfId="0" applyNumberFormat="1" applyFont="1" applyBorder="1"/>
    <xf numFmtId="11" fontId="8" fillId="0" borderId="44" xfId="0" applyNumberFormat="1" applyFont="1" applyBorder="1"/>
    <xf numFmtId="0" fontId="18" fillId="0" borderId="51" xfId="0" applyFont="1" applyBorder="1"/>
    <xf numFmtId="0" fontId="18" fillId="0" borderId="30" xfId="0" applyFont="1" applyBorder="1" applyAlignment="1">
      <alignment wrapText="1"/>
    </xf>
    <xf numFmtId="0" fontId="18" fillId="5" borderId="26" xfId="0" applyFont="1" applyFill="1" applyBorder="1" applyAlignment="1">
      <alignment horizontal="center" vertical="center" wrapText="1"/>
    </xf>
    <xf numFmtId="0" fontId="35" fillId="5" borderId="26" xfId="0" applyFont="1" applyFill="1" applyBorder="1" applyAlignment="1">
      <alignment horizontal="center" vertical="center" wrapText="1"/>
    </xf>
    <xf numFmtId="0" fontId="18" fillId="5" borderId="30" xfId="0" applyFont="1" applyFill="1" applyBorder="1" applyAlignment="1">
      <alignment horizontal="center" vertical="center" wrapText="1"/>
    </xf>
    <xf numFmtId="0" fontId="21" fillId="0" borderId="30" xfId="0" applyFont="1" applyBorder="1" applyAlignment="1">
      <alignment horizontal="center" vertical="top"/>
    </xf>
    <xf numFmtId="0" fontId="0" fillId="0" borderId="24" xfId="0" applyBorder="1"/>
    <xf numFmtId="0" fontId="0" fillId="6" borderId="34" xfId="0" applyFill="1" applyBorder="1"/>
    <xf numFmtId="0" fontId="49" fillId="0" borderId="0" xfId="2"/>
    <xf numFmtId="0" fontId="3" fillId="6" borderId="21" xfId="0" applyFont="1" applyFill="1" applyBorder="1"/>
    <xf numFmtId="164" fontId="3" fillId="6" borderId="0" xfId="0" applyNumberFormat="1" applyFont="1" applyFill="1"/>
    <xf numFmtId="0" fontId="52" fillId="0" borderId="0" xfId="0" applyFont="1" applyAlignment="1">
      <alignment horizontal="left" vertical="center" wrapText="1"/>
    </xf>
    <xf numFmtId="0" fontId="55" fillId="0" borderId="0" xfId="0" applyFont="1" applyAlignment="1">
      <alignment horizontal="left" vertical="top" wrapText="1"/>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top" wrapText="1"/>
    </xf>
    <xf numFmtId="0" fontId="2" fillId="0" borderId="15"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applyAlignment="1">
      <alignment horizontal="center" vertical="top" wrapText="1"/>
    </xf>
    <xf numFmtId="0" fontId="2" fillId="0" borderId="9" xfId="0" applyFont="1" applyBorder="1" applyAlignment="1">
      <alignment horizontal="center" vertical="top" wrapText="1"/>
    </xf>
    <xf numFmtId="0" fontId="2" fillId="0" borderId="13" xfId="0" applyFont="1" applyBorder="1" applyAlignment="1">
      <alignment horizontal="center" vertical="top" wrapText="1"/>
    </xf>
    <xf numFmtId="0" fontId="2" fillId="0" borderId="11" xfId="0" applyFont="1" applyBorder="1" applyAlignment="1">
      <alignment horizontal="center" vertical="top" wrapText="1"/>
    </xf>
    <xf numFmtId="0" fontId="2" fillId="2" borderId="4" xfId="0" applyFont="1" applyFill="1" applyBorder="1" applyAlignment="1">
      <alignment horizontal="center" vertical="center" wrapText="1"/>
    </xf>
    <xf numFmtId="0" fontId="2" fillId="0" borderId="19" xfId="0" applyFont="1" applyBorder="1" applyAlignment="1">
      <alignment horizontal="center" vertical="top"/>
    </xf>
    <xf numFmtId="0" fontId="2" fillId="0" borderId="21" xfId="0" applyFont="1" applyBorder="1" applyAlignment="1">
      <alignment horizontal="center" vertical="top"/>
    </xf>
    <xf numFmtId="0" fontId="2" fillId="0" borderId="20" xfId="0" applyFont="1" applyBorder="1" applyAlignment="1">
      <alignment horizontal="center" vertical="top"/>
    </xf>
    <xf numFmtId="0" fontId="2" fillId="0" borderId="19" xfId="0" applyFont="1" applyBorder="1" applyAlignment="1">
      <alignment horizontal="center" vertical="center"/>
    </xf>
    <xf numFmtId="0" fontId="2" fillId="0" borderId="23" xfId="0" applyFont="1" applyBorder="1" applyAlignment="1">
      <alignment horizontal="center"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0" xfId="0" applyFont="1" applyBorder="1" applyAlignment="1">
      <alignment horizontal="center" vertical="center"/>
    </xf>
    <xf numFmtId="0" fontId="8" fillId="0" borderId="0" xfId="0" applyFont="1" applyAlignment="1">
      <alignment horizontal="center" wrapText="1"/>
    </xf>
    <xf numFmtId="0" fontId="2" fillId="0" borderId="0" xfId="0" applyFont="1" applyAlignment="1">
      <alignment horizontal="center"/>
    </xf>
    <xf numFmtId="0" fontId="57" fillId="0" borderId="9" xfId="0" applyFont="1" applyBorder="1" applyAlignment="1">
      <alignment horizontal="center" vertical="center"/>
    </xf>
    <xf numFmtId="0" fontId="57" fillId="0" borderId="3" xfId="0" applyFont="1" applyBorder="1" applyAlignment="1">
      <alignment horizontal="center" vertical="center"/>
    </xf>
    <xf numFmtId="0" fontId="57" fillId="0" borderId="10" xfId="0" applyFont="1" applyBorder="1" applyAlignment="1">
      <alignment horizontal="center" vertical="center"/>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3" xfId="0" applyFont="1" applyBorder="1" applyAlignment="1">
      <alignment horizontal="center"/>
    </xf>
    <xf numFmtId="0" fontId="3" fillId="0" borderId="0" xfId="0" applyFont="1" applyAlignment="1">
      <alignment horizontal="center"/>
    </xf>
    <xf numFmtId="0" fontId="3" fillId="7" borderId="9"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21" xfId="0" applyFont="1" applyBorder="1" applyAlignment="1">
      <alignment horizontal="center" vertical="center"/>
    </xf>
    <xf numFmtId="0" fontId="3" fillId="0" borderId="20" xfId="0" applyFont="1" applyBorder="1" applyAlignment="1">
      <alignment horizontal="center" vertical="center"/>
    </xf>
    <xf numFmtId="0" fontId="3" fillId="0" borderId="19" xfId="0" applyFont="1" applyBorder="1" applyAlignment="1">
      <alignment horizontal="center" vertical="center"/>
    </xf>
    <xf numFmtId="0" fontId="0" fillId="0" borderId="2" xfId="0" applyBorder="1" applyAlignment="1">
      <alignment horizontal="right" vertical="top"/>
    </xf>
    <xf numFmtId="0" fontId="0" fillId="0" borderId="25" xfId="0" applyBorder="1" applyAlignment="1">
      <alignment horizontal="right" vertical="top"/>
    </xf>
    <xf numFmtId="0" fontId="0" fillId="0" borderId="45" xfId="0" applyBorder="1" applyAlignment="1">
      <alignment horizontal="right" vertical="top"/>
    </xf>
    <xf numFmtId="0" fontId="0" fillId="0" borderId="9" xfId="0" applyBorder="1" applyAlignment="1">
      <alignment horizontal="center"/>
    </xf>
    <xf numFmtId="0" fontId="0" fillId="0" borderId="10" xfId="0" applyBorder="1" applyAlignment="1">
      <alignment horizontal="center"/>
    </xf>
    <xf numFmtId="0" fontId="8" fillId="0" borderId="3" xfId="0" applyFont="1" applyBorder="1" applyAlignment="1">
      <alignment horizontal="center"/>
    </xf>
    <xf numFmtId="0" fontId="8" fillId="0" borderId="0" xfId="0" applyFont="1" applyAlignment="1">
      <alignment horizontal="center"/>
    </xf>
    <xf numFmtId="0" fontId="3" fillId="5" borderId="26"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9" xfId="0" applyFont="1" applyFill="1" applyBorder="1" applyAlignment="1">
      <alignment horizontal="center" vertical="center"/>
    </xf>
    <xf numFmtId="0" fontId="3" fillId="8" borderId="7"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8" borderId="7" xfId="0" applyFont="1" applyFill="1" applyBorder="1" applyAlignment="1">
      <alignment horizontal="center" wrapText="1"/>
    </xf>
    <xf numFmtId="0" fontId="3" fillId="8" borderId="6" xfId="0" applyFont="1" applyFill="1" applyBorder="1" applyAlignment="1">
      <alignment horizontal="center" wrapText="1"/>
    </xf>
    <xf numFmtId="0" fontId="3" fillId="8" borderId="8" xfId="0" applyFont="1" applyFill="1" applyBorder="1" applyAlignment="1">
      <alignment horizontal="center" wrapText="1"/>
    </xf>
    <xf numFmtId="0" fontId="3" fillId="8" borderId="7" xfId="0" applyFont="1" applyFill="1" applyBorder="1" applyAlignment="1">
      <alignment horizontal="center" vertical="center"/>
    </xf>
    <xf numFmtId="0" fontId="3" fillId="8" borderId="6" xfId="0" applyFont="1" applyFill="1" applyBorder="1" applyAlignment="1">
      <alignment horizontal="center" vertical="center"/>
    </xf>
    <xf numFmtId="0" fontId="3" fillId="8" borderId="8" xfId="0" applyFont="1" applyFill="1" applyBorder="1" applyAlignment="1">
      <alignment horizontal="center" vertical="center"/>
    </xf>
    <xf numFmtId="0" fontId="24" fillId="8" borderId="13" xfId="0" applyFont="1" applyFill="1" applyBorder="1" applyAlignment="1">
      <alignment horizontal="left" vertical="center" wrapText="1"/>
    </xf>
    <xf numFmtId="0" fontId="24" fillId="8" borderId="0" xfId="0" applyFont="1" applyFill="1" applyAlignment="1">
      <alignment horizontal="left" vertical="center" wrapText="1"/>
    </xf>
  </cellXfs>
  <cellStyles count="3">
    <cellStyle name="Hyperlink" xfId="2" builtinId="8"/>
    <cellStyle name="Normal" xfId="0" builtinId="0"/>
    <cellStyle name="Per cent" xfId="1" builtinId="5"/>
  </cellStyles>
  <dxfs count="0"/>
  <tableStyles count="0" defaultTableStyle="TableStyleMedium2" defaultPivotStyle="PivotStyleLight16"/>
  <colors>
    <mruColors>
      <color rgb="FFAC1F10"/>
      <color rgb="FF89CBCD"/>
      <color rgb="FF8DAEC9"/>
      <color rgb="FFB3A2C7"/>
      <color rgb="FFA6A6A6"/>
      <color rgb="FFCC706E"/>
      <color rgb="FFBF6B1F"/>
      <color rgb="FFD8C572"/>
      <color rgb="FF8BA975"/>
      <color rgb="FF6CEA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MI_2018!$C$1:$C$2</c:f>
              <c:strCache>
                <c:ptCount val="2"/>
                <c:pt idx="0">
                  <c:v>Steel</c:v>
                </c:pt>
                <c:pt idx="1">
                  <c:v>kg/m2 UFA</c:v>
                </c:pt>
              </c:strCache>
            </c:strRef>
          </c:tx>
          <c:spPr>
            <a:solidFill>
              <a:schemeClr val="accent1"/>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MI_2018!$C$3:$C$30</c:f>
              <c:numCache>
                <c:formatCode>0.0</c:formatCode>
                <c:ptCount val="28"/>
                <c:pt idx="0">
                  <c:v>64.536322439436617</c:v>
                </c:pt>
                <c:pt idx="1">
                  <c:v>59.082540896478868</c:v>
                </c:pt>
                <c:pt idx="2">
                  <c:v>53.762747215492951</c:v>
                </c:pt>
                <c:pt idx="3">
                  <c:v>53.747727971830976</c:v>
                </c:pt>
                <c:pt idx="4">
                  <c:v>51.236411047826117</c:v>
                </c:pt>
                <c:pt idx="5">
                  <c:v>53.185350868115947</c:v>
                </c:pt>
                <c:pt idx="6">
                  <c:v>54.825078604347844</c:v>
                </c:pt>
                <c:pt idx="7">
                  <c:v>54.810216828985524</c:v>
                </c:pt>
                <c:pt idx="8">
                  <c:v>46.466515152747249</c:v>
                </c:pt>
                <c:pt idx="9">
                  <c:v>46.565791712087908</c:v>
                </c:pt>
                <c:pt idx="10">
                  <c:v>48.054900825274721</c:v>
                </c:pt>
                <c:pt idx="11">
                  <c:v>48.035462363736258</c:v>
                </c:pt>
                <c:pt idx="12">
                  <c:v>63.247573617468966</c:v>
                </c:pt>
                <c:pt idx="13">
                  <c:v>63.175130903171308</c:v>
                </c:pt>
                <c:pt idx="14">
                  <c:v>78.150042027090322</c:v>
                </c:pt>
                <c:pt idx="15">
                  <c:v>78.130278452675611</c:v>
                </c:pt>
                <c:pt idx="16">
                  <c:v>73.961058518555888</c:v>
                </c:pt>
                <c:pt idx="17">
                  <c:v>74.044236670019103</c:v>
                </c:pt>
                <c:pt idx="18">
                  <c:v>88.38361891785118</c:v>
                </c:pt>
                <c:pt idx="19">
                  <c:v>88.364030628762535</c:v>
                </c:pt>
                <c:pt idx="20">
                  <c:v>92.106593835443078</c:v>
                </c:pt>
                <c:pt idx="21">
                  <c:v>85.927497046827142</c:v>
                </c:pt>
                <c:pt idx="22">
                  <c:v>80.173062057195636</c:v>
                </c:pt>
                <c:pt idx="23">
                  <c:v>80.171314617411696</c:v>
                </c:pt>
                <c:pt idx="24">
                  <c:v>76.371623519910798</c:v>
                </c:pt>
                <c:pt idx="25">
                  <c:v>75.799278756469931</c:v>
                </c:pt>
                <c:pt idx="26">
                  <c:v>77.420391980632942</c:v>
                </c:pt>
                <c:pt idx="27">
                  <c:v>77.420896134762941</c:v>
                </c:pt>
              </c:numCache>
            </c:numRef>
          </c:val>
          <c:extLst>
            <c:ext xmlns:c16="http://schemas.microsoft.com/office/drawing/2014/chart" uri="{C3380CC4-5D6E-409C-BE32-E72D297353CC}">
              <c16:uniqueId val="{00000000-C49F-A148-92C4-5FBA26273E96}"/>
            </c:ext>
          </c:extLst>
        </c:ser>
        <c:ser>
          <c:idx val="1"/>
          <c:order val="1"/>
          <c:tx>
            <c:strRef>
              <c:f>MI_2018!$D$1:$D$2</c:f>
              <c:strCache>
                <c:ptCount val="2"/>
                <c:pt idx="0">
                  <c:v>Copper</c:v>
                </c:pt>
                <c:pt idx="1">
                  <c:v>kg/m2 UFA</c:v>
                </c:pt>
              </c:strCache>
            </c:strRef>
          </c:tx>
          <c:spPr>
            <a:solidFill>
              <a:schemeClr val="accent2"/>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MI_2018!$D$3:$D$30</c:f>
              <c:numCache>
                <c:formatCode>0.0</c:formatCode>
                <c:ptCount val="28"/>
                <c:pt idx="0">
                  <c:v>0.88389121126760573</c:v>
                </c:pt>
                <c:pt idx="1">
                  <c:v>0.88389121126760573</c:v>
                </c:pt>
                <c:pt idx="2">
                  <c:v>0.88389121126760573</c:v>
                </c:pt>
                <c:pt idx="3">
                  <c:v>0.88389121126760573</c:v>
                </c:pt>
                <c:pt idx="4">
                  <c:v>0.35149360434782612</c:v>
                </c:pt>
                <c:pt idx="5">
                  <c:v>0.35149360434782612</c:v>
                </c:pt>
                <c:pt idx="6">
                  <c:v>0.35149360434782612</c:v>
                </c:pt>
                <c:pt idx="7">
                  <c:v>0.35149360434782612</c:v>
                </c:pt>
                <c:pt idx="8">
                  <c:v>0.20715254395604393</c:v>
                </c:pt>
                <c:pt idx="9">
                  <c:v>0.20715254395604393</c:v>
                </c:pt>
                <c:pt idx="10">
                  <c:v>0.20751864175824175</c:v>
                </c:pt>
                <c:pt idx="11">
                  <c:v>0.20751864175824175</c:v>
                </c:pt>
                <c:pt idx="12">
                  <c:v>0.28948117869684653</c:v>
                </c:pt>
                <c:pt idx="13">
                  <c:v>0.28948117869684653</c:v>
                </c:pt>
                <c:pt idx="14">
                  <c:v>0.28948117869684653</c:v>
                </c:pt>
                <c:pt idx="15">
                  <c:v>0.28948117869684653</c:v>
                </c:pt>
                <c:pt idx="16">
                  <c:v>0.33846705315336822</c:v>
                </c:pt>
                <c:pt idx="17">
                  <c:v>0.33846705315336822</c:v>
                </c:pt>
                <c:pt idx="18">
                  <c:v>0.33846705315336822</c:v>
                </c:pt>
                <c:pt idx="19">
                  <c:v>0.33846705315336822</c:v>
                </c:pt>
                <c:pt idx="20">
                  <c:v>0.24424686412042113</c:v>
                </c:pt>
                <c:pt idx="21">
                  <c:v>0.24424686412042113</c:v>
                </c:pt>
                <c:pt idx="22">
                  <c:v>0.24424686412042113</c:v>
                </c:pt>
                <c:pt idx="23">
                  <c:v>0.24424686412042113</c:v>
                </c:pt>
                <c:pt idx="24">
                  <c:v>0.32171694557062552</c:v>
                </c:pt>
                <c:pt idx="25">
                  <c:v>0.32171694557062552</c:v>
                </c:pt>
                <c:pt idx="26">
                  <c:v>0.32275003890518073</c:v>
                </c:pt>
                <c:pt idx="27">
                  <c:v>0.32275003890518073</c:v>
                </c:pt>
              </c:numCache>
            </c:numRef>
          </c:val>
          <c:extLst>
            <c:ext xmlns:c16="http://schemas.microsoft.com/office/drawing/2014/chart" uri="{C3380CC4-5D6E-409C-BE32-E72D297353CC}">
              <c16:uniqueId val="{00000001-C49F-A148-92C4-5FBA26273E96}"/>
            </c:ext>
          </c:extLst>
        </c:ser>
        <c:ser>
          <c:idx val="2"/>
          <c:order val="2"/>
          <c:tx>
            <c:strRef>
              <c:f>MI_2018!$E$1:$E$2</c:f>
              <c:strCache>
                <c:ptCount val="2"/>
                <c:pt idx="0">
                  <c:v>Aluminum</c:v>
                </c:pt>
                <c:pt idx="1">
                  <c:v>kg/m2 UFA</c:v>
                </c:pt>
              </c:strCache>
            </c:strRef>
          </c:tx>
          <c:spPr>
            <a:solidFill>
              <a:schemeClr val="accent3"/>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MI_2018!$E$3:$E$30</c:f>
              <c:numCache>
                <c:formatCode>0.0</c:formatCode>
                <c:ptCount val="28"/>
                <c:pt idx="0">
                  <c:v>0.15058813239436622</c:v>
                </c:pt>
                <c:pt idx="1">
                  <c:v>0.24737031126760564</c:v>
                </c:pt>
                <c:pt idx="2">
                  <c:v>0.22328285563380282</c:v>
                </c:pt>
                <c:pt idx="3">
                  <c:v>0.22328285563380282</c:v>
                </c:pt>
                <c:pt idx="4">
                  <c:v>0.37854946376811599</c:v>
                </c:pt>
                <c:pt idx="5">
                  <c:v>0.47542224637681163</c:v>
                </c:pt>
                <c:pt idx="6">
                  <c:v>0.37808582173913047</c:v>
                </c:pt>
                <c:pt idx="7">
                  <c:v>0.37808582173913047</c:v>
                </c:pt>
                <c:pt idx="8">
                  <c:v>0.11701019340659341</c:v>
                </c:pt>
                <c:pt idx="9">
                  <c:v>0.13084169560439551</c:v>
                </c:pt>
                <c:pt idx="10">
                  <c:v>1.4716251010989008</c:v>
                </c:pt>
                <c:pt idx="11">
                  <c:v>1.4716251010989008</c:v>
                </c:pt>
                <c:pt idx="12">
                  <c:v>0.18861372983158145</c:v>
                </c:pt>
                <c:pt idx="13">
                  <c:v>0.19202465709507882</c:v>
                </c:pt>
                <c:pt idx="14">
                  <c:v>6.9569849296643529</c:v>
                </c:pt>
                <c:pt idx="15">
                  <c:v>6.9569849296643529</c:v>
                </c:pt>
                <c:pt idx="16">
                  <c:v>9.831651352723364E-2</c:v>
                </c:pt>
                <c:pt idx="17">
                  <c:v>8.5646642421165792E-2</c:v>
                </c:pt>
                <c:pt idx="18">
                  <c:v>7.1459152274904394</c:v>
                </c:pt>
                <c:pt idx="19">
                  <c:v>7.1459152274904394</c:v>
                </c:pt>
                <c:pt idx="20">
                  <c:v>0.12761050637201135</c:v>
                </c:pt>
                <c:pt idx="21">
                  <c:v>0.14195464148936165</c:v>
                </c:pt>
                <c:pt idx="22">
                  <c:v>0.44696519143342783</c:v>
                </c:pt>
                <c:pt idx="23">
                  <c:v>0.44696519143342783</c:v>
                </c:pt>
                <c:pt idx="24">
                  <c:v>0.10965742456622675</c:v>
                </c:pt>
                <c:pt idx="25">
                  <c:v>0.10541697725439879</c:v>
                </c:pt>
                <c:pt idx="26">
                  <c:v>6.141978851362385</c:v>
                </c:pt>
                <c:pt idx="27">
                  <c:v>6.141978851362385</c:v>
                </c:pt>
              </c:numCache>
            </c:numRef>
          </c:val>
          <c:extLst>
            <c:ext xmlns:c16="http://schemas.microsoft.com/office/drawing/2014/chart" uri="{C3380CC4-5D6E-409C-BE32-E72D297353CC}">
              <c16:uniqueId val="{00000002-C49F-A148-92C4-5FBA26273E96}"/>
            </c:ext>
          </c:extLst>
        </c:ser>
        <c:ser>
          <c:idx val="3"/>
          <c:order val="3"/>
          <c:tx>
            <c:strRef>
              <c:f>MI_2018!$F$1:$F$2</c:f>
              <c:strCache>
                <c:ptCount val="2"/>
                <c:pt idx="0">
                  <c:v>Other metals</c:v>
                </c:pt>
                <c:pt idx="1">
                  <c:v>kg/m2 UFA</c:v>
                </c:pt>
              </c:strCache>
            </c:strRef>
          </c:tx>
          <c:spPr>
            <a:solidFill>
              <a:schemeClr val="accent4"/>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MI_2018!$F$3:$F$30</c:f>
              <c:numCache>
                <c:formatCode>0.0</c:formatCode>
                <c:ptCount val="28"/>
                <c:pt idx="0">
                  <c:v>2.6386156640845067</c:v>
                </c:pt>
                <c:pt idx="1">
                  <c:v>2.6610961119718306</c:v>
                </c:pt>
                <c:pt idx="2">
                  <c:v>2.6610961119718306</c:v>
                </c:pt>
                <c:pt idx="3">
                  <c:v>2.6610961119718306</c:v>
                </c:pt>
                <c:pt idx="4">
                  <c:v>1.4697139710144911</c:v>
                </c:pt>
                <c:pt idx="5">
                  <c:v>1.5202924623188392</c:v>
                </c:pt>
                <c:pt idx="6">
                  <c:v>1.5202924623188392</c:v>
                </c:pt>
                <c:pt idx="7">
                  <c:v>1.5202924623188392</c:v>
                </c:pt>
                <c:pt idx="8">
                  <c:v>0.46113914505494502</c:v>
                </c:pt>
                <c:pt idx="9">
                  <c:v>0.49499219999999994</c:v>
                </c:pt>
                <c:pt idx="10">
                  <c:v>0.49499219999999994</c:v>
                </c:pt>
                <c:pt idx="11">
                  <c:v>0.49499219999999994</c:v>
                </c:pt>
                <c:pt idx="12">
                  <c:v>0.67728006011227893</c:v>
                </c:pt>
                <c:pt idx="13">
                  <c:v>0.67728006011227893</c:v>
                </c:pt>
                <c:pt idx="14">
                  <c:v>0.6824400360081222</c:v>
                </c:pt>
                <c:pt idx="15">
                  <c:v>0.6824400360081222</c:v>
                </c:pt>
                <c:pt idx="16">
                  <c:v>0.77648306174271364</c:v>
                </c:pt>
                <c:pt idx="17">
                  <c:v>0.77648306174271364</c:v>
                </c:pt>
                <c:pt idx="18">
                  <c:v>0.78545131046464389</c:v>
                </c:pt>
                <c:pt idx="19">
                  <c:v>0.78545131046464389</c:v>
                </c:pt>
                <c:pt idx="20">
                  <c:v>0.18228375881772313</c:v>
                </c:pt>
                <c:pt idx="21">
                  <c:v>0.18228375881772313</c:v>
                </c:pt>
                <c:pt idx="22">
                  <c:v>0.18230194685896023</c:v>
                </c:pt>
                <c:pt idx="23">
                  <c:v>0.18230194685896023</c:v>
                </c:pt>
                <c:pt idx="24">
                  <c:v>0.7536273425403226</c:v>
                </c:pt>
                <c:pt idx="25">
                  <c:v>0.76688052576979482</c:v>
                </c:pt>
                <c:pt idx="26">
                  <c:v>0.77157026455889544</c:v>
                </c:pt>
                <c:pt idx="27">
                  <c:v>0.77157026455889544</c:v>
                </c:pt>
              </c:numCache>
            </c:numRef>
          </c:val>
          <c:extLst>
            <c:ext xmlns:c16="http://schemas.microsoft.com/office/drawing/2014/chart" uri="{C3380CC4-5D6E-409C-BE32-E72D297353CC}">
              <c16:uniqueId val="{00000003-C49F-A148-92C4-5FBA26273E96}"/>
            </c:ext>
          </c:extLst>
        </c:ser>
        <c:ser>
          <c:idx val="4"/>
          <c:order val="4"/>
          <c:tx>
            <c:strRef>
              <c:f>MI_2018!$G$1:$G$2</c:f>
              <c:strCache>
                <c:ptCount val="2"/>
                <c:pt idx="0">
                  <c:v>Wood</c:v>
                </c:pt>
                <c:pt idx="1">
                  <c:v>kg/m2 UFA</c:v>
                </c:pt>
              </c:strCache>
            </c:strRef>
          </c:tx>
          <c:spPr>
            <a:solidFill>
              <a:schemeClr val="accent5"/>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MI_2018!$G$3:$G$30</c:f>
              <c:numCache>
                <c:formatCode>0.0</c:formatCode>
                <c:ptCount val="28"/>
                <c:pt idx="0">
                  <c:v>134.5922306746472</c:v>
                </c:pt>
                <c:pt idx="1">
                  <c:v>75.483782997183113</c:v>
                </c:pt>
                <c:pt idx="2">
                  <c:v>26.855921115492958</c:v>
                </c:pt>
                <c:pt idx="3">
                  <c:v>39.052213596478872</c:v>
                </c:pt>
                <c:pt idx="4">
                  <c:v>64.768413495652169</c:v>
                </c:pt>
                <c:pt idx="5">
                  <c:v>40.861085121739109</c:v>
                </c:pt>
                <c:pt idx="6">
                  <c:v>20.304001179710145</c:v>
                </c:pt>
                <c:pt idx="7">
                  <c:v>32.834914582608697</c:v>
                </c:pt>
                <c:pt idx="8">
                  <c:v>42.832492139560415</c:v>
                </c:pt>
                <c:pt idx="9">
                  <c:v>24.410079309890111</c:v>
                </c:pt>
                <c:pt idx="10">
                  <c:v>9.4723306142857133</c:v>
                </c:pt>
                <c:pt idx="11">
                  <c:v>14.176482770329667</c:v>
                </c:pt>
                <c:pt idx="12">
                  <c:v>45.805600065892257</c:v>
                </c:pt>
                <c:pt idx="13">
                  <c:v>27.450281554879354</c:v>
                </c:pt>
                <c:pt idx="14">
                  <c:v>9.8615794611920649</c:v>
                </c:pt>
                <c:pt idx="15">
                  <c:v>9.8615794611920649</c:v>
                </c:pt>
                <c:pt idx="16">
                  <c:v>49.785507205022697</c:v>
                </c:pt>
                <c:pt idx="17">
                  <c:v>25.358182122814139</c:v>
                </c:pt>
                <c:pt idx="18">
                  <c:v>3.1591018514094595</c:v>
                </c:pt>
                <c:pt idx="19">
                  <c:v>3.1591018514094595</c:v>
                </c:pt>
                <c:pt idx="20">
                  <c:v>77.515275772012501</c:v>
                </c:pt>
                <c:pt idx="21">
                  <c:v>39.115341497692469</c:v>
                </c:pt>
                <c:pt idx="22">
                  <c:v>0.80942497554397819</c:v>
                </c:pt>
                <c:pt idx="23">
                  <c:v>0.80942497554397819</c:v>
                </c:pt>
                <c:pt idx="24">
                  <c:v>56.616516909457467</c:v>
                </c:pt>
                <c:pt idx="25">
                  <c:v>31.253646279948683</c:v>
                </c:pt>
                <c:pt idx="26">
                  <c:v>6.097453656946481</c:v>
                </c:pt>
                <c:pt idx="27">
                  <c:v>7.4154301751283</c:v>
                </c:pt>
              </c:numCache>
            </c:numRef>
          </c:val>
          <c:extLst>
            <c:ext xmlns:c16="http://schemas.microsoft.com/office/drawing/2014/chart" uri="{C3380CC4-5D6E-409C-BE32-E72D297353CC}">
              <c16:uniqueId val="{00000004-C49F-A148-92C4-5FBA26273E96}"/>
            </c:ext>
          </c:extLst>
        </c:ser>
        <c:ser>
          <c:idx val="5"/>
          <c:order val="5"/>
          <c:tx>
            <c:strRef>
              <c:f>MI_2018!$H$1:$H$2</c:f>
              <c:strCache>
                <c:ptCount val="2"/>
                <c:pt idx="0">
                  <c:v>Concrete</c:v>
                </c:pt>
                <c:pt idx="1">
                  <c:v>kg/m2 UFA</c:v>
                </c:pt>
              </c:strCache>
            </c:strRef>
          </c:tx>
          <c:spPr>
            <a:solidFill>
              <a:schemeClr val="accent6"/>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MI_2018!$H$3:$H$30</c:f>
              <c:numCache>
                <c:formatCode>0.0</c:formatCode>
                <c:ptCount val="28"/>
                <c:pt idx="0">
                  <c:v>1382.6945053443642</c:v>
                </c:pt>
                <c:pt idx="1">
                  <c:v>1442.0578473443643</c:v>
                </c:pt>
                <c:pt idx="2">
                  <c:v>1450.3671319436598</c:v>
                </c:pt>
                <c:pt idx="3">
                  <c:v>1450.3671319436598</c:v>
                </c:pt>
                <c:pt idx="4">
                  <c:v>1144.3172885652173</c:v>
                </c:pt>
                <c:pt idx="5">
                  <c:v>1225.6518204347826</c:v>
                </c:pt>
                <c:pt idx="6">
                  <c:v>1304.4812254217391</c:v>
                </c:pt>
                <c:pt idx="7">
                  <c:v>1304.4812254217391</c:v>
                </c:pt>
                <c:pt idx="8">
                  <c:v>1097.8571164296693</c:v>
                </c:pt>
                <c:pt idx="9">
                  <c:v>1168.9713799285703</c:v>
                </c:pt>
                <c:pt idx="10">
                  <c:v>1208.6320879021953</c:v>
                </c:pt>
                <c:pt idx="11">
                  <c:v>1208.6320879021953</c:v>
                </c:pt>
                <c:pt idx="12">
                  <c:v>1191.0069261759434</c:v>
                </c:pt>
                <c:pt idx="13">
                  <c:v>1285.6774106680002</c:v>
                </c:pt>
                <c:pt idx="14">
                  <c:v>1591.1174348635261</c:v>
                </c:pt>
                <c:pt idx="15">
                  <c:v>1591.1174348635261</c:v>
                </c:pt>
                <c:pt idx="16">
                  <c:v>920.82528349550876</c:v>
                </c:pt>
                <c:pt idx="17">
                  <c:v>978.47562842452214</c:v>
                </c:pt>
                <c:pt idx="18">
                  <c:v>1301.4636763662436</c:v>
                </c:pt>
                <c:pt idx="19">
                  <c:v>1301.4636763662436</c:v>
                </c:pt>
                <c:pt idx="20">
                  <c:v>816.66961909891938</c:v>
                </c:pt>
                <c:pt idx="21">
                  <c:v>816.23921469515744</c:v>
                </c:pt>
                <c:pt idx="22">
                  <c:v>819.25319799053455</c:v>
                </c:pt>
                <c:pt idx="23">
                  <c:v>819.25319799053455</c:v>
                </c:pt>
                <c:pt idx="24">
                  <c:v>1244.4585829134276</c:v>
                </c:pt>
                <c:pt idx="25">
                  <c:v>1319.1803025273084</c:v>
                </c:pt>
                <c:pt idx="26">
                  <c:v>1378.8947615237157</c:v>
                </c:pt>
                <c:pt idx="27">
                  <c:v>1378.8947615237157</c:v>
                </c:pt>
              </c:numCache>
            </c:numRef>
          </c:val>
          <c:extLst>
            <c:ext xmlns:c16="http://schemas.microsoft.com/office/drawing/2014/chart" uri="{C3380CC4-5D6E-409C-BE32-E72D297353CC}">
              <c16:uniqueId val="{00000005-C49F-A148-92C4-5FBA26273E96}"/>
            </c:ext>
          </c:extLst>
        </c:ser>
        <c:ser>
          <c:idx val="6"/>
          <c:order val="6"/>
          <c:tx>
            <c:strRef>
              <c:f>MI_2018!$I$1:$I$2</c:f>
              <c:strCache>
                <c:ptCount val="2"/>
                <c:pt idx="0">
                  <c:v>Brick</c:v>
                </c:pt>
                <c:pt idx="1">
                  <c:v>kg/m2 UFA</c:v>
                </c:pt>
              </c:strCache>
            </c:strRef>
          </c:tx>
          <c:spPr>
            <a:solidFill>
              <a:schemeClr val="accent1">
                <a:lumMod val="6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MI_2018!$I$3:$I$30</c:f>
              <c:numCache>
                <c:formatCode>0.0</c:formatCode>
                <c:ptCount val="28"/>
                <c:pt idx="0">
                  <c:v>306.15153726760565</c:v>
                </c:pt>
                <c:pt idx="1">
                  <c:v>306.15153726760565</c:v>
                </c:pt>
                <c:pt idx="2">
                  <c:v>122.46061490845072</c:v>
                </c:pt>
                <c:pt idx="3">
                  <c:v>122.46061490845072</c:v>
                </c:pt>
                <c:pt idx="4">
                  <c:v>162.86606424637682</c:v>
                </c:pt>
                <c:pt idx="5">
                  <c:v>162.86606424637682</c:v>
                </c:pt>
                <c:pt idx="6">
                  <c:v>65.146425695652184</c:v>
                </c:pt>
                <c:pt idx="7">
                  <c:v>65.146425695652184</c:v>
                </c:pt>
                <c:pt idx="8">
                  <c:v>171.36517329670332</c:v>
                </c:pt>
                <c:pt idx="9">
                  <c:v>171.36517329670332</c:v>
                </c:pt>
                <c:pt idx="10">
                  <c:v>68.546069318681319</c:v>
                </c:pt>
                <c:pt idx="11">
                  <c:v>68.546069318681319</c:v>
                </c:pt>
                <c:pt idx="12">
                  <c:v>117.82556523387481</c:v>
                </c:pt>
                <c:pt idx="13">
                  <c:v>117.82556523387481</c:v>
                </c:pt>
                <c:pt idx="14">
                  <c:v>22.366257929347825</c:v>
                </c:pt>
                <c:pt idx="15">
                  <c:v>22.366257929347825</c:v>
                </c:pt>
                <c:pt idx="16">
                  <c:v>86.539151842570462</c:v>
                </c:pt>
                <c:pt idx="17">
                  <c:v>86.539151842570462</c:v>
                </c:pt>
                <c:pt idx="18">
                  <c:v>38.785745548913042</c:v>
                </c:pt>
                <c:pt idx="19">
                  <c:v>38.785745548913042</c:v>
                </c:pt>
                <c:pt idx="20">
                  <c:v>10.018767650658033</c:v>
                </c:pt>
                <c:pt idx="21">
                  <c:v>10.018767650658033</c:v>
                </c:pt>
                <c:pt idx="22">
                  <c:v>4.0240253951524405</c:v>
                </c:pt>
                <c:pt idx="23">
                  <c:v>4.0240253951524405</c:v>
                </c:pt>
                <c:pt idx="24">
                  <c:v>141.5417439017595</c:v>
                </c:pt>
                <c:pt idx="25">
                  <c:v>141.5417439017595</c:v>
                </c:pt>
                <c:pt idx="26">
                  <c:v>56.616697559567442</c:v>
                </c:pt>
                <c:pt idx="27">
                  <c:v>56.616697559567442</c:v>
                </c:pt>
              </c:numCache>
            </c:numRef>
          </c:val>
          <c:extLst>
            <c:ext xmlns:c16="http://schemas.microsoft.com/office/drawing/2014/chart" uri="{C3380CC4-5D6E-409C-BE32-E72D297353CC}">
              <c16:uniqueId val="{00000006-C49F-A148-92C4-5FBA26273E96}"/>
            </c:ext>
          </c:extLst>
        </c:ser>
        <c:ser>
          <c:idx val="7"/>
          <c:order val="7"/>
          <c:tx>
            <c:strRef>
              <c:f>MI_2018!$J$1:$J$2</c:f>
              <c:strCache>
                <c:ptCount val="2"/>
                <c:pt idx="0">
                  <c:v>Other construction materials</c:v>
                </c:pt>
                <c:pt idx="1">
                  <c:v>kg/m2 UFA</c:v>
                </c:pt>
              </c:strCache>
            </c:strRef>
          </c:tx>
          <c:spPr>
            <a:solidFill>
              <a:schemeClr val="accent2">
                <a:lumMod val="6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MI_2018!$J$3:$J$30</c:f>
              <c:numCache>
                <c:formatCode>0.0</c:formatCode>
                <c:ptCount val="28"/>
                <c:pt idx="0">
                  <c:v>361.47610075352111</c:v>
                </c:pt>
                <c:pt idx="1">
                  <c:v>390.84815383098584</c:v>
                </c:pt>
                <c:pt idx="2">
                  <c:v>766.16843432394228</c:v>
                </c:pt>
                <c:pt idx="3">
                  <c:v>766.16843432394228</c:v>
                </c:pt>
                <c:pt idx="4">
                  <c:v>297.16810726811593</c:v>
                </c:pt>
                <c:pt idx="5">
                  <c:v>306.19717929855074</c:v>
                </c:pt>
                <c:pt idx="6">
                  <c:v>470.94709410000002</c:v>
                </c:pt>
                <c:pt idx="7">
                  <c:v>470.94709410000002</c:v>
                </c:pt>
                <c:pt idx="8">
                  <c:v>275.99687683296702</c:v>
                </c:pt>
                <c:pt idx="9">
                  <c:v>275.9463344263736</c:v>
                </c:pt>
                <c:pt idx="10">
                  <c:v>363.12482263076919</c:v>
                </c:pt>
                <c:pt idx="11">
                  <c:v>363.12482263076919</c:v>
                </c:pt>
                <c:pt idx="12">
                  <c:v>235.38274034205628</c:v>
                </c:pt>
                <c:pt idx="13">
                  <c:v>235.2517865795563</c:v>
                </c:pt>
                <c:pt idx="14">
                  <c:v>177.65653974034873</c:v>
                </c:pt>
                <c:pt idx="15">
                  <c:v>177.65653974034873</c:v>
                </c:pt>
                <c:pt idx="16">
                  <c:v>304.4730898909699</c:v>
                </c:pt>
                <c:pt idx="17">
                  <c:v>304.4730898909699</c:v>
                </c:pt>
                <c:pt idx="18">
                  <c:v>292.35783038926184</c:v>
                </c:pt>
                <c:pt idx="19">
                  <c:v>292.35783038926184</c:v>
                </c:pt>
                <c:pt idx="20">
                  <c:v>39.883713630077871</c:v>
                </c:pt>
                <c:pt idx="21">
                  <c:v>39.883713630077871</c:v>
                </c:pt>
                <c:pt idx="22">
                  <c:v>50.865834902177014</c:v>
                </c:pt>
                <c:pt idx="23">
                  <c:v>50.865834902177014</c:v>
                </c:pt>
                <c:pt idx="24">
                  <c:v>228.63562795606668</c:v>
                </c:pt>
                <c:pt idx="25">
                  <c:v>228.63562795606668</c:v>
                </c:pt>
                <c:pt idx="26">
                  <c:v>326.91200220190592</c:v>
                </c:pt>
                <c:pt idx="27">
                  <c:v>326.91200220190592</c:v>
                </c:pt>
              </c:numCache>
            </c:numRef>
          </c:val>
          <c:extLst>
            <c:ext xmlns:c16="http://schemas.microsoft.com/office/drawing/2014/chart" uri="{C3380CC4-5D6E-409C-BE32-E72D297353CC}">
              <c16:uniqueId val="{00000007-C49F-A148-92C4-5FBA26273E96}"/>
            </c:ext>
          </c:extLst>
        </c:ser>
        <c:ser>
          <c:idx val="8"/>
          <c:order val="8"/>
          <c:tx>
            <c:strRef>
              <c:f>MI_2018!$K$1:$K$2</c:f>
              <c:strCache>
                <c:ptCount val="2"/>
                <c:pt idx="0">
                  <c:v>Glass</c:v>
                </c:pt>
                <c:pt idx="1">
                  <c:v>kg/m2 UFA</c:v>
                </c:pt>
              </c:strCache>
            </c:strRef>
          </c:tx>
          <c:spPr>
            <a:solidFill>
              <a:schemeClr val="accent3">
                <a:lumMod val="6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MI_2018!$K$3:$K$30</c:f>
              <c:numCache>
                <c:formatCode>0.0</c:formatCode>
                <c:ptCount val="28"/>
                <c:pt idx="0">
                  <c:v>9.0275356338028176E-2</c:v>
                </c:pt>
                <c:pt idx="1">
                  <c:v>2.860638497887324</c:v>
                </c:pt>
                <c:pt idx="2">
                  <c:v>5.6310016387323945</c:v>
                </c:pt>
                <c:pt idx="3">
                  <c:v>5.6310016387323945</c:v>
                </c:pt>
                <c:pt idx="4">
                  <c:v>0.23043419420289715</c:v>
                </c:pt>
                <c:pt idx="5">
                  <c:v>2.3138175405797088</c:v>
                </c:pt>
                <c:pt idx="6">
                  <c:v>4.3972008869565204</c:v>
                </c:pt>
                <c:pt idx="7">
                  <c:v>4.3972008869565204</c:v>
                </c:pt>
                <c:pt idx="8">
                  <c:v>11.018224612087911</c:v>
                </c:pt>
                <c:pt idx="9">
                  <c:v>14.158282454945043</c:v>
                </c:pt>
                <c:pt idx="10">
                  <c:v>17.298340297802184</c:v>
                </c:pt>
                <c:pt idx="11">
                  <c:v>17.298340297802184</c:v>
                </c:pt>
                <c:pt idx="12">
                  <c:v>0.85341120142737692</c:v>
                </c:pt>
                <c:pt idx="13">
                  <c:v>4.1245713199295206</c:v>
                </c:pt>
                <c:pt idx="14">
                  <c:v>7.3957314389751536</c:v>
                </c:pt>
                <c:pt idx="15">
                  <c:v>7.3957314389751536</c:v>
                </c:pt>
                <c:pt idx="16">
                  <c:v>1.6636304101230293</c:v>
                </c:pt>
                <c:pt idx="17">
                  <c:v>5.2406311552556133</c:v>
                </c:pt>
                <c:pt idx="18">
                  <c:v>8.8176319009316764</c:v>
                </c:pt>
                <c:pt idx="19">
                  <c:v>8.8176319009316764</c:v>
                </c:pt>
                <c:pt idx="20">
                  <c:v>7.9699212064048591E-2</c:v>
                </c:pt>
                <c:pt idx="21">
                  <c:v>0.5171992639668781</c:v>
                </c:pt>
                <c:pt idx="22">
                  <c:v>0.95469931585325674</c:v>
                </c:pt>
                <c:pt idx="23">
                  <c:v>0.95469931585325674</c:v>
                </c:pt>
                <c:pt idx="24">
                  <c:v>0.81073296499266856</c:v>
                </c:pt>
                <c:pt idx="25">
                  <c:v>2.6288132523643695</c:v>
                </c:pt>
                <c:pt idx="26">
                  <c:v>4.0896101978311332</c:v>
                </c:pt>
                <c:pt idx="27">
                  <c:v>4.4154543561644672</c:v>
                </c:pt>
              </c:numCache>
            </c:numRef>
          </c:val>
          <c:extLst>
            <c:ext xmlns:c16="http://schemas.microsoft.com/office/drawing/2014/chart" uri="{C3380CC4-5D6E-409C-BE32-E72D297353CC}">
              <c16:uniqueId val="{00000008-C49F-A148-92C4-5FBA26273E96}"/>
            </c:ext>
          </c:extLst>
        </c:ser>
        <c:ser>
          <c:idx val="9"/>
          <c:order val="9"/>
          <c:tx>
            <c:strRef>
              <c:f>MI_2018!$L$1:$L$2</c:f>
              <c:strCache>
                <c:ptCount val="2"/>
                <c:pt idx="0">
                  <c:v>Ceramics</c:v>
                </c:pt>
                <c:pt idx="1">
                  <c:v>kg/m2 UFA</c:v>
                </c:pt>
              </c:strCache>
            </c:strRef>
          </c:tx>
          <c:spPr>
            <a:solidFill>
              <a:schemeClr val="accent4">
                <a:lumMod val="6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MI_2018!$L$3:$L$30</c:f>
              <c:numCache>
                <c:formatCode>0.0</c:formatCode>
                <c:ptCount val="28"/>
                <c:pt idx="0">
                  <c:v>18.528317862676055</c:v>
                </c:pt>
                <c:pt idx="1">
                  <c:v>18.528317862676055</c:v>
                </c:pt>
                <c:pt idx="2">
                  <c:v>2.8341528697183032</c:v>
                </c:pt>
                <c:pt idx="3">
                  <c:v>2.8341528697183032</c:v>
                </c:pt>
                <c:pt idx="4">
                  <c:v>2.7625526971014498</c:v>
                </c:pt>
                <c:pt idx="5">
                  <c:v>2.7625526971014498</c:v>
                </c:pt>
                <c:pt idx="6">
                  <c:v>2.7625526971014498</c:v>
                </c:pt>
                <c:pt idx="7">
                  <c:v>2.7625526971014498</c:v>
                </c:pt>
                <c:pt idx="8">
                  <c:v>18.81893665164834</c:v>
                </c:pt>
                <c:pt idx="9">
                  <c:v>18.81893665164834</c:v>
                </c:pt>
                <c:pt idx="10">
                  <c:v>4.8449721571428466</c:v>
                </c:pt>
                <c:pt idx="11">
                  <c:v>4.8449721571428466</c:v>
                </c:pt>
                <c:pt idx="12">
                  <c:v>5.70253540081222</c:v>
                </c:pt>
                <c:pt idx="13">
                  <c:v>5.70253540081222</c:v>
                </c:pt>
                <c:pt idx="14">
                  <c:v>5.5382320801600464</c:v>
                </c:pt>
                <c:pt idx="15">
                  <c:v>5.5382320801600464</c:v>
                </c:pt>
                <c:pt idx="16">
                  <c:v>5.2831196812470083</c:v>
                </c:pt>
                <c:pt idx="17">
                  <c:v>5.2831196812470083</c:v>
                </c:pt>
                <c:pt idx="18">
                  <c:v>5.2831196812470083</c:v>
                </c:pt>
                <c:pt idx="19">
                  <c:v>5.2831196812470083</c:v>
                </c:pt>
                <c:pt idx="20">
                  <c:v>0.19992887625027414</c:v>
                </c:pt>
                <c:pt idx="21">
                  <c:v>0.19992887625027414</c:v>
                </c:pt>
                <c:pt idx="22">
                  <c:v>0.19992887625027414</c:v>
                </c:pt>
                <c:pt idx="23">
                  <c:v>0.19992887625027414</c:v>
                </c:pt>
                <c:pt idx="24">
                  <c:v>12.265440836119248</c:v>
                </c:pt>
                <c:pt idx="25">
                  <c:v>12.265440836119248</c:v>
                </c:pt>
                <c:pt idx="26">
                  <c:v>5.8567494270283404</c:v>
                </c:pt>
                <c:pt idx="27">
                  <c:v>5.8567494270283404</c:v>
                </c:pt>
              </c:numCache>
            </c:numRef>
          </c:val>
          <c:extLst>
            <c:ext xmlns:c16="http://schemas.microsoft.com/office/drawing/2014/chart" uri="{C3380CC4-5D6E-409C-BE32-E72D297353CC}">
              <c16:uniqueId val="{00000009-C49F-A148-92C4-5FBA26273E96}"/>
            </c:ext>
          </c:extLst>
        </c:ser>
        <c:ser>
          <c:idx val="10"/>
          <c:order val="10"/>
          <c:tx>
            <c:strRef>
              <c:f>MI_2018!$M$1:$M$2</c:f>
              <c:strCache>
                <c:ptCount val="2"/>
                <c:pt idx="0">
                  <c:v>Plastic</c:v>
                </c:pt>
                <c:pt idx="1">
                  <c:v>kg/m2 UFA</c:v>
                </c:pt>
              </c:strCache>
            </c:strRef>
          </c:tx>
          <c:spPr>
            <a:solidFill>
              <a:schemeClr val="accent5">
                <a:lumMod val="6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MI_2018!$M$3:$M$30</c:f>
              <c:numCache>
                <c:formatCode>0.0</c:formatCode>
                <c:ptCount val="28"/>
                <c:pt idx="0">
                  <c:v>1.2819120188732387</c:v>
                </c:pt>
                <c:pt idx="1">
                  <c:v>1.5625288928169003</c:v>
                </c:pt>
                <c:pt idx="2">
                  <c:v>1.8005107287323932</c:v>
                </c:pt>
                <c:pt idx="3">
                  <c:v>1.8005107287323932</c:v>
                </c:pt>
                <c:pt idx="4">
                  <c:v>0.81826993999999875</c:v>
                </c:pt>
                <c:pt idx="5">
                  <c:v>1.1453851689855061</c:v>
                </c:pt>
                <c:pt idx="6">
                  <c:v>1.8714109544927526</c:v>
                </c:pt>
                <c:pt idx="7">
                  <c:v>1.8714109544927526</c:v>
                </c:pt>
                <c:pt idx="8">
                  <c:v>1.4989690769230766</c:v>
                </c:pt>
                <c:pt idx="9">
                  <c:v>1.7718148934065934</c:v>
                </c:pt>
                <c:pt idx="10">
                  <c:v>1.8114522395604398</c:v>
                </c:pt>
                <c:pt idx="11">
                  <c:v>1.8114522395604398</c:v>
                </c:pt>
                <c:pt idx="12">
                  <c:v>1.0111190749378882</c:v>
                </c:pt>
                <c:pt idx="13">
                  <c:v>1.3262271955960339</c:v>
                </c:pt>
                <c:pt idx="14">
                  <c:v>2.0721546994003806</c:v>
                </c:pt>
                <c:pt idx="15">
                  <c:v>2.0721546994003806</c:v>
                </c:pt>
                <c:pt idx="16">
                  <c:v>1.3213306606987565</c:v>
                </c:pt>
                <c:pt idx="17">
                  <c:v>1.6746747715742938</c:v>
                </c:pt>
                <c:pt idx="18">
                  <c:v>1.7773783645090762</c:v>
                </c:pt>
                <c:pt idx="19">
                  <c:v>1.7773783645090762</c:v>
                </c:pt>
                <c:pt idx="20">
                  <c:v>1.8818543859799244</c:v>
                </c:pt>
                <c:pt idx="21">
                  <c:v>2.1165082197537783</c:v>
                </c:pt>
                <c:pt idx="22">
                  <c:v>2.1069968816917077</c:v>
                </c:pt>
                <c:pt idx="23">
                  <c:v>2.1069968816917077</c:v>
                </c:pt>
                <c:pt idx="24">
                  <c:v>1.1337825718015635</c:v>
                </c:pt>
                <c:pt idx="25">
                  <c:v>1.3366942793040071</c:v>
                </c:pt>
                <c:pt idx="26">
                  <c:v>1.6661773168345539</c:v>
                </c:pt>
                <c:pt idx="27">
                  <c:v>1.6713908232861669</c:v>
                </c:pt>
              </c:numCache>
            </c:numRef>
          </c:val>
          <c:extLst>
            <c:ext xmlns:c16="http://schemas.microsoft.com/office/drawing/2014/chart" uri="{C3380CC4-5D6E-409C-BE32-E72D297353CC}">
              <c16:uniqueId val="{0000000A-C49F-A148-92C4-5FBA26273E96}"/>
            </c:ext>
          </c:extLst>
        </c:ser>
        <c:ser>
          <c:idx val="11"/>
          <c:order val="11"/>
          <c:tx>
            <c:strRef>
              <c:f>MI_2018!$N$1:$N$2</c:f>
              <c:strCache>
                <c:ptCount val="2"/>
                <c:pt idx="0">
                  <c:v>Insulation</c:v>
                </c:pt>
                <c:pt idx="1">
                  <c:v>kg/m2 UFA</c:v>
                </c:pt>
              </c:strCache>
            </c:strRef>
          </c:tx>
          <c:spPr>
            <a:solidFill>
              <a:schemeClr val="accent6">
                <a:lumMod val="6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MI_2018!$N$3:$N$30</c:f>
              <c:numCache>
                <c:formatCode>0.0</c:formatCode>
                <c:ptCount val="28"/>
                <c:pt idx="0">
                  <c:v>13.977078654929578</c:v>
                </c:pt>
                <c:pt idx="1">
                  <c:v>14.460271812676055</c:v>
                </c:pt>
                <c:pt idx="2">
                  <c:v>15.020736049295767</c:v>
                </c:pt>
                <c:pt idx="3">
                  <c:v>16.061437992957746</c:v>
                </c:pt>
                <c:pt idx="4">
                  <c:v>13.21922307536232</c:v>
                </c:pt>
                <c:pt idx="5">
                  <c:v>13.477310789855075</c:v>
                </c:pt>
                <c:pt idx="6">
                  <c:v>13.843262210144928</c:v>
                </c:pt>
                <c:pt idx="7">
                  <c:v>14.505308227536233</c:v>
                </c:pt>
                <c:pt idx="8">
                  <c:v>16.883190557142861</c:v>
                </c:pt>
                <c:pt idx="9">
                  <c:v>17.205952518681318</c:v>
                </c:pt>
                <c:pt idx="10">
                  <c:v>12.358508760439561</c:v>
                </c:pt>
                <c:pt idx="11">
                  <c:v>7.846258802197803</c:v>
                </c:pt>
                <c:pt idx="12">
                  <c:v>19.453144785744144</c:v>
                </c:pt>
                <c:pt idx="13">
                  <c:v>19.946601274719299</c:v>
                </c:pt>
                <c:pt idx="14">
                  <c:v>13.970434601499033</c:v>
                </c:pt>
                <c:pt idx="15">
                  <c:v>7.9364854664894775</c:v>
                </c:pt>
                <c:pt idx="16">
                  <c:v>19.886053018352843</c:v>
                </c:pt>
                <c:pt idx="17">
                  <c:v>20.854092280154088</c:v>
                </c:pt>
                <c:pt idx="18">
                  <c:v>15.58476028573817</c:v>
                </c:pt>
                <c:pt idx="19">
                  <c:v>11.48879000888078</c:v>
                </c:pt>
                <c:pt idx="20">
                  <c:v>12.388943001568325</c:v>
                </c:pt>
                <c:pt idx="21">
                  <c:v>15.638021344883747</c:v>
                </c:pt>
                <c:pt idx="22">
                  <c:v>20.188681664339768</c:v>
                </c:pt>
                <c:pt idx="23">
                  <c:v>31.16315817618996</c:v>
                </c:pt>
                <c:pt idx="24">
                  <c:v>17.710760958339442</c:v>
                </c:pt>
                <c:pt idx="25">
                  <c:v>18.162829905272481</c:v>
                </c:pt>
                <c:pt idx="26">
                  <c:v>13.721630274932796</c:v>
                </c:pt>
                <c:pt idx="27">
                  <c:v>8.9234626837304489</c:v>
                </c:pt>
              </c:numCache>
            </c:numRef>
          </c:val>
          <c:extLst>
            <c:ext xmlns:c16="http://schemas.microsoft.com/office/drawing/2014/chart" uri="{C3380CC4-5D6E-409C-BE32-E72D297353CC}">
              <c16:uniqueId val="{0000000B-C49F-A148-92C4-5FBA26273E96}"/>
            </c:ext>
          </c:extLst>
        </c:ser>
        <c:ser>
          <c:idx val="12"/>
          <c:order val="12"/>
          <c:tx>
            <c:strRef>
              <c:f>MI_2018!$O$1:$O$2</c:f>
              <c:strCache>
                <c:ptCount val="2"/>
                <c:pt idx="0">
                  <c:v>Other</c:v>
                </c:pt>
                <c:pt idx="1">
                  <c:v>kg/m2 UFA</c:v>
                </c:pt>
              </c:strCache>
            </c:strRef>
          </c:tx>
          <c:spPr>
            <a:solidFill>
              <a:schemeClr val="accent1">
                <a:lumMod val="80000"/>
                <a:lumOff val="20000"/>
              </a:schemeClr>
            </a:solidFill>
            <a:ln>
              <a:noFill/>
            </a:ln>
            <a:effectLst/>
          </c:spPr>
          <c:invertIfNegative val="0"/>
          <c:cat>
            <c:multiLvlStrRef>
              <c:f>MI_2018!$A$3:$B$30</c:f>
              <c:multiLvlStrCache>
                <c:ptCount val="28"/>
                <c:lvl>
                  <c:pt idx="0">
                    <c:v>&lt;1945</c:v>
                  </c:pt>
                  <c:pt idx="1">
                    <c:v>1945-1970</c:v>
                  </c:pt>
                  <c:pt idx="2">
                    <c:v>1970-2000</c:v>
                  </c:pt>
                  <c:pt idx="3">
                    <c:v>2000-2018</c:v>
                  </c:pt>
                  <c:pt idx="4">
                    <c:v>&lt;1945</c:v>
                  </c:pt>
                  <c:pt idx="5">
                    <c:v>1945-1970</c:v>
                  </c:pt>
                  <c:pt idx="6">
                    <c:v>1970-2000</c:v>
                  </c:pt>
                  <c:pt idx="7">
                    <c:v>2000-2018</c:v>
                  </c:pt>
                  <c:pt idx="8">
                    <c:v>&lt;1945</c:v>
                  </c:pt>
                  <c:pt idx="9">
                    <c:v>1945-1970</c:v>
                  </c:pt>
                  <c:pt idx="10">
                    <c:v>1970-2000</c:v>
                  </c:pt>
                  <c:pt idx="11">
                    <c:v>2000-2018</c:v>
                  </c:pt>
                  <c:pt idx="12">
                    <c:v>&lt;1945</c:v>
                  </c:pt>
                  <c:pt idx="13">
                    <c:v>1945-1970</c:v>
                  </c:pt>
                  <c:pt idx="14">
                    <c:v>1970-2000</c:v>
                  </c:pt>
                  <c:pt idx="15">
                    <c:v>2000-2018</c:v>
                  </c:pt>
                  <c:pt idx="16">
                    <c:v>&lt;1945</c:v>
                  </c:pt>
                  <c:pt idx="17">
                    <c:v>1945-1970</c:v>
                  </c:pt>
                  <c:pt idx="18">
                    <c:v>1970-2000</c:v>
                  </c:pt>
                  <c:pt idx="19">
                    <c:v>2000-2018</c:v>
                  </c:pt>
                  <c:pt idx="20">
                    <c:v>&lt;1945</c:v>
                  </c:pt>
                  <c:pt idx="21">
                    <c:v>1945-1970</c:v>
                  </c:pt>
                  <c:pt idx="22">
                    <c:v>1970-2000</c:v>
                  </c:pt>
                  <c:pt idx="23">
                    <c:v>2000-2018</c:v>
                  </c:pt>
                  <c:pt idx="24">
                    <c:v>&lt;1945</c:v>
                  </c:pt>
                  <c:pt idx="25">
                    <c:v>1945-1970</c:v>
                  </c:pt>
                  <c:pt idx="26">
                    <c:v>1970-2000</c:v>
                  </c:pt>
                  <c:pt idx="27">
                    <c:v>2000-2018</c:v>
                  </c:pt>
                </c:lvl>
                <c:lvl>
                  <c:pt idx="0">
                    <c:v>detached house</c:v>
                  </c:pt>
                  <c:pt idx="4">
                    <c:v>row house</c:v>
                  </c:pt>
                  <c:pt idx="8">
                    <c:v>shop</c:v>
                  </c:pt>
                  <c:pt idx="12">
                    <c:v>apartment</c:v>
                  </c:pt>
                  <c:pt idx="16">
                    <c:v>office</c:v>
                  </c:pt>
                  <c:pt idx="20">
                    <c:v>industry</c:v>
                  </c:pt>
                  <c:pt idx="24">
                    <c:v>services</c:v>
                  </c:pt>
                </c:lvl>
              </c:multiLvlStrCache>
            </c:multiLvlStrRef>
          </c:cat>
          <c:val>
            <c:numRef>
              <c:f>MI_2018!$O$3:$O$30</c:f>
              <c:numCache>
                <c:formatCode>0.0</c:formatCode>
                <c:ptCount val="28"/>
                <c:pt idx="0">
                  <c:v>1.5863528683098591</c:v>
                </c:pt>
                <c:pt idx="1">
                  <c:v>1.9293660499999998</c:v>
                </c:pt>
                <c:pt idx="2">
                  <c:v>1.9190858126760564</c:v>
                </c:pt>
                <c:pt idx="3">
                  <c:v>2.0107568838028169</c:v>
                </c:pt>
                <c:pt idx="4">
                  <c:v>1.37412562173913</c:v>
                </c:pt>
                <c:pt idx="5">
                  <c:v>1.9611908681159418</c:v>
                </c:pt>
                <c:pt idx="6">
                  <c:v>1.9569467173913042</c:v>
                </c:pt>
                <c:pt idx="7">
                  <c:v>2.0533810913043462</c:v>
                </c:pt>
                <c:pt idx="8">
                  <c:v>2.0109270461538458</c:v>
                </c:pt>
                <c:pt idx="9">
                  <c:v>3.1708806329670325</c:v>
                </c:pt>
                <c:pt idx="10">
                  <c:v>3.1320880032967029</c:v>
                </c:pt>
                <c:pt idx="11">
                  <c:v>3.1135820868131865</c:v>
                </c:pt>
                <c:pt idx="12">
                  <c:v>1.9778029835636648</c:v>
                </c:pt>
                <c:pt idx="13">
                  <c:v>4.5928272116752273</c:v>
                </c:pt>
                <c:pt idx="14">
                  <c:v>4.8034694132865514</c:v>
                </c:pt>
                <c:pt idx="15">
                  <c:v>4.725455303754778</c:v>
                </c:pt>
                <c:pt idx="16">
                  <c:v>2.1094656848136637</c:v>
                </c:pt>
                <c:pt idx="17">
                  <c:v>2.0117920873817479</c:v>
                </c:pt>
                <c:pt idx="18">
                  <c:v>2.2068093634495929</c:v>
                </c:pt>
                <c:pt idx="19">
                  <c:v>2.1294871696786899</c:v>
                </c:pt>
                <c:pt idx="20">
                  <c:v>0.39648400197510358</c:v>
                </c:pt>
                <c:pt idx="21">
                  <c:v>0.39082370886257889</c:v>
                </c:pt>
                <c:pt idx="22">
                  <c:v>0.31336916857479702</c:v>
                </c:pt>
                <c:pt idx="23">
                  <c:v>0.30647138029337567</c:v>
                </c:pt>
                <c:pt idx="24">
                  <c:v>2.0345576971713086</c:v>
                </c:pt>
                <c:pt idx="25">
                  <c:v>3.2637090449413471</c:v>
                </c:pt>
                <c:pt idx="26">
                  <c:v>3.1863841921248763</c:v>
                </c:pt>
                <c:pt idx="27">
                  <c:v>3.1264975707233607</c:v>
                </c:pt>
              </c:numCache>
            </c:numRef>
          </c:val>
          <c:extLst>
            <c:ext xmlns:c16="http://schemas.microsoft.com/office/drawing/2014/chart" uri="{C3380CC4-5D6E-409C-BE32-E72D297353CC}">
              <c16:uniqueId val="{0000000C-C49F-A148-92C4-5FBA26273E96}"/>
            </c:ext>
          </c:extLst>
        </c:ser>
        <c:dLbls>
          <c:showLegendKey val="0"/>
          <c:showVal val="0"/>
          <c:showCatName val="0"/>
          <c:showSerName val="0"/>
          <c:showPercent val="0"/>
          <c:showBubbleSize val="0"/>
        </c:dLbls>
        <c:gapWidth val="150"/>
        <c:overlap val="100"/>
        <c:axId val="1685186639"/>
        <c:axId val="1685188351"/>
      </c:barChart>
      <c:catAx>
        <c:axId val="168518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88351"/>
        <c:crosses val="autoZero"/>
        <c:auto val="1"/>
        <c:lblAlgn val="ctr"/>
        <c:lblOffset val="100"/>
        <c:noMultiLvlLbl val="0"/>
      </c:catAx>
      <c:valAx>
        <c:axId val="16851883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86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extLst>
                <c:ext xmlns:c15="http://schemas.microsoft.com/office/drawing/2012/chart" uri="{02D57815-91ED-43cb-92C2-25804820EDAC}">
                  <c15:fullRef>
                    <c15:sqref>'MI_2018-2050'!$B$1:$B$2</c15:sqref>
                  </c15:fullRef>
                  <c15:levelRef>
                    <c15:sqref>'MI_2018-2050'!$B$1</c15:sqref>
                  </c15:levelRef>
                </c:ext>
              </c:extLst>
              <c:f>'MI_2018-2050'!$B$1</c:f>
              <c:strCache>
                <c:ptCount val="2"/>
                <c:pt idx="0">
                  <c:v>Aluminum</c:v>
                </c:pt>
                <c:pt idx="1">
                  <c:v>kg/m2 UFA</c:v>
                </c:pt>
              </c:strCache>
            </c:strRef>
          </c:tx>
          <c:spPr>
            <a:solidFill>
              <a:schemeClr val="accent1"/>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'MI_2018-2050'!$B$3:$B$9</c:f>
              <c:numCache>
                <c:formatCode>0.0</c:formatCode>
                <c:ptCount val="7"/>
                <c:pt idx="0">
                  <c:v>1.1565217391304348</c:v>
                </c:pt>
                <c:pt idx="1">
                  <c:v>1.7492537313432837</c:v>
                </c:pt>
                <c:pt idx="2">
                  <c:v>1.3989130434782608</c:v>
                </c:pt>
                <c:pt idx="3">
                  <c:v>2.2051660516605165</c:v>
                </c:pt>
                <c:pt idx="4">
                  <c:v>0.16122448979591839</c:v>
                </c:pt>
                <c:pt idx="5">
                  <c:v>6.4113785557986871</c:v>
                </c:pt>
                <c:pt idx="6">
                  <c:v>1.1846153846153846</c:v>
                </c:pt>
              </c:numCache>
            </c:numRef>
          </c:val>
          <c:extLst>
            <c:ext xmlns:c16="http://schemas.microsoft.com/office/drawing/2014/chart" uri="{C3380CC4-5D6E-409C-BE32-E72D297353CC}">
              <c16:uniqueId val="{00000000-C3E7-7649-BC58-C08145F31785}"/>
            </c:ext>
          </c:extLst>
        </c:ser>
        <c:ser>
          <c:idx val="1"/>
          <c:order val="1"/>
          <c:tx>
            <c:strRef>
              <c:extLst>
                <c:ext xmlns:c15="http://schemas.microsoft.com/office/drawing/2012/chart" uri="{02D57815-91ED-43cb-92C2-25804820EDAC}">
                  <c15:fullRef>
                    <c15:sqref>'MI_2018-2050'!$C$1:$C$2</c15:sqref>
                  </c15:fullRef>
                  <c15:levelRef>
                    <c15:sqref>'MI_2018-2050'!$C$1</c15:sqref>
                  </c15:levelRef>
                </c:ext>
              </c:extLst>
              <c:f>'MI_2018-2050'!$C$1</c:f>
              <c:strCache>
                <c:ptCount val="2"/>
                <c:pt idx="0">
                  <c:v>Clay brick</c:v>
                </c:pt>
                <c:pt idx="1">
                  <c:v>kg/m2 UFA</c:v>
                </c:pt>
              </c:strCache>
            </c:strRef>
          </c:tx>
          <c:spPr>
            <a:solidFill>
              <a:schemeClr val="accent2"/>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'MI_2018-2050'!$C$3:$C$9</c:f>
              <c:numCache>
                <c:formatCode>0.0</c:formatCode>
                <c:ptCount val="7"/>
                <c:pt idx="0">
                  <c:v>143.9729468599034</c:v>
                </c:pt>
                <c:pt idx="1">
                  <c:v>174.73432835820896</c:v>
                </c:pt>
                <c:pt idx="2">
                  <c:v>189.6521739130435</c:v>
                </c:pt>
                <c:pt idx="3">
                  <c:v>20.75867158671587</c:v>
                </c:pt>
                <c:pt idx="4">
                  <c:v>3.3775510204081636</c:v>
                </c:pt>
                <c:pt idx="5">
                  <c:v>55.317286652078785</c:v>
                </c:pt>
                <c:pt idx="6">
                  <c:v>68.549450549450555</c:v>
                </c:pt>
              </c:numCache>
            </c:numRef>
          </c:val>
          <c:extLst>
            <c:ext xmlns:c16="http://schemas.microsoft.com/office/drawing/2014/chart" uri="{C3380CC4-5D6E-409C-BE32-E72D297353CC}">
              <c16:uniqueId val="{00000001-C3E7-7649-BC58-C08145F31785}"/>
            </c:ext>
          </c:extLst>
        </c:ser>
        <c:ser>
          <c:idx val="2"/>
          <c:order val="2"/>
          <c:tx>
            <c:strRef>
              <c:extLst>
                <c:ext xmlns:c15="http://schemas.microsoft.com/office/drawing/2012/chart" uri="{02D57815-91ED-43cb-92C2-25804820EDAC}">
                  <c15:fullRef>
                    <c15:sqref>'MI_2018-2050'!$D$1:$D$2</c15:sqref>
                  </c15:fullRef>
                  <c15:levelRef>
                    <c15:sqref>'MI_2018-2050'!$D$1</c15:sqref>
                  </c15:levelRef>
                </c:ext>
              </c:extLst>
              <c:f>'MI_2018-2050'!$D$1</c:f>
              <c:strCache>
                <c:ptCount val="2"/>
                <c:pt idx="0">
                  <c:v>Concrete</c:v>
                </c:pt>
                <c:pt idx="1">
                  <c:v>kg/m2 UFA</c:v>
                </c:pt>
              </c:strCache>
            </c:strRef>
          </c:tx>
          <c:spPr>
            <a:solidFill>
              <a:schemeClr val="accent3"/>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'MI_2018-2050'!$D$3:$D$9</c:f>
              <c:numCache>
                <c:formatCode>0.0</c:formatCode>
                <c:ptCount val="7"/>
                <c:pt idx="0">
                  <c:v>1365.4705314009664</c:v>
                </c:pt>
                <c:pt idx="1">
                  <c:v>982.04477611940297</c:v>
                </c:pt>
                <c:pt idx="2">
                  <c:v>894.05108695652189</c:v>
                </c:pt>
                <c:pt idx="3">
                  <c:v>884.30369003690043</c:v>
                </c:pt>
                <c:pt idx="4">
                  <c:v>663.94489795918378</c:v>
                </c:pt>
                <c:pt idx="5">
                  <c:v>1082.9540481400438</c:v>
                </c:pt>
                <c:pt idx="6">
                  <c:v>1006.7032967032966</c:v>
                </c:pt>
              </c:numCache>
            </c:numRef>
          </c:val>
          <c:extLst>
            <c:ext xmlns:c16="http://schemas.microsoft.com/office/drawing/2014/chart" uri="{C3380CC4-5D6E-409C-BE32-E72D297353CC}">
              <c16:uniqueId val="{00000002-C3E7-7649-BC58-C08145F31785}"/>
            </c:ext>
          </c:extLst>
        </c:ser>
        <c:ser>
          <c:idx val="3"/>
          <c:order val="3"/>
          <c:tx>
            <c:strRef>
              <c:extLst>
                <c:ext xmlns:c15="http://schemas.microsoft.com/office/drawing/2012/chart" uri="{02D57815-91ED-43cb-92C2-25804820EDAC}">
                  <c15:fullRef>
                    <c15:sqref>'MI_2018-2050'!$E$1:$E$2</c15:sqref>
                  </c15:fullRef>
                  <c15:levelRef>
                    <c15:sqref>'MI_2018-2050'!$E$1</c15:sqref>
                  </c15:levelRef>
                </c:ext>
              </c:extLst>
              <c:f>'MI_2018-2050'!$E$1</c:f>
              <c:strCache>
                <c:ptCount val="2"/>
                <c:pt idx="0">
                  <c:v>Bitumen</c:v>
                </c:pt>
                <c:pt idx="1">
                  <c:v>kg/m2 UFA</c:v>
                </c:pt>
              </c:strCache>
            </c:strRef>
          </c:tx>
          <c:spPr>
            <a:solidFill>
              <a:schemeClr val="accent4"/>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'MI_2018-2050'!$E$3:$E$9</c:f>
              <c:numCache>
                <c:formatCode>0.0</c:formatCode>
                <c:ptCount val="7"/>
                <c:pt idx="0">
                  <c:v>0.51400966183574892</c:v>
                </c:pt>
                <c:pt idx="1">
                  <c:v>8.3582089552238822E-2</c:v>
                </c:pt>
                <c:pt idx="2">
                  <c:v>0.2521739130434783</c:v>
                </c:pt>
                <c:pt idx="3">
                  <c:v>0.27453874538745388</c:v>
                </c:pt>
                <c:pt idx="4">
                  <c:v>0</c:v>
                </c:pt>
                <c:pt idx="5">
                  <c:v>0.32275711159737419</c:v>
                </c:pt>
                <c:pt idx="6">
                  <c:v>0</c:v>
                </c:pt>
              </c:numCache>
            </c:numRef>
          </c:val>
          <c:extLst>
            <c:ext xmlns:c16="http://schemas.microsoft.com/office/drawing/2014/chart" uri="{C3380CC4-5D6E-409C-BE32-E72D297353CC}">
              <c16:uniqueId val="{00000003-C3E7-7649-BC58-C08145F31785}"/>
            </c:ext>
          </c:extLst>
        </c:ser>
        <c:ser>
          <c:idx val="4"/>
          <c:order val="4"/>
          <c:tx>
            <c:strRef>
              <c:extLst>
                <c:ext xmlns:c15="http://schemas.microsoft.com/office/drawing/2012/chart" uri="{02D57815-91ED-43cb-92C2-25804820EDAC}">
                  <c15:fullRef>
                    <c15:sqref>'MI_2018-2050'!$F$1:$F$2</c15:sqref>
                  </c15:fullRef>
                  <c15:levelRef>
                    <c15:sqref>'MI_2018-2050'!$F$1</c15:sqref>
                  </c15:levelRef>
                </c:ext>
              </c:extLst>
              <c:f>'MI_2018-2050'!$F$1</c:f>
              <c:strCache>
                <c:ptCount val="2"/>
                <c:pt idx="0">
                  <c:v>Electronics</c:v>
                </c:pt>
                <c:pt idx="1">
                  <c:v>kg/m2 UFA</c:v>
                </c:pt>
              </c:strCache>
            </c:strRef>
          </c:tx>
          <c:spPr>
            <a:solidFill>
              <a:schemeClr val="accent5"/>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'MI_2018-2050'!$F$3:$F$9</c:f>
              <c:numCache>
                <c:formatCode>0.0</c:formatCode>
                <c:ptCount val="7"/>
                <c:pt idx="0">
                  <c:v>0.89855072463768126</c:v>
                </c:pt>
                <c:pt idx="1">
                  <c:v>0.62686567164179097</c:v>
                </c:pt>
                <c:pt idx="2">
                  <c:v>1.2880434782608696</c:v>
                </c:pt>
                <c:pt idx="3">
                  <c:v>2.0767527675276751</c:v>
                </c:pt>
                <c:pt idx="4">
                  <c:v>5.1020408163265307E-2</c:v>
                </c:pt>
                <c:pt idx="5">
                  <c:v>7.1115973741794319E-2</c:v>
                </c:pt>
                <c:pt idx="6">
                  <c:v>3.2967032967032975E-2</c:v>
                </c:pt>
              </c:numCache>
            </c:numRef>
          </c:val>
          <c:extLst>
            <c:ext xmlns:c16="http://schemas.microsoft.com/office/drawing/2014/chart" uri="{C3380CC4-5D6E-409C-BE32-E72D297353CC}">
              <c16:uniqueId val="{00000004-C3E7-7649-BC58-C08145F31785}"/>
            </c:ext>
          </c:extLst>
        </c:ser>
        <c:ser>
          <c:idx val="5"/>
          <c:order val="5"/>
          <c:tx>
            <c:strRef>
              <c:extLst>
                <c:ext xmlns:c15="http://schemas.microsoft.com/office/drawing/2012/chart" uri="{02D57815-91ED-43cb-92C2-25804820EDAC}">
                  <c15:fullRef>
                    <c15:sqref>'MI_2018-2050'!$G$1:$G$2</c15:sqref>
                  </c15:fullRef>
                  <c15:levelRef>
                    <c15:sqref>'MI_2018-2050'!$G$1</c15:sqref>
                  </c15:levelRef>
                </c:ext>
              </c:extLst>
              <c:f>'MI_2018-2050'!$G$1</c:f>
              <c:strCache>
                <c:ptCount val="2"/>
                <c:pt idx="0">
                  <c:v>Gypsum</c:v>
                </c:pt>
                <c:pt idx="1">
                  <c:v>kg/m2 UFA</c:v>
                </c:pt>
              </c:strCache>
            </c:strRef>
          </c:tx>
          <c:spPr>
            <a:solidFill>
              <a:schemeClr val="accent6"/>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'MI_2018-2050'!$G$3:$G$9</c:f>
              <c:numCache>
                <c:formatCode>0.0</c:formatCode>
                <c:ptCount val="7"/>
                <c:pt idx="0">
                  <c:v>20.34299516908213</c:v>
                </c:pt>
                <c:pt idx="1">
                  <c:v>26.71641791044776</c:v>
                </c:pt>
                <c:pt idx="2">
                  <c:v>32.126086956521739</c:v>
                </c:pt>
                <c:pt idx="3">
                  <c:v>9.150553505535056</c:v>
                </c:pt>
                <c:pt idx="4">
                  <c:v>0.6612244897959183</c:v>
                </c:pt>
                <c:pt idx="5">
                  <c:v>31.415754923413566</c:v>
                </c:pt>
                <c:pt idx="6">
                  <c:v>21.32087912087912</c:v>
                </c:pt>
              </c:numCache>
            </c:numRef>
          </c:val>
          <c:extLst>
            <c:ext xmlns:c16="http://schemas.microsoft.com/office/drawing/2014/chart" uri="{C3380CC4-5D6E-409C-BE32-E72D297353CC}">
              <c16:uniqueId val="{00000005-C3E7-7649-BC58-C08145F31785}"/>
            </c:ext>
          </c:extLst>
        </c:ser>
        <c:ser>
          <c:idx val="6"/>
          <c:order val="6"/>
          <c:tx>
            <c:strRef>
              <c:extLst>
                <c:ext xmlns:c15="http://schemas.microsoft.com/office/drawing/2012/chart" uri="{02D57815-91ED-43cb-92C2-25804820EDAC}">
                  <c15:fullRef>
                    <c15:sqref>'MI_2018-2050'!$H$1:$H$2</c15:sqref>
                  </c15:fullRef>
                  <c15:levelRef>
                    <c15:sqref>'MI_2018-2050'!$H$1</c15:sqref>
                  </c15:levelRef>
                </c:ext>
              </c:extLst>
              <c:f>'MI_2018-2050'!$H$1</c:f>
              <c:strCache>
                <c:ptCount val="2"/>
                <c:pt idx="0">
                  <c:v>Glass</c:v>
                </c:pt>
                <c:pt idx="1">
                  <c:v>kg/m2 UFA</c:v>
                </c:pt>
              </c:strCache>
            </c:strRef>
          </c:tx>
          <c:spPr>
            <a:solidFill>
              <a:schemeClr val="accent1">
                <a:lumMod val="6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'MI_2018-2050'!$H$3:$H$9</c:f>
              <c:numCache>
                <c:formatCode>0.0</c:formatCode>
                <c:ptCount val="7"/>
                <c:pt idx="0">
                  <c:v>7.5458937198067648</c:v>
                </c:pt>
                <c:pt idx="1">
                  <c:v>11.134328358208954</c:v>
                </c:pt>
                <c:pt idx="2">
                  <c:v>5.8913043478260878</c:v>
                </c:pt>
                <c:pt idx="3">
                  <c:v>10.58856088560886</c:v>
                </c:pt>
                <c:pt idx="4">
                  <c:v>0.1326530612244898</c:v>
                </c:pt>
                <c:pt idx="5">
                  <c:v>4.6608315098468269</c:v>
                </c:pt>
                <c:pt idx="6">
                  <c:v>17.296703296703299</c:v>
                </c:pt>
              </c:numCache>
            </c:numRef>
          </c:val>
          <c:extLst>
            <c:ext xmlns:c16="http://schemas.microsoft.com/office/drawing/2014/chart" uri="{C3380CC4-5D6E-409C-BE32-E72D297353CC}">
              <c16:uniqueId val="{00000006-C3E7-7649-BC58-C08145F31785}"/>
            </c:ext>
          </c:extLst>
        </c:ser>
        <c:ser>
          <c:idx val="7"/>
          <c:order val="7"/>
          <c:tx>
            <c:strRef>
              <c:extLst>
                <c:ext xmlns:c15="http://schemas.microsoft.com/office/drawing/2012/chart" uri="{02D57815-91ED-43cb-92C2-25804820EDAC}">
                  <c15:fullRef>
                    <c15:sqref>'MI_2018-2050'!$I$1:$I$2</c15:sqref>
                  </c15:fullRef>
                  <c15:levelRef>
                    <c15:sqref>'MI_2018-2050'!$I$1</c15:sqref>
                  </c15:levelRef>
                </c:ext>
              </c:extLst>
              <c:f>'MI_2018-2050'!$I$1</c:f>
              <c:strCache>
                <c:ptCount val="2"/>
                <c:pt idx="0">
                  <c:v>Wood</c:v>
                </c:pt>
                <c:pt idx="1">
                  <c:v>kg/m2 UFA</c:v>
                </c:pt>
              </c:strCache>
            </c:strRef>
          </c:tx>
          <c:spPr>
            <a:solidFill>
              <a:schemeClr val="accent2">
                <a:lumMod val="6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'MI_2018-2050'!$I$3:$I$9</c:f>
              <c:numCache>
                <c:formatCode>0.0</c:formatCode>
                <c:ptCount val="7"/>
                <c:pt idx="0">
                  <c:v>71.69758454106281</c:v>
                </c:pt>
                <c:pt idx="1">
                  <c:v>81.029850746268664</c:v>
                </c:pt>
                <c:pt idx="2">
                  <c:v>41.842391304347828</c:v>
                </c:pt>
                <c:pt idx="3">
                  <c:v>32.629151291512912</c:v>
                </c:pt>
                <c:pt idx="4">
                  <c:v>28.320408163265306</c:v>
                </c:pt>
                <c:pt idx="5">
                  <c:v>29.663019693654263</c:v>
                </c:pt>
                <c:pt idx="6">
                  <c:v>37.008791208791209</c:v>
                </c:pt>
              </c:numCache>
            </c:numRef>
          </c:val>
          <c:extLst>
            <c:ext xmlns:c16="http://schemas.microsoft.com/office/drawing/2014/chart" uri="{C3380CC4-5D6E-409C-BE32-E72D297353CC}">
              <c16:uniqueId val="{00000007-C3E7-7649-BC58-C08145F31785}"/>
            </c:ext>
          </c:extLst>
        </c:ser>
        <c:ser>
          <c:idx val="8"/>
          <c:order val="8"/>
          <c:tx>
            <c:strRef>
              <c:extLst>
                <c:ext xmlns:c15="http://schemas.microsoft.com/office/drawing/2012/chart" uri="{02D57815-91ED-43cb-92C2-25804820EDAC}">
                  <c15:fullRef>
                    <c15:sqref>'MI_2018-2050'!$J$1:$J$2</c15:sqref>
                  </c15:fullRef>
                  <c15:levelRef>
                    <c15:sqref>'MI_2018-2050'!$J$1</c15:sqref>
                  </c15:levelRef>
                </c:ext>
              </c:extLst>
              <c:f>'MI_2018-2050'!$J$1</c:f>
              <c:strCache>
                <c:ptCount val="2"/>
                <c:pt idx="0">
                  <c:v>Insulation</c:v>
                </c:pt>
                <c:pt idx="1">
                  <c:v>kg/m2 UFA</c:v>
                </c:pt>
              </c:strCache>
            </c:strRef>
          </c:tx>
          <c:spPr>
            <a:solidFill>
              <a:schemeClr val="accent3">
                <a:lumMod val="6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'MI_2018-2050'!$J$3:$J$9</c:f>
              <c:numCache>
                <c:formatCode>0.0</c:formatCode>
                <c:ptCount val="7"/>
                <c:pt idx="0">
                  <c:v>24.311111111111117</c:v>
                </c:pt>
                <c:pt idx="1">
                  <c:v>31.671641791044777</c:v>
                </c:pt>
                <c:pt idx="2">
                  <c:v>6.7739130434782613</c:v>
                </c:pt>
                <c:pt idx="3">
                  <c:v>6.4638376383763845</c:v>
                </c:pt>
                <c:pt idx="4">
                  <c:v>53.34693877551021</c:v>
                </c:pt>
                <c:pt idx="5">
                  <c:v>11.87199124726477</c:v>
                </c:pt>
                <c:pt idx="6">
                  <c:v>9.5802197802197799</c:v>
                </c:pt>
              </c:numCache>
            </c:numRef>
          </c:val>
          <c:extLst>
            <c:ext xmlns:c16="http://schemas.microsoft.com/office/drawing/2014/chart" uri="{C3380CC4-5D6E-409C-BE32-E72D297353CC}">
              <c16:uniqueId val="{00000008-C3E7-7649-BC58-C08145F31785}"/>
            </c:ext>
          </c:extLst>
        </c:ser>
        <c:ser>
          <c:idx val="9"/>
          <c:order val="9"/>
          <c:tx>
            <c:strRef>
              <c:extLst>
                <c:ext xmlns:c15="http://schemas.microsoft.com/office/drawing/2012/chart" uri="{02D57815-91ED-43cb-92C2-25804820EDAC}">
                  <c15:fullRef>
                    <c15:sqref>'MI_2018-2050'!$K$1:$K$2</c15:sqref>
                  </c15:fullRef>
                  <c15:levelRef>
                    <c15:sqref>'MI_2018-2050'!$K$1</c15:sqref>
                  </c15:levelRef>
                </c:ext>
              </c:extLst>
              <c:f>'MI_2018-2050'!$K$1</c:f>
              <c:strCache>
                <c:ptCount val="2"/>
                <c:pt idx="0">
                  <c:v>Sand-lime brick</c:v>
                </c:pt>
                <c:pt idx="1">
                  <c:v>kg/m2 UFA</c:v>
                </c:pt>
              </c:strCache>
            </c:strRef>
          </c:tx>
          <c:spPr>
            <a:solidFill>
              <a:schemeClr val="accent4">
                <a:lumMod val="6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'MI_2018-2050'!$K$3:$K$9</c:f>
              <c:numCache>
                <c:formatCode>0.0</c:formatCode>
                <c:ptCount val="7"/>
                <c:pt idx="0">
                  <c:v>0</c:v>
                </c:pt>
                <c:pt idx="1">
                  <c:v>0</c:v>
                </c:pt>
                <c:pt idx="2">
                  <c:v>0</c:v>
                </c:pt>
                <c:pt idx="3">
                  <c:v>0</c:v>
                </c:pt>
                <c:pt idx="4">
                  <c:v>13.044897959183675</c:v>
                </c:pt>
                <c:pt idx="5">
                  <c:v>222.75711159737418</c:v>
                </c:pt>
                <c:pt idx="6">
                  <c:v>271.14725274725276</c:v>
                </c:pt>
              </c:numCache>
            </c:numRef>
          </c:val>
          <c:extLst>
            <c:ext xmlns:c16="http://schemas.microsoft.com/office/drawing/2014/chart" uri="{C3380CC4-5D6E-409C-BE32-E72D297353CC}">
              <c16:uniqueId val="{00000009-C3E7-7649-BC58-C08145F31785}"/>
            </c:ext>
          </c:extLst>
        </c:ser>
        <c:ser>
          <c:idx val="10"/>
          <c:order val="10"/>
          <c:tx>
            <c:strRef>
              <c:extLst>
                <c:ext xmlns:c15="http://schemas.microsoft.com/office/drawing/2012/chart" uri="{02D57815-91ED-43cb-92C2-25804820EDAC}">
                  <c15:fullRef>
                    <c15:sqref>'MI_2018-2050'!$L$1:$L$2</c15:sqref>
                  </c15:fullRef>
                  <c15:levelRef>
                    <c15:sqref>'MI_2018-2050'!$L$1</c15:sqref>
                  </c15:levelRef>
                </c:ext>
              </c:extLst>
              <c:f>'MI_2018-2050'!$L$1</c:f>
              <c:strCache>
                <c:ptCount val="2"/>
                <c:pt idx="0">
                  <c:v>Ceramics</c:v>
                </c:pt>
                <c:pt idx="1">
                  <c:v>kg/m2 UFA</c:v>
                </c:pt>
              </c:strCache>
            </c:strRef>
          </c:tx>
          <c:spPr>
            <a:solidFill>
              <a:schemeClr val="accent5">
                <a:lumMod val="6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'MI_2018-2050'!$L$3:$L$9</c:f>
              <c:numCache>
                <c:formatCode>0.0</c:formatCode>
                <c:ptCount val="7"/>
                <c:pt idx="0">
                  <c:v>6.5748792270531409</c:v>
                </c:pt>
                <c:pt idx="1">
                  <c:v>5.3582089552238799</c:v>
                </c:pt>
                <c:pt idx="2">
                  <c:v>12.581521739130434</c:v>
                </c:pt>
                <c:pt idx="3">
                  <c:v>0.83579335793357945</c:v>
                </c:pt>
                <c:pt idx="4">
                  <c:v>0.15306122448979592</c:v>
                </c:pt>
                <c:pt idx="5">
                  <c:v>5.9956236323851204</c:v>
                </c:pt>
                <c:pt idx="6">
                  <c:v>5.2527472527472527</c:v>
                </c:pt>
              </c:numCache>
            </c:numRef>
          </c:val>
          <c:extLst>
            <c:ext xmlns:c16="http://schemas.microsoft.com/office/drawing/2014/chart" uri="{C3380CC4-5D6E-409C-BE32-E72D297353CC}">
              <c16:uniqueId val="{0000000A-C3E7-7649-BC58-C08145F31785}"/>
            </c:ext>
          </c:extLst>
        </c:ser>
        <c:ser>
          <c:idx val="11"/>
          <c:order val="11"/>
          <c:tx>
            <c:strRef>
              <c:extLst>
                <c:ext xmlns:c15="http://schemas.microsoft.com/office/drawing/2012/chart" uri="{02D57815-91ED-43cb-92C2-25804820EDAC}">
                  <c15:fullRef>
                    <c15:sqref>'MI_2018-2050'!$M$1:$M$2</c15:sqref>
                  </c15:fullRef>
                  <c15:levelRef>
                    <c15:sqref>'MI_2018-2050'!$M$1</c15:sqref>
                  </c15:levelRef>
                </c:ext>
              </c:extLst>
              <c:f>'MI_2018-2050'!$M$1</c:f>
              <c:strCache>
                <c:ptCount val="2"/>
                <c:pt idx="0">
                  <c:v>Copper</c:v>
                </c:pt>
                <c:pt idx="1">
                  <c:v>kg/m2 UFA</c:v>
                </c:pt>
              </c:strCache>
            </c:strRef>
          </c:tx>
          <c:spPr>
            <a:solidFill>
              <a:schemeClr val="accent6">
                <a:lumMod val="6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'MI_2018-2050'!$M$3:$M$9</c:f>
              <c:numCache>
                <c:formatCode>0.0</c:formatCode>
                <c:ptCount val="7"/>
                <c:pt idx="0">
                  <c:v>0.58454106280193241</c:v>
                </c:pt>
                <c:pt idx="1">
                  <c:v>0.47761194029850745</c:v>
                </c:pt>
                <c:pt idx="2">
                  <c:v>0.375</c:v>
                </c:pt>
                <c:pt idx="3">
                  <c:v>8.856088560885611E-2</c:v>
                </c:pt>
                <c:pt idx="4">
                  <c:v>0.23469387755102045</c:v>
                </c:pt>
                <c:pt idx="5">
                  <c:v>0.31728665207877471</c:v>
                </c:pt>
                <c:pt idx="6">
                  <c:v>0.20879120879120883</c:v>
                </c:pt>
              </c:numCache>
            </c:numRef>
          </c:val>
          <c:extLst>
            <c:ext xmlns:c16="http://schemas.microsoft.com/office/drawing/2014/chart" uri="{C3380CC4-5D6E-409C-BE32-E72D297353CC}">
              <c16:uniqueId val="{0000000B-C3E7-7649-BC58-C08145F31785}"/>
            </c:ext>
          </c:extLst>
        </c:ser>
        <c:ser>
          <c:idx val="12"/>
          <c:order val="12"/>
          <c:tx>
            <c:strRef>
              <c:extLst>
                <c:ext xmlns:c15="http://schemas.microsoft.com/office/drawing/2012/chart" uri="{02D57815-91ED-43cb-92C2-25804820EDAC}">
                  <c15:fullRef>
                    <c15:sqref>'MI_2018-2050'!$N$1:$N$2</c15:sqref>
                  </c15:fullRef>
                  <c15:levelRef>
                    <c15:sqref>'MI_2018-2050'!$N$1</c15:sqref>
                  </c15:levelRef>
                </c:ext>
              </c:extLst>
              <c:f>'MI_2018-2050'!$N$1</c:f>
              <c:strCache>
                <c:ptCount val="2"/>
                <c:pt idx="0">
                  <c:v>Plastics</c:v>
                </c:pt>
                <c:pt idx="1">
                  <c:v>kg/m2 UFA</c:v>
                </c:pt>
              </c:strCache>
            </c:strRef>
          </c:tx>
          <c:spPr>
            <a:solidFill>
              <a:schemeClr val="accent1">
                <a:lumMod val="80000"/>
                <a:lumOff val="2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'MI_2018-2050'!$N$3:$N$9</c:f>
              <c:numCache>
                <c:formatCode>0.0</c:formatCode>
                <c:ptCount val="7"/>
                <c:pt idx="0">
                  <c:v>2.8743961352657008</c:v>
                </c:pt>
                <c:pt idx="1">
                  <c:v>2.3731343283582089</c:v>
                </c:pt>
                <c:pt idx="2">
                  <c:v>2.5489130434782608</c:v>
                </c:pt>
                <c:pt idx="3">
                  <c:v>2.0512915129151295</c:v>
                </c:pt>
                <c:pt idx="4">
                  <c:v>1.1326530612244898</c:v>
                </c:pt>
                <c:pt idx="5">
                  <c:v>1.3205689277899344</c:v>
                </c:pt>
                <c:pt idx="6">
                  <c:v>1.8021978021978022</c:v>
                </c:pt>
              </c:numCache>
            </c:numRef>
          </c:val>
          <c:extLst>
            <c:ext xmlns:c16="http://schemas.microsoft.com/office/drawing/2014/chart" uri="{C3380CC4-5D6E-409C-BE32-E72D297353CC}">
              <c16:uniqueId val="{0000000C-C3E7-7649-BC58-C08145F31785}"/>
            </c:ext>
          </c:extLst>
        </c:ser>
        <c:ser>
          <c:idx val="13"/>
          <c:order val="13"/>
          <c:tx>
            <c:strRef>
              <c:extLst>
                <c:ext xmlns:c15="http://schemas.microsoft.com/office/drawing/2012/chart" uri="{02D57815-91ED-43cb-92C2-25804820EDAC}">
                  <c15:fullRef>
                    <c15:sqref>'MI_2018-2050'!$O$1:$O$2</c15:sqref>
                  </c15:fullRef>
                  <c15:levelRef>
                    <c15:sqref>'MI_2018-2050'!$O$1</c15:sqref>
                  </c15:levelRef>
                </c:ext>
              </c:extLst>
              <c:f>'MI_2018-2050'!$O$1</c:f>
              <c:strCache>
                <c:ptCount val="2"/>
                <c:pt idx="0">
                  <c:v>Adhesives &amp; paint</c:v>
                </c:pt>
                <c:pt idx="1">
                  <c:v>kg/m2 UFA</c:v>
                </c:pt>
              </c:strCache>
            </c:strRef>
          </c:tx>
          <c:spPr>
            <a:solidFill>
              <a:schemeClr val="accent2">
                <a:lumMod val="80000"/>
                <a:lumOff val="2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'MI_2018-2050'!$O$3:$O$9</c:f>
              <c:numCache>
                <c:formatCode>0.0</c:formatCode>
                <c:ptCount val="7"/>
                <c:pt idx="0">
                  <c:v>1.4251207729468602</c:v>
                </c:pt>
                <c:pt idx="1">
                  <c:v>1.5044776119402985</c:v>
                </c:pt>
                <c:pt idx="2">
                  <c:v>1.1652173913043478</c:v>
                </c:pt>
                <c:pt idx="3">
                  <c:v>0.62324723247232472</c:v>
                </c:pt>
                <c:pt idx="4">
                  <c:v>0.14285714285714288</c:v>
                </c:pt>
                <c:pt idx="5">
                  <c:v>2.7275711159737419</c:v>
                </c:pt>
                <c:pt idx="6">
                  <c:v>2.5318681318681318</c:v>
                </c:pt>
              </c:numCache>
            </c:numRef>
          </c:val>
          <c:extLst>
            <c:ext xmlns:c16="http://schemas.microsoft.com/office/drawing/2014/chart" uri="{C3380CC4-5D6E-409C-BE32-E72D297353CC}">
              <c16:uniqueId val="{0000000D-C3E7-7649-BC58-C08145F31785}"/>
            </c:ext>
          </c:extLst>
        </c:ser>
        <c:ser>
          <c:idx val="14"/>
          <c:order val="14"/>
          <c:tx>
            <c:strRef>
              <c:extLst>
                <c:ext xmlns:c15="http://schemas.microsoft.com/office/drawing/2012/chart" uri="{02D57815-91ED-43cb-92C2-25804820EDAC}">
                  <c15:fullRef>
                    <c15:sqref>'MI_2018-2050'!$P$1:$P$2</c15:sqref>
                  </c15:fullRef>
                  <c15:levelRef>
                    <c15:sqref>'MI_2018-2050'!$P$1</c15:sqref>
                  </c15:levelRef>
                </c:ext>
              </c:extLst>
              <c:f>'MI_2018-2050'!$P$1</c:f>
              <c:strCache>
                <c:ptCount val="2"/>
                <c:pt idx="0">
                  <c:v>Mortal</c:v>
                </c:pt>
                <c:pt idx="1">
                  <c:v>kg/m2 UFA</c:v>
                </c:pt>
              </c:strCache>
            </c:strRef>
          </c:tx>
          <c:spPr>
            <a:solidFill>
              <a:schemeClr val="accent3">
                <a:lumMod val="80000"/>
                <a:lumOff val="2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'MI_2018-2050'!$P$3:$P$9</c:f>
              <c:numCache>
                <c:formatCode>0.0</c:formatCode>
                <c:ptCount val="7"/>
                <c:pt idx="0">
                  <c:v>51.301449275362316</c:v>
                </c:pt>
                <c:pt idx="1">
                  <c:v>66.677611940298505</c:v>
                </c:pt>
                <c:pt idx="2">
                  <c:v>50.107608695652175</c:v>
                </c:pt>
                <c:pt idx="3">
                  <c:v>9.7760147601476017</c:v>
                </c:pt>
                <c:pt idx="4">
                  <c:v>1.4183673469387756</c:v>
                </c:pt>
                <c:pt idx="5">
                  <c:v>23.741794310722103</c:v>
                </c:pt>
                <c:pt idx="6">
                  <c:v>30.505494505494507</c:v>
                </c:pt>
              </c:numCache>
            </c:numRef>
          </c:val>
          <c:extLst>
            <c:ext xmlns:c16="http://schemas.microsoft.com/office/drawing/2014/chart" uri="{C3380CC4-5D6E-409C-BE32-E72D297353CC}">
              <c16:uniqueId val="{0000000E-C3E7-7649-BC58-C08145F31785}"/>
            </c:ext>
          </c:extLst>
        </c:ser>
        <c:ser>
          <c:idx val="15"/>
          <c:order val="15"/>
          <c:tx>
            <c:strRef>
              <c:extLst>
                <c:ext xmlns:c15="http://schemas.microsoft.com/office/drawing/2012/chart" uri="{02D57815-91ED-43cb-92C2-25804820EDAC}">
                  <c15:fullRef>
                    <c15:sqref>'MI_2018-2050'!$Q$1:$Q$2</c15:sqref>
                  </c15:fullRef>
                  <c15:levelRef>
                    <c15:sqref>'MI_2018-2050'!$Q$1</c15:sqref>
                  </c15:levelRef>
                </c:ext>
              </c:extLst>
              <c:f>'MI_2018-2050'!$Q$1</c:f>
              <c:strCache>
                <c:ptCount val="2"/>
                <c:pt idx="0">
                  <c:v>Other biobased materials</c:v>
                </c:pt>
                <c:pt idx="1">
                  <c:v>kg/m2 UFA</c:v>
                </c:pt>
              </c:strCache>
            </c:strRef>
          </c:tx>
          <c:spPr>
            <a:solidFill>
              <a:schemeClr val="accent4">
                <a:lumMod val="80000"/>
                <a:lumOff val="2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'MI_2018-2050'!$Q$3:$Q$9</c:f>
              <c:numCache>
                <c:formatCode>0.0</c:formatCode>
                <c:ptCount val="7"/>
                <c:pt idx="0">
                  <c:v>0.57584541062801931</c:v>
                </c:pt>
                <c:pt idx="1">
                  <c:v>0.51044776119402979</c:v>
                </c:pt>
                <c:pt idx="2">
                  <c:v>0.10978260869565218</c:v>
                </c:pt>
                <c:pt idx="3">
                  <c:v>0.11845018450184504</c:v>
                </c:pt>
                <c:pt idx="4">
                  <c:v>0</c:v>
                </c:pt>
                <c:pt idx="5">
                  <c:v>0</c:v>
                </c:pt>
                <c:pt idx="6">
                  <c:v>1.2307692307692308</c:v>
                </c:pt>
              </c:numCache>
            </c:numRef>
          </c:val>
          <c:extLst>
            <c:ext xmlns:c16="http://schemas.microsoft.com/office/drawing/2014/chart" uri="{C3380CC4-5D6E-409C-BE32-E72D297353CC}">
              <c16:uniqueId val="{0000000F-C3E7-7649-BC58-C08145F31785}"/>
            </c:ext>
          </c:extLst>
        </c:ser>
        <c:ser>
          <c:idx val="16"/>
          <c:order val="16"/>
          <c:tx>
            <c:strRef>
              <c:extLst>
                <c:ext xmlns:c15="http://schemas.microsoft.com/office/drawing/2012/chart" uri="{02D57815-91ED-43cb-92C2-25804820EDAC}">
                  <c15:fullRef>
                    <c15:sqref>'MI_2018-2050'!$R$1:$R$2</c15:sqref>
                  </c15:fullRef>
                  <c15:levelRef>
                    <c15:sqref>'MI_2018-2050'!$R$1</c15:sqref>
                  </c15:levelRef>
                </c:ext>
              </c:extLst>
              <c:f>'MI_2018-2050'!$R$1</c:f>
              <c:strCache>
                <c:ptCount val="2"/>
                <c:pt idx="0">
                  <c:v>Other metals</c:v>
                </c:pt>
                <c:pt idx="1">
                  <c:v>kg/m2 UFA</c:v>
                </c:pt>
              </c:strCache>
            </c:strRef>
          </c:tx>
          <c:spPr>
            <a:solidFill>
              <a:schemeClr val="accent5">
                <a:lumMod val="80000"/>
                <a:lumOff val="2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'MI_2018-2050'!$R$3:$R$9</c:f>
              <c:numCache>
                <c:formatCode>0.0</c:formatCode>
                <c:ptCount val="7"/>
                <c:pt idx="0">
                  <c:v>0.1169082125603865</c:v>
                </c:pt>
                <c:pt idx="1">
                  <c:v>0.11940298507462686</c:v>
                </c:pt>
                <c:pt idx="2">
                  <c:v>0.11956521739130434</c:v>
                </c:pt>
                <c:pt idx="3">
                  <c:v>9.1881918819188196E-2</c:v>
                </c:pt>
                <c:pt idx="4">
                  <c:v>0.11224489795918369</c:v>
                </c:pt>
                <c:pt idx="5">
                  <c:v>0.74507658643326047</c:v>
                </c:pt>
                <c:pt idx="6">
                  <c:v>0.48791208791208796</c:v>
                </c:pt>
              </c:numCache>
            </c:numRef>
          </c:val>
          <c:extLst>
            <c:ext xmlns:c16="http://schemas.microsoft.com/office/drawing/2014/chart" uri="{C3380CC4-5D6E-409C-BE32-E72D297353CC}">
              <c16:uniqueId val="{00000010-C3E7-7649-BC58-C08145F31785}"/>
            </c:ext>
          </c:extLst>
        </c:ser>
        <c:ser>
          <c:idx val="17"/>
          <c:order val="17"/>
          <c:tx>
            <c:strRef>
              <c:extLst>
                <c:ext xmlns:c15="http://schemas.microsoft.com/office/drawing/2012/chart" uri="{02D57815-91ED-43cb-92C2-25804820EDAC}">
                  <c15:fullRef>
                    <c15:sqref>'MI_2018-2050'!$S$1:$S$2</c15:sqref>
                  </c15:fullRef>
                  <c15:levelRef>
                    <c15:sqref>'MI_2018-2050'!$S$1</c15:sqref>
                  </c15:levelRef>
                </c:ext>
              </c:extLst>
              <c:f>'MI_2018-2050'!$S$1</c:f>
              <c:strCache>
                <c:ptCount val="2"/>
                <c:pt idx="0">
                  <c:v>Paper</c:v>
                </c:pt>
                <c:pt idx="1">
                  <c:v>kg/m2 UFA</c:v>
                </c:pt>
              </c:strCache>
            </c:strRef>
          </c:tx>
          <c:spPr>
            <a:solidFill>
              <a:schemeClr val="accent6">
                <a:lumMod val="80000"/>
                <a:lumOff val="2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'MI_2018-2050'!$S$3:$S$9</c:f>
              <c:numCache>
                <c:formatCode>0.0</c:formatCode>
                <c:ptCount val="7"/>
                <c:pt idx="0">
                  <c:v>0.58454106280193241</c:v>
                </c:pt>
                <c:pt idx="1">
                  <c:v>1.3731343283582089</c:v>
                </c:pt>
                <c:pt idx="2">
                  <c:v>0.27173913043478259</c:v>
                </c:pt>
                <c:pt idx="3">
                  <c:v>7.1955719557195569E-2</c:v>
                </c:pt>
                <c:pt idx="4">
                  <c:v>0</c:v>
                </c:pt>
                <c:pt idx="5">
                  <c:v>8.7527352297592995E-2</c:v>
                </c:pt>
                <c:pt idx="6">
                  <c:v>0.4285714285714286</c:v>
                </c:pt>
              </c:numCache>
            </c:numRef>
          </c:val>
          <c:extLst>
            <c:ext xmlns:c16="http://schemas.microsoft.com/office/drawing/2014/chart" uri="{C3380CC4-5D6E-409C-BE32-E72D297353CC}">
              <c16:uniqueId val="{00000011-C3E7-7649-BC58-C08145F31785}"/>
            </c:ext>
          </c:extLst>
        </c:ser>
        <c:ser>
          <c:idx val="18"/>
          <c:order val="18"/>
          <c:tx>
            <c:strRef>
              <c:extLst>
                <c:ext xmlns:c15="http://schemas.microsoft.com/office/drawing/2012/chart" uri="{02D57815-91ED-43cb-92C2-25804820EDAC}">
                  <c15:fullRef>
                    <c15:sqref>'MI_2018-2050'!$T$1:$T$2</c15:sqref>
                  </c15:fullRef>
                  <c15:levelRef>
                    <c15:sqref>'MI_2018-2050'!$T$1</c15:sqref>
                  </c15:levelRef>
                </c:ext>
              </c:extLst>
              <c:f>'MI_2018-2050'!$T$1</c:f>
              <c:strCache>
                <c:ptCount val="2"/>
                <c:pt idx="0">
                  <c:v>Iron &amp; steel</c:v>
                </c:pt>
                <c:pt idx="1">
                  <c:v>kg/m2 UFA</c:v>
                </c:pt>
              </c:strCache>
            </c:strRef>
          </c:tx>
          <c:spPr>
            <a:solidFill>
              <a:schemeClr val="accent1">
                <a:lumMod val="8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'MI_2018-2050'!$T$3:$T$9</c:f>
              <c:numCache>
                <c:formatCode>0.0</c:formatCode>
                <c:ptCount val="7"/>
                <c:pt idx="0">
                  <c:v>26.750724637681159</c:v>
                </c:pt>
                <c:pt idx="1">
                  <c:v>22.758208955223882</c:v>
                </c:pt>
                <c:pt idx="2">
                  <c:v>18.52391304347826</c:v>
                </c:pt>
                <c:pt idx="3">
                  <c:v>25.561992619926201</c:v>
                </c:pt>
                <c:pt idx="4">
                  <c:v>67.002040816326527</c:v>
                </c:pt>
                <c:pt idx="5">
                  <c:v>70.103938730853386</c:v>
                </c:pt>
                <c:pt idx="6">
                  <c:v>41.303296703296709</c:v>
                </c:pt>
              </c:numCache>
            </c:numRef>
          </c:val>
          <c:extLst>
            <c:ext xmlns:c16="http://schemas.microsoft.com/office/drawing/2014/chart" uri="{C3380CC4-5D6E-409C-BE32-E72D297353CC}">
              <c16:uniqueId val="{00000012-C3E7-7649-BC58-C08145F31785}"/>
            </c:ext>
          </c:extLst>
        </c:ser>
        <c:ser>
          <c:idx val="19"/>
          <c:order val="19"/>
          <c:tx>
            <c:strRef>
              <c:extLst>
                <c:ext xmlns:c15="http://schemas.microsoft.com/office/drawing/2012/chart" uri="{02D57815-91ED-43cb-92C2-25804820EDAC}">
                  <c15:fullRef>
                    <c15:sqref>'MI_2018-2050'!$U$1:$U$2</c15:sqref>
                  </c15:fullRef>
                  <c15:levelRef>
                    <c15:sqref>'MI_2018-2050'!$U$1</c15:sqref>
                  </c15:levelRef>
                </c:ext>
              </c:extLst>
              <c:f>'MI_2018-2050'!$U$1</c:f>
              <c:strCache>
                <c:ptCount val="2"/>
                <c:pt idx="0">
                  <c:v>Stone</c:v>
                </c:pt>
                <c:pt idx="1">
                  <c:v>kg/m2 UFA</c:v>
                </c:pt>
              </c:strCache>
            </c:strRef>
          </c:tx>
          <c:spPr>
            <a:solidFill>
              <a:schemeClr val="accent2">
                <a:lumMod val="8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'MI_2018-2050'!$U$3:$U$9</c:f>
              <c:numCache>
                <c:formatCode>0.0</c:formatCode>
                <c:ptCount val="7"/>
                <c:pt idx="0">
                  <c:v>9.6618357487922718E-2</c:v>
                </c:pt>
                <c:pt idx="1">
                  <c:v>4.4776119402985079E-2</c:v>
                </c:pt>
                <c:pt idx="2">
                  <c:v>0.53260869565217395</c:v>
                </c:pt>
                <c:pt idx="3">
                  <c:v>5.5350553505535069E-2</c:v>
                </c:pt>
                <c:pt idx="4">
                  <c:v>1.0204081632653062E-2</c:v>
                </c:pt>
                <c:pt idx="5">
                  <c:v>0.37199124726477018</c:v>
                </c:pt>
                <c:pt idx="6">
                  <c:v>8.7912087912087905E-2</c:v>
                </c:pt>
              </c:numCache>
            </c:numRef>
          </c:val>
          <c:extLst>
            <c:ext xmlns:c16="http://schemas.microsoft.com/office/drawing/2014/chart" uri="{C3380CC4-5D6E-409C-BE32-E72D297353CC}">
              <c16:uniqueId val="{00000013-C3E7-7649-BC58-C08145F31785}"/>
            </c:ext>
          </c:extLst>
        </c:ser>
        <c:ser>
          <c:idx val="20"/>
          <c:order val="20"/>
          <c:tx>
            <c:strRef>
              <c:extLst>
                <c:ext xmlns:c15="http://schemas.microsoft.com/office/drawing/2012/chart" uri="{02D57815-91ED-43cb-92C2-25804820EDAC}">
                  <c15:fullRef>
                    <c15:sqref>'MI_2018-2050'!$V$1:$V$2</c15:sqref>
                  </c15:fullRef>
                  <c15:levelRef>
                    <c15:sqref>'MI_2018-2050'!$V$1</c15:sqref>
                  </c15:levelRef>
                </c:ext>
              </c:extLst>
              <c:f>'MI_2018-2050'!$V$1</c:f>
              <c:strCache>
                <c:ptCount val="2"/>
                <c:pt idx="0">
                  <c:v>Sand</c:v>
                </c:pt>
                <c:pt idx="1">
                  <c:v>kg/m2 UFA</c:v>
                </c:pt>
              </c:strCache>
            </c:strRef>
          </c:tx>
          <c:spPr>
            <a:solidFill>
              <a:schemeClr val="accent3">
                <a:lumMod val="80000"/>
              </a:schemeClr>
            </a:solidFill>
            <a:ln>
              <a:noFill/>
            </a:ln>
            <a:effectLst/>
          </c:spPr>
          <c:invertIfNegative val="0"/>
          <c:cat>
            <c:strRef>
              <c:f>'MI_2018-2050'!$A$3:$A$9</c:f>
              <c:strCache>
                <c:ptCount val="7"/>
                <c:pt idx="0">
                  <c:v>Row house</c:v>
                </c:pt>
                <c:pt idx="1">
                  <c:v>Detached house</c:v>
                </c:pt>
                <c:pt idx="2">
                  <c:v>Apartment</c:v>
                </c:pt>
                <c:pt idx="3">
                  <c:v>Office</c:v>
                </c:pt>
                <c:pt idx="4">
                  <c:v>Industry</c:v>
                </c:pt>
                <c:pt idx="5">
                  <c:v>Services</c:v>
                </c:pt>
                <c:pt idx="6">
                  <c:v>Shop</c:v>
                </c:pt>
              </c:strCache>
            </c:strRef>
          </c:cat>
          <c:val>
            <c:numRef>
              <c:f>'MI_2018-2050'!$V$3:$V$9</c:f>
              <c:numCache>
                <c:formatCode>0.0</c:formatCode>
                <c:ptCount val="7"/>
                <c:pt idx="0">
                  <c:v>128.72946859903382</c:v>
                </c:pt>
                <c:pt idx="1">
                  <c:v>99.507462686567166</c:v>
                </c:pt>
                <c:pt idx="2">
                  <c:v>30.114130434782606</c:v>
                </c:pt>
                <c:pt idx="3">
                  <c:v>37.400369003690031</c:v>
                </c:pt>
                <c:pt idx="4">
                  <c:v>19.622448979591837</c:v>
                </c:pt>
                <c:pt idx="5">
                  <c:v>12.871991247264772</c:v>
                </c:pt>
                <c:pt idx="6">
                  <c:v>13.505494505494504</c:v>
                </c:pt>
              </c:numCache>
            </c:numRef>
          </c:val>
          <c:extLst>
            <c:ext xmlns:c16="http://schemas.microsoft.com/office/drawing/2014/chart" uri="{C3380CC4-5D6E-409C-BE32-E72D297353CC}">
              <c16:uniqueId val="{00000014-C3E7-7649-BC58-C08145F31785}"/>
            </c:ext>
          </c:extLst>
        </c:ser>
        <c:dLbls>
          <c:showLegendKey val="0"/>
          <c:showVal val="0"/>
          <c:showCatName val="0"/>
          <c:showSerName val="0"/>
          <c:showPercent val="0"/>
          <c:showBubbleSize val="0"/>
        </c:dLbls>
        <c:gapWidth val="150"/>
        <c:overlap val="100"/>
        <c:axId val="1685116751"/>
        <c:axId val="1685083583"/>
      </c:barChart>
      <c:catAx>
        <c:axId val="168511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83583"/>
        <c:crosses val="autoZero"/>
        <c:auto val="1"/>
        <c:lblAlgn val="ctr"/>
        <c:lblOffset val="100"/>
        <c:noMultiLvlLbl val="0"/>
      </c:catAx>
      <c:valAx>
        <c:axId val="168508358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1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'MI_2018-2050'!$B$32:$B$33</c:f>
              <c:strCache>
                <c:ptCount val="2"/>
                <c:pt idx="0">
                  <c:v>Aluminum</c:v>
                </c:pt>
                <c:pt idx="1">
                  <c:v>kg/m2 UFA</c:v>
                </c:pt>
              </c:strCache>
            </c:strRef>
          </c:tx>
          <c:spPr>
            <a:solidFill>
              <a:schemeClr val="accent1"/>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'MI_2018-2050'!$B$34:$B$40</c:f>
              <c:numCache>
                <c:formatCode>0.0</c:formatCode>
                <c:ptCount val="7"/>
                <c:pt idx="0">
                  <c:v>1.1980676328502415</c:v>
                </c:pt>
                <c:pt idx="1">
                  <c:v>1.8059701492537312</c:v>
                </c:pt>
                <c:pt idx="2">
                  <c:v>1.5489130434782608</c:v>
                </c:pt>
                <c:pt idx="3">
                  <c:v>2.457564575645756</c:v>
                </c:pt>
                <c:pt idx="4">
                  <c:v>0.17346938775510207</c:v>
                </c:pt>
                <c:pt idx="5">
                  <c:v>8.0032822757111592</c:v>
                </c:pt>
                <c:pt idx="6">
                  <c:v>1.4725274725274726</c:v>
                </c:pt>
              </c:numCache>
            </c:numRef>
          </c:val>
          <c:extLst>
            <c:ext xmlns:c16="http://schemas.microsoft.com/office/drawing/2014/chart" uri="{C3380CC4-5D6E-409C-BE32-E72D297353CC}">
              <c16:uniqueId val="{00000000-EA0E-1649-8A9F-5C00A8427D8C}"/>
            </c:ext>
          </c:extLst>
        </c:ser>
        <c:ser>
          <c:idx val="1"/>
          <c:order val="1"/>
          <c:tx>
            <c:strRef>
              <c:f>'MI_2018-2050'!$C$32:$C$33</c:f>
              <c:strCache>
                <c:ptCount val="2"/>
                <c:pt idx="0">
                  <c:v>Clay brick</c:v>
                </c:pt>
                <c:pt idx="1">
                  <c:v>kg/m2 UFA</c:v>
                </c:pt>
              </c:strCache>
            </c:strRef>
          </c:tx>
          <c:spPr>
            <a:solidFill>
              <a:schemeClr val="accent2"/>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'MI_2018-2050'!$C$34:$C$40</c:f>
              <c:numCache>
                <c:formatCode>0.0</c:formatCode>
                <c:ptCount val="7"/>
                <c:pt idx="0">
                  <c:v>179.96618357487924</c:v>
                </c:pt>
                <c:pt idx="1">
                  <c:v>218.41791044776119</c:v>
                </c:pt>
                <c:pt idx="2">
                  <c:v>237.06521739130437</c:v>
                </c:pt>
                <c:pt idx="3">
                  <c:v>25.948339483394836</c:v>
                </c:pt>
                <c:pt idx="4">
                  <c:v>3.3775510204081636</c:v>
                </c:pt>
                <c:pt idx="5">
                  <c:v>55.317286652078778</c:v>
                </c:pt>
                <c:pt idx="6">
                  <c:v>68.549450549450555</c:v>
                </c:pt>
              </c:numCache>
            </c:numRef>
          </c:val>
          <c:extLst>
            <c:ext xmlns:c16="http://schemas.microsoft.com/office/drawing/2014/chart" uri="{C3380CC4-5D6E-409C-BE32-E72D297353CC}">
              <c16:uniqueId val="{00000001-EA0E-1649-8A9F-5C00A8427D8C}"/>
            </c:ext>
          </c:extLst>
        </c:ser>
        <c:ser>
          <c:idx val="2"/>
          <c:order val="2"/>
          <c:tx>
            <c:strRef>
              <c:f>'MI_2018-2050'!$D$32:$D$33</c:f>
              <c:strCache>
                <c:ptCount val="2"/>
                <c:pt idx="0">
                  <c:v>Concrete</c:v>
                </c:pt>
                <c:pt idx="1">
                  <c:v>kg/m2 UFA</c:v>
                </c:pt>
              </c:strCache>
            </c:strRef>
          </c:tx>
          <c:spPr>
            <a:solidFill>
              <a:schemeClr val="accent3"/>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'MI_2018-2050'!$D$34:$D$40</c:f>
              <c:numCache>
                <c:formatCode>0.0</c:formatCode>
                <c:ptCount val="7"/>
                <c:pt idx="0">
                  <c:v>1662.6231884057972</c:v>
                </c:pt>
                <c:pt idx="1">
                  <c:v>1190.3880597014925</c:v>
                </c:pt>
                <c:pt idx="2">
                  <c:v>1107.9076086956522</c:v>
                </c:pt>
                <c:pt idx="3">
                  <c:v>1084.5276752767529</c:v>
                </c:pt>
                <c:pt idx="4">
                  <c:v>802.38775510204084</c:v>
                </c:pt>
                <c:pt idx="5">
                  <c:v>1266.723194748359</c:v>
                </c:pt>
                <c:pt idx="6">
                  <c:v>1178.131868131868</c:v>
                </c:pt>
              </c:numCache>
            </c:numRef>
          </c:val>
          <c:extLst>
            <c:ext xmlns:c16="http://schemas.microsoft.com/office/drawing/2014/chart" uri="{C3380CC4-5D6E-409C-BE32-E72D297353CC}">
              <c16:uniqueId val="{00000002-EA0E-1649-8A9F-5C00A8427D8C}"/>
            </c:ext>
          </c:extLst>
        </c:ser>
        <c:ser>
          <c:idx val="3"/>
          <c:order val="3"/>
          <c:tx>
            <c:strRef>
              <c:f>'MI_2018-2050'!$E$32:$E$33</c:f>
              <c:strCache>
                <c:ptCount val="2"/>
                <c:pt idx="0">
                  <c:v>Bitumen</c:v>
                </c:pt>
                <c:pt idx="1">
                  <c:v>kg/m2 UFA</c:v>
                </c:pt>
              </c:strCache>
            </c:strRef>
          </c:tx>
          <c:spPr>
            <a:solidFill>
              <a:schemeClr val="accent4"/>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'MI_2018-2050'!$E$34:$E$40</c:f>
              <c:numCache>
                <c:formatCode>0.0</c:formatCode>
                <c:ptCount val="7"/>
                <c:pt idx="0">
                  <c:v>0.64251207729468607</c:v>
                </c:pt>
                <c:pt idx="1">
                  <c:v>0.10447761194029852</c:v>
                </c:pt>
                <c:pt idx="2">
                  <c:v>0.31521739130434784</c:v>
                </c:pt>
                <c:pt idx="3">
                  <c:v>0.34317343173431736</c:v>
                </c:pt>
                <c:pt idx="4">
                  <c:v>0</c:v>
                </c:pt>
                <c:pt idx="5">
                  <c:v>0.32275711159737414</c:v>
                </c:pt>
                <c:pt idx="6">
                  <c:v>0</c:v>
                </c:pt>
              </c:numCache>
            </c:numRef>
          </c:val>
          <c:extLst>
            <c:ext xmlns:c16="http://schemas.microsoft.com/office/drawing/2014/chart" uri="{C3380CC4-5D6E-409C-BE32-E72D297353CC}">
              <c16:uniqueId val="{00000003-EA0E-1649-8A9F-5C00A8427D8C}"/>
            </c:ext>
          </c:extLst>
        </c:ser>
        <c:ser>
          <c:idx val="4"/>
          <c:order val="4"/>
          <c:tx>
            <c:strRef>
              <c:f>'MI_2018-2050'!$F$32:$F$33</c:f>
              <c:strCache>
                <c:ptCount val="2"/>
                <c:pt idx="0">
                  <c:v>Electronics</c:v>
                </c:pt>
                <c:pt idx="1">
                  <c:v>kg/m2 UFA</c:v>
                </c:pt>
              </c:strCache>
            </c:strRef>
          </c:tx>
          <c:spPr>
            <a:solidFill>
              <a:schemeClr val="accent5"/>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'MI_2018-2050'!$F$34:$F$40</c:f>
              <c:numCache>
                <c:formatCode>0.0</c:formatCode>
                <c:ptCount val="7"/>
                <c:pt idx="0">
                  <c:v>0.89855072463768126</c:v>
                </c:pt>
                <c:pt idx="1">
                  <c:v>0.62686567164179097</c:v>
                </c:pt>
                <c:pt idx="2">
                  <c:v>1.2880434782608696</c:v>
                </c:pt>
                <c:pt idx="3">
                  <c:v>2.0313653136531364</c:v>
                </c:pt>
                <c:pt idx="4">
                  <c:v>5.1020408163265307E-2</c:v>
                </c:pt>
                <c:pt idx="5">
                  <c:v>7.1115973741794306E-2</c:v>
                </c:pt>
                <c:pt idx="6">
                  <c:v>3.2967032967032968E-2</c:v>
                </c:pt>
              </c:numCache>
            </c:numRef>
          </c:val>
          <c:extLst>
            <c:ext xmlns:c16="http://schemas.microsoft.com/office/drawing/2014/chart" uri="{C3380CC4-5D6E-409C-BE32-E72D297353CC}">
              <c16:uniqueId val="{00000004-EA0E-1649-8A9F-5C00A8427D8C}"/>
            </c:ext>
          </c:extLst>
        </c:ser>
        <c:ser>
          <c:idx val="5"/>
          <c:order val="5"/>
          <c:tx>
            <c:strRef>
              <c:f>'MI_2018-2050'!$G$32:$G$33</c:f>
              <c:strCache>
                <c:ptCount val="2"/>
                <c:pt idx="0">
                  <c:v>Gypsum</c:v>
                </c:pt>
                <c:pt idx="1">
                  <c:v>kg/m2 UFA</c:v>
                </c:pt>
              </c:strCache>
            </c:strRef>
          </c:tx>
          <c:spPr>
            <a:solidFill>
              <a:schemeClr val="accent6"/>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'MI_2018-2050'!$G$34:$G$40</c:f>
              <c:numCache>
                <c:formatCode>0.0</c:formatCode>
                <c:ptCount val="7"/>
                <c:pt idx="0">
                  <c:v>13.54106280193237</c:v>
                </c:pt>
                <c:pt idx="1">
                  <c:v>15.820895522388058</c:v>
                </c:pt>
                <c:pt idx="2">
                  <c:v>30.874999999999996</c:v>
                </c:pt>
                <c:pt idx="3">
                  <c:v>8.2361623616236166</c:v>
                </c:pt>
                <c:pt idx="4">
                  <c:v>0.43877551020408162</c:v>
                </c:pt>
                <c:pt idx="5">
                  <c:v>18.544857768052516</c:v>
                </c:pt>
                <c:pt idx="6">
                  <c:v>10.791208791208792</c:v>
                </c:pt>
              </c:numCache>
            </c:numRef>
          </c:val>
          <c:extLst>
            <c:ext xmlns:c16="http://schemas.microsoft.com/office/drawing/2014/chart" uri="{C3380CC4-5D6E-409C-BE32-E72D297353CC}">
              <c16:uniqueId val="{00000005-EA0E-1649-8A9F-5C00A8427D8C}"/>
            </c:ext>
          </c:extLst>
        </c:ser>
        <c:ser>
          <c:idx val="6"/>
          <c:order val="6"/>
          <c:tx>
            <c:strRef>
              <c:f>'MI_2018-2050'!$H$32:$H$33</c:f>
              <c:strCache>
                <c:ptCount val="2"/>
                <c:pt idx="0">
                  <c:v>Glass</c:v>
                </c:pt>
                <c:pt idx="1">
                  <c:v>kg/m2 UFA</c:v>
                </c:pt>
              </c:strCache>
            </c:strRef>
          </c:tx>
          <c:spPr>
            <a:solidFill>
              <a:schemeClr val="accent1">
                <a:lumMod val="6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'MI_2018-2050'!$H$34:$H$40</c:f>
              <c:numCache>
                <c:formatCode>0.0</c:formatCode>
                <c:ptCount val="7"/>
                <c:pt idx="0">
                  <c:v>7.5458937198067639</c:v>
                </c:pt>
                <c:pt idx="1">
                  <c:v>11.134328358208954</c:v>
                </c:pt>
                <c:pt idx="2">
                  <c:v>5.8913043478260869</c:v>
                </c:pt>
                <c:pt idx="3">
                  <c:v>10.588560885608858</c:v>
                </c:pt>
                <c:pt idx="4">
                  <c:v>0.1326530612244898</c:v>
                </c:pt>
                <c:pt idx="5">
                  <c:v>4.6608315098468269</c:v>
                </c:pt>
                <c:pt idx="6">
                  <c:v>17.296703296703296</c:v>
                </c:pt>
              </c:numCache>
            </c:numRef>
          </c:val>
          <c:extLst>
            <c:ext xmlns:c16="http://schemas.microsoft.com/office/drawing/2014/chart" uri="{C3380CC4-5D6E-409C-BE32-E72D297353CC}">
              <c16:uniqueId val="{00000006-EA0E-1649-8A9F-5C00A8427D8C}"/>
            </c:ext>
          </c:extLst>
        </c:ser>
        <c:ser>
          <c:idx val="7"/>
          <c:order val="7"/>
          <c:tx>
            <c:strRef>
              <c:f>'MI_2018-2050'!$I$32:$I$33</c:f>
              <c:strCache>
                <c:ptCount val="2"/>
                <c:pt idx="0">
                  <c:v>Wood</c:v>
                </c:pt>
                <c:pt idx="1">
                  <c:v>kg/m2 UFA</c:v>
                </c:pt>
              </c:strCache>
            </c:strRef>
          </c:tx>
          <c:spPr>
            <a:solidFill>
              <a:schemeClr val="accent2">
                <a:lumMod val="6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'MI_2018-2050'!$I$34:$I$40</c:f>
              <c:numCache>
                <c:formatCode>0.0</c:formatCode>
                <c:ptCount val="7"/>
                <c:pt idx="0">
                  <c:v>24.90338164251208</c:v>
                </c:pt>
                <c:pt idx="1">
                  <c:v>34.328358208955223</c:v>
                </c:pt>
                <c:pt idx="2">
                  <c:v>2.206521739130435</c:v>
                </c:pt>
                <c:pt idx="3">
                  <c:v>1.3118081180811809</c:v>
                </c:pt>
                <c:pt idx="4">
                  <c:v>3.8469387755102042</c:v>
                </c:pt>
                <c:pt idx="5">
                  <c:v>8.774617067833697</c:v>
                </c:pt>
                <c:pt idx="6">
                  <c:v>16</c:v>
                </c:pt>
              </c:numCache>
            </c:numRef>
          </c:val>
          <c:extLst>
            <c:ext xmlns:c16="http://schemas.microsoft.com/office/drawing/2014/chart" uri="{C3380CC4-5D6E-409C-BE32-E72D297353CC}">
              <c16:uniqueId val="{00000007-EA0E-1649-8A9F-5C00A8427D8C}"/>
            </c:ext>
          </c:extLst>
        </c:ser>
        <c:ser>
          <c:idx val="8"/>
          <c:order val="8"/>
          <c:tx>
            <c:strRef>
              <c:f>'MI_2018-2050'!$J$32:$J$33</c:f>
              <c:strCache>
                <c:ptCount val="2"/>
                <c:pt idx="0">
                  <c:v>Insulation</c:v>
                </c:pt>
                <c:pt idx="1">
                  <c:v>kg/m2 UFA</c:v>
                </c:pt>
              </c:strCache>
            </c:strRef>
          </c:tx>
          <c:spPr>
            <a:solidFill>
              <a:schemeClr val="accent3">
                <a:lumMod val="6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'MI_2018-2050'!$J$34:$J$40</c:f>
              <c:numCache>
                <c:formatCode>0.0</c:formatCode>
                <c:ptCount val="7"/>
                <c:pt idx="0">
                  <c:v>26.415458937198071</c:v>
                </c:pt>
                <c:pt idx="1">
                  <c:v>34.104477611940297</c:v>
                </c:pt>
                <c:pt idx="2">
                  <c:v>7.7065217391304346</c:v>
                </c:pt>
                <c:pt idx="3">
                  <c:v>7.2564575645756459</c:v>
                </c:pt>
                <c:pt idx="4">
                  <c:v>53.336734693877553</c:v>
                </c:pt>
                <c:pt idx="5">
                  <c:v>11.559080962800873</c:v>
                </c:pt>
                <c:pt idx="6">
                  <c:v>9.1868131868131861</c:v>
                </c:pt>
              </c:numCache>
            </c:numRef>
          </c:val>
          <c:extLst>
            <c:ext xmlns:c16="http://schemas.microsoft.com/office/drawing/2014/chart" uri="{C3380CC4-5D6E-409C-BE32-E72D297353CC}">
              <c16:uniqueId val="{00000008-EA0E-1649-8A9F-5C00A8427D8C}"/>
            </c:ext>
          </c:extLst>
        </c:ser>
        <c:ser>
          <c:idx val="9"/>
          <c:order val="9"/>
          <c:tx>
            <c:strRef>
              <c:f>'MI_2018-2050'!$K$32:$K$33</c:f>
              <c:strCache>
                <c:ptCount val="2"/>
                <c:pt idx="0">
                  <c:v>Sand-lime brick</c:v>
                </c:pt>
                <c:pt idx="1">
                  <c:v>kg/m2 UFA</c:v>
                </c:pt>
              </c:strCache>
            </c:strRef>
          </c:tx>
          <c:spPr>
            <a:solidFill>
              <a:schemeClr val="accent4">
                <a:lumMod val="6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'MI_2018-2050'!$K$34:$K$40</c:f>
              <c:numCache>
                <c:formatCode>0.0</c:formatCode>
                <c:ptCount val="7"/>
                <c:pt idx="0">
                  <c:v>0</c:v>
                </c:pt>
                <c:pt idx="1">
                  <c:v>0</c:v>
                </c:pt>
                <c:pt idx="2">
                  <c:v>0</c:v>
                </c:pt>
                <c:pt idx="3">
                  <c:v>0</c:v>
                </c:pt>
                <c:pt idx="4">
                  <c:v>16.306122448979593</c:v>
                </c:pt>
                <c:pt idx="5">
                  <c:v>278.4463894967177</c:v>
                </c:pt>
                <c:pt idx="6">
                  <c:v>338.93406593406593</c:v>
                </c:pt>
              </c:numCache>
            </c:numRef>
          </c:val>
          <c:extLst>
            <c:ext xmlns:c16="http://schemas.microsoft.com/office/drawing/2014/chart" uri="{C3380CC4-5D6E-409C-BE32-E72D297353CC}">
              <c16:uniqueId val="{00000009-EA0E-1649-8A9F-5C00A8427D8C}"/>
            </c:ext>
          </c:extLst>
        </c:ser>
        <c:ser>
          <c:idx val="10"/>
          <c:order val="10"/>
          <c:tx>
            <c:strRef>
              <c:f>'MI_2018-2050'!$L$32:$L$33</c:f>
              <c:strCache>
                <c:ptCount val="2"/>
                <c:pt idx="0">
                  <c:v>Ceramics</c:v>
                </c:pt>
                <c:pt idx="1">
                  <c:v>kg/m2 UFA</c:v>
                </c:pt>
              </c:strCache>
            </c:strRef>
          </c:tx>
          <c:spPr>
            <a:solidFill>
              <a:schemeClr val="accent5">
                <a:lumMod val="6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'MI_2018-2050'!$L$34:$L$40</c:f>
              <c:numCache>
                <c:formatCode>0.0</c:formatCode>
                <c:ptCount val="7"/>
                <c:pt idx="0">
                  <c:v>6.57487922705314</c:v>
                </c:pt>
                <c:pt idx="1">
                  <c:v>5.3582089552238799</c:v>
                </c:pt>
                <c:pt idx="2">
                  <c:v>12.581521739130434</c:v>
                </c:pt>
                <c:pt idx="3">
                  <c:v>0.83579335793357934</c:v>
                </c:pt>
                <c:pt idx="4">
                  <c:v>0.15306122448979592</c:v>
                </c:pt>
                <c:pt idx="5">
                  <c:v>5.9956236323851204</c:v>
                </c:pt>
                <c:pt idx="6">
                  <c:v>5.2527472527472527</c:v>
                </c:pt>
              </c:numCache>
            </c:numRef>
          </c:val>
          <c:extLst>
            <c:ext xmlns:c16="http://schemas.microsoft.com/office/drawing/2014/chart" uri="{C3380CC4-5D6E-409C-BE32-E72D297353CC}">
              <c16:uniqueId val="{0000000A-EA0E-1649-8A9F-5C00A8427D8C}"/>
            </c:ext>
          </c:extLst>
        </c:ser>
        <c:ser>
          <c:idx val="11"/>
          <c:order val="11"/>
          <c:tx>
            <c:strRef>
              <c:f>'MI_2018-2050'!$M$32:$M$33</c:f>
              <c:strCache>
                <c:ptCount val="2"/>
                <c:pt idx="0">
                  <c:v>Copper</c:v>
                </c:pt>
                <c:pt idx="1">
                  <c:v>kg/m2 UFA</c:v>
                </c:pt>
              </c:strCache>
            </c:strRef>
          </c:tx>
          <c:spPr>
            <a:solidFill>
              <a:schemeClr val="accent6">
                <a:lumMod val="6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'MI_2018-2050'!$M$34:$M$40</c:f>
              <c:numCache>
                <c:formatCode>0.0</c:formatCode>
                <c:ptCount val="7"/>
                <c:pt idx="0">
                  <c:v>0.58454106280193241</c:v>
                </c:pt>
                <c:pt idx="1">
                  <c:v>0.47761194029850745</c:v>
                </c:pt>
                <c:pt idx="2">
                  <c:v>0.37499999999999994</c:v>
                </c:pt>
                <c:pt idx="3">
                  <c:v>8.8560885608856096E-2</c:v>
                </c:pt>
                <c:pt idx="4">
                  <c:v>0.23469387755102042</c:v>
                </c:pt>
                <c:pt idx="5">
                  <c:v>0.31728665207877466</c:v>
                </c:pt>
                <c:pt idx="6">
                  <c:v>0.2087912087912088</c:v>
                </c:pt>
              </c:numCache>
            </c:numRef>
          </c:val>
          <c:extLst>
            <c:ext xmlns:c16="http://schemas.microsoft.com/office/drawing/2014/chart" uri="{C3380CC4-5D6E-409C-BE32-E72D297353CC}">
              <c16:uniqueId val="{0000000B-EA0E-1649-8A9F-5C00A8427D8C}"/>
            </c:ext>
          </c:extLst>
        </c:ser>
        <c:ser>
          <c:idx val="12"/>
          <c:order val="12"/>
          <c:tx>
            <c:strRef>
              <c:f>'MI_2018-2050'!$N$32:$N$33</c:f>
              <c:strCache>
                <c:ptCount val="2"/>
                <c:pt idx="0">
                  <c:v>Plastics</c:v>
                </c:pt>
                <c:pt idx="1">
                  <c:v>kg/m2 UFA</c:v>
                </c:pt>
              </c:strCache>
            </c:strRef>
          </c:tx>
          <c:spPr>
            <a:solidFill>
              <a:schemeClr val="accent1">
                <a:lumMod val="80000"/>
                <a:lumOff val="2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'MI_2018-2050'!$N$34:$N$40</c:f>
              <c:numCache>
                <c:formatCode>0.0</c:formatCode>
                <c:ptCount val="7"/>
                <c:pt idx="0">
                  <c:v>2.8743961352657008</c:v>
                </c:pt>
                <c:pt idx="1">
                  <c:v>2.4029850746268657</c:v>
                </c:pt>
                <c:pt idx="2">
                  <c:v>2.5054347826086953</c:v>
                </c:pt>
                <c:pt idx="3">
                  <c:v>2.0535055350553506</c:v>
                </c:pt>
                <c:pt idx="4">
                  <c:v>1.1326530612244898</c:v>
                </c:pt>
                <c:pt idx="5">
                  <c:v>1.3457330415754922</c:v>
                </c:pt>
                <c:pt idx="6">
                  <c:v>1.813186813186813</c:v>
                </c:pt>
              </c:numCache>
            </c:numRef>
          </c:val>
          <c:extLst>
            <c:ext xmlns:c16="http://schemas.microsoft.com/office/drawing/2014/chart" uri="{C3380CC4-5D6E-409C-BE32-E72D297353CC}">
              <c16:uniqueId val="{0000000C-EA0E-1649-8A9F-5C00A8427D8C}"/>
            </c:ext>
          </c:extLst>
        </c:ser>
        <c:ser>
          <c:idx val="13"/>
          <c:order val="13"/>
          <c:tx>
            <c:strRef>
              <c:f>'MI_2018-2050'!$O$32:$O$33</c:f>
              <c:strCache>
                <c:ptCount val="2"/>
                <c:pt idx="0">
                  <c:v>Adhesives &amp; paint</c:v>
                </c:pt>
                <c:pt idx="1">
                  <c:v>kg/m2 UFA</c:v>
                </c:pt>
              </c:strCache>
            </c:strRef>
          </c:tx>
          <c:spPr>
            <a:solidFill>
              <a:schemeClr val="accent2">
                <a:lumMod val="80000"/>
                <a:lumOff val="2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'MI_2018-2050'!$O$34:$O$40</c:f>
              <c:numCache>
                <c:formatCode>0.0</c:formatCode>
                <c:ptCount val="7"/>
                <c:pt idx="0">
                  <c:v>0.7874396135265701</c:v>
                </c:pt>
                <c:pt idx="1">
                  <c:v>0.9253731343283581</c:v>
                </c:pt>
                <c:pt idx="2">
                  <c:v>0.99456521739130421</c:v>
                </c:pt>
                <c:pt idx="3">
                  <c:v>0.4151291512915129</c:v>
                </c:pt>
                <c:pt idx="4">
                  <c:v>0.14285714285714288</c:v>
                </c:pt>
                <c:pt idx="5">
                  <c:v>2.9431072210065645</c:v>
                </c:pt>
                <c:pt idx="6">
                  <c:v>2.6483516483516483</c:v>
                </c:pt>
              </c:numCache>
            </c:numRef>
          </c:val>
          <c:extLst>
            <c:ext xmlns:c16="http://schemas.microsoft.com/office/drawing/2014/chart" uri="{C3380CC4-5D6E-409C-BE32-E72D297353CC}">
              <c16:uniqueId val="{0000000D-EA0E-1649-8A9F-5C00A8427D8C}"/>
            </c:ext>
          </c:extLst>
        </c:ser>
        <c:ser>
          <c:idx val="14"/>
          <c:order val="14"/>
          <c:tx>
            <c:strRef>
              <c:f>'MI_2018-2050'!$P$32:$P$33</c:f>
              <c:strCache>
                <c:ptCount val="2"/>
                <c:pt idx="0">
                  <c:v>Mortal</c:v>
                </c:pt>
                <c:pt idx="1">
                  <c:v>kg/m2 UFA</c:v>
                </c:pt>
              </c:strCache>
            </c:strRef>
          </c:tx>
          <c:spPr>
            <a:solidFill>
              <a:schemeClr val="accent3">
                <a:lumMod val="80000"/>
                <a:lumOff val="2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'MI_2018-2050'!$P$34:$P$40</c:f>
              <c:numCache>
                <c:formatCode>0.0</c:formatCode>
                <c:ptCount val="7"/>
                <c:pt idx="0">
                  <c:v>63.603864734299513</c:v>
                </c:pt>
                <c:pt idx="1">
                  <c:v>82.910447761194021</c:v>
                </c:pt>
                <c:pt idx="2">
                  <c:v>61.532608695652172</c:v>
                </c:pt>
                <c:pt idx="3">
                  <c:v>12.160516605166052</c:v>
                </c:pt>
                <c:pt idx="4">
                  <c:v>1.4183673469387754</c:v>
                </c:pt>
                <c:pt idx="5">
                  <c:v>23.741794310722103</c:v>
                </c:pt>
                <c:pt idx="6">
                  <c:v>30.505494505494507</c:v>
                </c:pt>
              </c:numCache>
            </c:numRef>
          </c:val>
          <c:extLst>
            <c:ext xmlns:c16="http://schemas.microsoft.com/office/drawing/2014/chart" uri="{C3380CC4-5D6E-409C-BE32-E72D297353CC}">
              <c16:uniqueId val="{0000000E-EA0E-1649-8A9F-5C00A8427D8C}"/>
            </c:ext>
          </c:extLst>
        </c:ser>
        <c:ser>
          <c:idx val="15"/>
          <c:order val="15"/>
          <c:tx>
            <c:strRef>
              <c:f>'MI_2018-2050'!$Q$32:$Q$33</c:f>
              <c:strCache>
                <c:ptCount val="2"/>
                <c:pt idx="0">
                  <c:v>Other biobased materials</c:v>
                </c:pt>
                <c:pt idx="1">
                  <c:v>kg/m2 UFA</c:v>
                </c:pt>
              </c:strCache>
            </c:strRef>
          </c:tx>
          <c:spPr>
            <a:solidFill>
              <a:schemeClr val="accent4">
                <a:lumMod val="80000"/>
                <a:lumOff val="2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'MI_2018-2050'!$Q$34:$Q$40</c:f>
              <c:numCache>
                <c:formatCode>0.0</c:formatCode>
                <c:ptCount val="7"/>
                <c:pt idx="0">
                  <c:v>0</c:v>
                </c:pt>
                <c:pt idx="1">
                  <c:v>0</c:v>
                </c:pt>
                <c:pt idx="2">
                  <c:v>0</c:v>
                </c:pt>
                <c:pt idx="3">
                  <c:v>0</c:v>
                </c:pt>
                <c:pt idx="4">
                  <c:v>0</c:v>
                </c:pt>
                <c:pt idx="5">
                  <c:v>0</c:v>
                </c:pt>
                <c:pt idx="6">
                  <c:v>1.2307692307692308</c:v>
                </c:pt>
              </c:numCache>
            </c:numRef>
          </c:val>
          <c:extLst>
            <c:ext xmlns:c16="http://schemas.microsoft.com/office/drawing/2014/chart" uri="{C3380CC4-5D6E-409C-BE32-E72D297353CC}">
              <c16:uniqueId val="{0000000F-EA0E-1649-8A9F-5C00A8427D8C}"/>
            </c:ext>
          </c:extLst>
        </c:ser>
        <c:ser>
          <c:idx val="16"/>
          <c:order val="16"/>
          <c:tx>
            <c:strRef>
              <c:f>'MI_2018-2050'!$R$32:$R$33</c:f>
              <c:strCache>
                <c:ptCount val="2"/>
                <c:pt idx="0">
                  <c:v>Other metals</c:v>
                </c:pt>
                <c:pt idx="1">
                  <c:v>kg/m2 UFA</c:v>
                </c:pt>
              </c:strCache>
            </c:strRef>
          </c:tx>
          <c:spPr>
            <a:solidFill>
              <a:schemeClr val="accent5">
                <a:lumMod val="80000"/>
                <a:lumOff val="2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'MI_2018-2050'!$R$34:$R$40</c:f>
              <c:numCache>
                <c:formatCode>0.0</c:formatCode>
                <c:ptCount val="7"/>
                <c:pt idx="0">
                  <c:v>0.12077294685990339</c:v>
                </c:pt>
                <c:pt idx="1">
                  <c:v>0.11940298507462686</c:v>
                </c:pt>
                <c:pt idx="2">
                  <c:v>0.12499999999999999</c:v>
                </c:pt>
                <c:pt idx="3">
                  <c:v>9.9630996309963096E-2</c:v>
                </c:pt>
                <c:pt idx="4">
                  <c:v>0.11224489795918367</c:v>
                </c:pt>
                <c:pt idx="5">
                  <c:v>0.74945295404814005</c:v>
                </c:pt>
                <c:pt idx="6">
                  <c:v>0.49450549450549453</c:v>
                </c:pt>
              </c:numCache>
            </c:numRef>
          </c:val>
          <c:extLst>
            <c:ext xmlns:c16="http://schemas.microsoft.com/office/drawing/2014/chart" uri="{C3380CC4-5D6E-409C-BE32-E72D297353CC}">
              <c16:uniqueId val="{00000010-EA0E-1649-8A9F-5C00A8427D8C}"/>
            </c:ext>
          </c:extLst>
        </c:ser>
        <c:ser>
          <c:idx val="17"/>
          <c:order val="17"/>
          <c:tx>
            <c:strRef>
              <c:f>'MI_2018-2050'!$S$32:$S$33</c:f>
              <c:strCache>
                <c:ptCount val="2"/>
                <c:pt idx="0">
                  <c:v>Paper</c:v>
                </c:pt>
                <c:pt idx="1">
                  <c:v>kg/m2 UFA</c:v>
                </c:pt>
              </c:strCache>
            </c:strRef>
          </c:tx>
          <c:spPr>
            <a:solidFill>
              <a:schemeClr val="accent6">
                <a:lumMod val="80000"/>
                <a:lumOff val="2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'MI_2018-2050'!$S$34:$S$40</c:f>
              <c:numCache>
                <c:formatCode>0.0</c:formatCode>
                <c:ptCount val="7"/>
                <c:pt idx="0">
                  <c:v>0.58454106280193241</c:v>
                </c:pt>
                <c:pt idx="1">
                  <c:v>1.3731343283582089</c:v>
                </c:pt>
                <c:pt idx="2">
                  <c:v>0.27173913043478259</c:v>
                </c:pt>
                <c:pt idx="3">
                  <c:v>7.1955719557195569E-2</c:v>
                </c:pt>
                <c:pt idx="4">
                  <c:v>0</c:v>
                </c:pt>
                <c:pt idx="5">
                  <c:v>8.7527352297592995E-2</c:v>
                </c:pt>
                <c:pt idx="6">
                  <c:v>0.42857142857142855</c:v>
                </c:pt>
              </c:numCache>
            </c:numRef>
          </c:val>
          <c:extLst>
            <c:ext xmlns:c16="http://schemas.microsoft.com/office/drawing/2014/chart" uri="{C3380CC4-5D6E-409C-BE32-E72D297353CC}">
              <c16:uniqueId val="{00000011-EA0E-1649-8A9F-5C00A8427D8C}"/>
            </c:ext>
          </c:extLst>
        </c:ser>
        <c:ser>
          <c:idx val="18"/>
          <c:order val="18"/>
          <c:tx>
            <c:strRef>
              <c:f>'MI_2018-2050'!$T$32:$T$33</c:f>
              <c:strCache>
                <c:ptCount val="2"/>
                <c:pt idx="0">
                  <c:v>Iron &amp; steel</c:v>
                </c:pt>
                <c:pt idx="1">
                  <c:v>kg/m2 UFA</c:v>
                </c:pt>
              </c:strCache>
            </c:strRef>
          </c:tx>
          <c:spPr>
            <a:solidFill>
              <a:schemeClr val="accent1">
                <a:lumMod val="8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'MI_2018-2050'!$T$34:$T$40</c:f>
              <c:numCache>
                <c:formatCode>0.0</c:formatCode>
                <c:ptCount val="7"/>
                <c:pt idx="0">
                  <c:v>29.855072463768114</c:v>
                </c:pt>
                <c:pt idx="1">
                  <c:v>25.686567164179102</c:v>
                </c:pt>
                <c:pt idx="2">
                  <c:v>21.673913043478258</c:v>
                </c:pt>
                <c:pt idx="3">
                  <c:v>29.14760147601476</c:v>
                </c:pt>
                <c:pt idx="4">
                  <c:v>77.938775510204081</c:v>
                </c:pt>
                <c:pt idx="5">
                  <c:v>83.391684901531718</c:v>
                </c:pt>
                <c:pt idx="6">
                  <c:v>48.065934065934066</c:v>
                </c:pt>
              </c:numCache>
            </c:numRef>
          </c:val>
          <c:extLst>
            <c:ext xmlns:c16="http://schemas.microsoft.com/office/drawing/2014/chart" uri="{C3380CC4-5D6E-409C-BE32-E72D297353CC}">
              <c16:uniqueId val="{00000012-EA0E-1649-8A9F-5C00A8427D8C}"/>
            </c:ext>
          </c:extLst>
        </c:ser>
        <c:ser>
          <c:idx val="19"/>
          <c:order val="19"/>
          <c:tx>
            <c:strRef>
              <c:f>'MI_2018-2050'!$U$32:$U$33</c:f>
              <c:strCache>
                <c:ptCount val="2"/>
                <c:pt idx="0">
                  <c:v>Stone</c:v>
                </c:pt>
                <c:pt idx="1">
                  <c:v>kg/m2 UFA</c:v>
                </c:pt>
              </c:strCache>
            </c:strRef>
          </c:tx>
          <c:spPr>
            <a:solidFill>
              <a:schemeClr val="accent2">
                <a:lumMod val="8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'MI_2018-2050'!$U$34:$U$40</c:f>
              <c:numCache>
                <c:formatCode>0.0</c:formatCode>
                <c:ptCount val="7"/>
                <c:pt idx="0">
                  <c:v>9.6618357487922718E-2</c:v>
                </c:pt>
                <c:pt idx="1">
                  <c:v>4.4776119402985072E-2</c:v>
                </c:pt>
                <c:pt idx="2">
                  <c:v>0.53260869565217395</c:v>
                </c:pt>
                <c:pt idx="3">
                  <c:v>5.5350553505535062E-2</c:v>
                </c:pt>
                <c:pt idx="4">
                  <c:v>1.0204081632653062E-2</c:v>
                </c:pt>
                <c:pt idx="5">
                  <c:v>0.37199124726477018</c:v>
                </c:pt>
                <c:pt idx="6">
                  <c:v>8.7912087912087905E-2</c:v>
                </c:pt>
              </c:numCache>
            </c:numRef>
          </c:val>
          <c:extLst>
            <c:ext xmlns:c16="http://schemas.microsoft.com/office/drawing/2014/chart" uri="{C3380CC4-5D6E-409C-BE32-E72D297353CC}">
              <c16:uniqueId val="{00000013-EA0E-1649-8A9F-5C00A8427D8C}"/>
            </c:ext>
          </c:extLst>
        </c:ser>
        <c:ser>
          <c:idx val="20"/>
          <c:order val="20"/>
          <c:tx>
            <c:strRef>
              <c:f>'MI_2018-2050'!$V$32:$V$33</c:f>
              <c:strCache>
                <c:ptCount val="2"/>
                <c:pt idx="0">
                  <c:v>Sand</c:v>
                </c:pt>
                <c:pt idx="1">
                  <c:v>kg/m2 UFA</c:v>
                </c:pt>
              </c:strCache>
            </c:strRef>
          </c:tx>
          <c:spPr>
            <a:solidFill>
              <a:schemeClr val="accent3">
                <a:lumMod val="80000"/>
              </a:schemeClr>
            </a:solidFill>
            <a:ln>
              <a:noFill/>
            </a:ln>
            <a:effectLst/>
          </c:spPr>
          <c:invertIfNegative val="0"/>
          <c:cat>
            <c:strRef>
              <c:f>'MI_2018-2050'!$A$34:$A$40</c:f>
              <c:strCache>
                <c:ptCount val="7"/>
                <c:pt idx="0">
                  <c:v>Row house</c:v>
                </c:pt>
                <c:pt idx="1">
                  <c:v>Detached house</c:v>
                </c:pt>
                <c:pt idx="2">
                  <c:v>Apartment</c:v>
                </c:pt>
                <c:pt idx="3">
                  <c:v>Office</c:v>
                </c:pt>
                <c:pt idx="4">
                  <c:v>Industry</c:v>
                </c:pt>
                <c:pt idx="5">
                  <c:v>Services</c:v>
                </c:pt>
                <c:pt idx="6">
                  <c:v>Shop</c:v>
                </c:pt>
              </c:strCache>
            </c:strRef>
          </c:cat>
          <c:val>
            <c:numRef>
              <c:f>'MI_2018-2050'!$V$34:$V$40</c:f>
              <c:numCache>
                <c:formatCode>0.0</c:formatCode>
                <c:ptCount val="7"/>
                <c:pt idx="0">
                  <c:v>128.72946859903382</c:v>
                </c:pt>
                <c:pt idx="1">
                  <c:v>99.507462686567166</c:v>
                </c:pt>
                <c:pt idx="2">
                  <c:v>30.114130434782606</c:v>
                </c:pt>
                <c:pt idx="3">
                  <c:v>37.400369003690031</c:v>
                </c:pt>
                <c:pt idx="4">
                  <c:v>19.622448979591837</c:v>
                </c:pt>
                <c:pt idx="5">
                  <c:v>12.87199124726477</c:v>
                </c:pt>
                <c:pt idx="6">
                  <c:v>13.505494505494504</c:v>
                </c:pt>
              </c:numCache>
            </c:numRef>
          </c:val>
          <c:extLst>
            <c:ext xmlns:c16="http://schemas.microsoft.com/office/drawing/2014/chart" uri="{C3380CC4-5D6E-409C-BE32-E72D297353CC}">
              <c16:uniqueId val="{00000014-EA0E-1649-8A9F-5C00A8427D8C}"/>
            </c:ext>
          </c:extLst>
        </c:ser>
        <c:dLbls>
          <c:showLegendKey val="0"/>
          <c:showVal val="0"/>
          <c:showCatName val="0"/>
          <c:showSerName val="0"/>
          <c:showPercent val="0"/>
          <c:showBubbleSize val="0"/>
        </c:dLbls>
        <c:gapWidth val="150"/>
        <c:overlap val="100"/>
        <c:axId val="1739445824"/>
        <c:axId val="1750481456"/>
      </c:barChart>
      <c:catAx>
        <c:axId val="173944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481456"/>
        <c:crosses val="autoZero"/>
        <c:auto val="1"/>
        <c:lblAlgn val="ctr"/>
        <c:lblOffset val="100"/>
        <c:noMultiLvlLbl val="0"/>
      </c:catAx>
      <c:valAx>
        <c:axId val="17504814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44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01544769635514"/>
          <c:y val="4.20442093205722E-2"/>
          <c:w val="0.60687620009847287"/>
          <c:h val="0.72968334472479546"/>
        </c:manualLayout>
      </c:layout>
      <c:barChart>
        <c:barDir val="col"/>
        <c:grouping val="stacked"/>
        <c:varyColors val="0"/>
        <c:ser>
          <c:idx val="5"/>
          <c:order val="0"/>
          <c:tx>
            <c:strRef>
              <c:f>[1]Demand_outflow_recycled!$D$25</c:f>
              <c:strCache>
                <c:ptCount val="1"/>
                <c:pt idx="0">
                  <c:v>Concrete</c:v>
                </c:pt>
              </c:strCache>
            </c:strRef>
          </c:tx>
          <c:spPr>
            <a:solidFill>
              <a:srgbClr val="4E7EA6"/>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[1]Demand_outflow_recycled!$D$26:$D$34</c:f>
              <c:numCache>
                <c:formatCode>General</c:formatCode>
                <c:ptCount val="9"/>
                <c:pt idx="0">
                  <c:v>366813981.51889849</c:v>
                </c:pt>
                <c:pt idx="1">
                  <c:v>141154541.91299999</c:v>
                </c:pt>
                <c:pt idx="2">
                  <c:v>63590121.131806493</c:v>
                </c:pt>
                <c:pt idx="3">
                  <c:v>120809984.73808014</c:v>
                </c:pt>
                <c:pt idx="4">
                  <c:v>141154541.91299999</c:v>
                </c:pt>
                <c:pt idx="5">
                  <c:v>44699694.353089653</c:v>
                </c:pt>
                <c:pt idx="6">
                  <c:v>173615030.8849197</c:v>
                </c:pt>
                <c:pt idx="7">
                  <c:v>141154541.91299999</c:v>
                </c:pt>
                <c:pt idx="8">
                  <c:v>63590121.131806493</c:v>
                </c:pt>
              </c:numCache>
            </c:numRef>
          </c:val>
          <c:extLst>
            <c:ext xmlns:c16="http://schemas.microsoft.com/office/drawing/2014/chart" uri="{C3380CC4-5D6E-409C-BE32-E72D297353CC}">
              <c16:uniqueId val="{00000000-2D97-4C48-924F-BE4B5D966392}"/>
            </c:ext>
          </c:extLst>
        </c:ser>
        <c:ser>
          <c:idx val="7"/>
          <c:order val="1"/>
          <c:tx>
            <c:strRef>
              <c:f>[1]Demand_outflow_recycled!$E$25</c:f>
              <c:strCache>
                <c:ptCount val="1"/>
                <c:pt idx="0">
                  <c:v>Other construction materials</c:v>
                </c:pt>
              </c:strCache>
            </c:strRef>
          </c:tx>
          <c:spPr>
            <a:solidFill>
              <a:srgbClr val="8DAEC9"/>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[1]Demand_outflow_recycled!$E$26:$E$34</c:f>
              <c:numCache>
                <c:formatCode>General</c:formatCode>
                <c:ptCount val="9"/>
                <c:pt idx="0">
                  <c:v>35650261.356656238</c:v>
                </c:pt>
                <c:pt idx="1">
                  <c:v>38985621.222899996</c:v>
                </c:pt>
                <c:pt idx="2">
                  <c:v>13190596.70196281</c:v>
                </c:pt>
                <c:pt idx="3">
                  <c:v>36173560.571772642</c:v>
                </c:pt>
                <c:pt idx="4">
                  <c:v>38985621.222899996</c:v>
                </c:pt>
                <c:pt idx="5">
                  <c:v>13384217.411555881</c:v>
                </c:pt>
                <c:pt idx="6">
                  <c:v>30953690.512642734</c:v>
                </c:pt>
                <c:pt idx="7">
                  <c:v>38985621.222899996</c:v>
                </c:pt>
                <c:pt idx="8">
                  <c:v>11452865.489677809</c:v>
                </c:pt>
              </c:numCache>
            </c:numRef>
          </c:val>
          <c:extLst>
            <c:ext xmlns:c16="http://schemas.microsoft.com/office/drawing/2014/chart" uri="{C3380CC4-5D6E-409C-BE32-E72D297353CC}">
              <c16:uniqueId val="{00000001-2D97-4C48-924F-BE4B5D966392}"/>
            </c:ext>
          </c:extLst>
        </c:ser>
        <c:ser>
          <c:idx val="6"/>
          <c:order val="2"/>
          <c:tx>
            <c:strRef>
              <c:f>[1]Demand_outflow_recycled!$F$25</c:f>
              <c:strCache>
                <c:ptCount val="1"/>
                <c:pt idx="0">
                  <c:v>Clay brick</c:v>
                </c:pt>
              </c:strCache>
            </c:strRef>
          </c:tx>
          <c:spPr>
            <a:solidFill>
              <a:srgbClr val="6CEAC0"/>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[1]Demand_outflow_recycled!$F$26:$F$34</c:f>
              <c:numCache>
                <c:formatCode>General</c:formatCode>
                <c:ptCount val="9"/>
                <c:pt idx="0">
                  <c:v>51212318.121497348</c:v>
                </c:pt>
                <c:pt idx="1">
                  <c:v>10141069.62094</c:v>
                </c:pt>
                <c:pt idx="2">
                  <c:v>9634016.1398929991</c:v>
                </c:pt>
                <c:pt idx="3">
                  <c:v>13721915.138128513</c:v>
                </c:pt>
                <c:pt idx="4">
                  <c:v>10141069.62094</c:v>
                </c:pt>
                <c:pt idx="5">
                  <c:v>3430478.7845321279</c:v>
                </c:pt>
                <c:pt idx="6">
                  <c:v>24470691.298573297</c:v>
                </c:pt>
                <c:pt idx="7">
                  <c:v>10141069.62094</c:v>
                </c:pt>
                <c:pt idx="8">
                  <c:v>6117672.8246433241</c:v>
                </c:pt>
              </c:numCache>
            </c:numRef>
          </c:val>
          <c:extLst>
            <c:ext xmlns:c16="http://schemas.microsoft.com/office/drawing/2014/chart" uri="{C3380CC4-5D6E-409C-BE32-E72D297353CC}">
              <c16:uniqueId val="{00000002-2D97-4C48-924F-BE4B5D966392}"/>
            </c:ext>
          </c:extLst>
        </c:ser>
        <c:ser>
          <c:idx val="0"/>
          <c:order val="3"/>
          <c:tx>
            <c:strRef>
              <c:f>[1]Demand_outflow_recycled!$G$25</c:f>
              <c:strCache>
                <c:ptCount val="1"/>
                <c:pt idx="0">
                  <c:v>Steel &amp; iron</c:v>
                </c:pt>
              </c:strCache>
            </c:strRef>
          </c:tx>
          <c:spPr>
            <a:solidFill>
              <a:srgbClr val="89CBCD"/>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[1]Demand_outflow_recycled!$G$26:$G$34</c:f>
              <c:numCache>
                <c:formatCode>General</c:formatCode>
                <c:ptCount val="9"/>
                <c:pt idx="0">
                  <c:v>8309761.2027299423</c:v>
                </c:pt>
                <c:pt idx="1">
                  <c:v>6707692.6607100004</c:v>
                </c:pt>
                <c:pt idx="2">
                  <c:v>6372308.0276744999</c:v>
                </c:pt>
                <c:pt idx="3">
                  <c:v>4596200.9979896126</c:v>
                </c:pt>
                <c:pt idx="4">
                  <c:v>6707692.6607100004</c:v>
                </c:pt>
                <c:pt idx="5">
                  <c:v>4596200.9979896126</c:v>
                </c:pt>
                <c:pt idx="6">
                  <c:v>6965872.6384671424</c:v>
                </c:pt>
                <c:pt idx="7">
                  <c:v>6707692.6607100004</c:v>
                </c:pt>
                <c:pt idx="8">
                  <c:v>6372308.0276744999</c:v>
                </c:pt>
              </c:numCache>
            </c:numRef>
          </c:val>
          <c:extLst>
            <c:ext xmlns:c16="http://schemas.microsoft.com/office/drawing/2014/chart" uri="{C3380CC4-5D6E-409C-BE32-E72D297353CC}">
              <c16:uniqueId val="{00000003-2D97-4C48-924F-BE4B5D966392}"/>
            </c:ext>
          </c:extLst>
        </c:ser>
        <c:ser>
          <c:idx val="1"/>
          <c:order val="4"/>
          <c:tx>
            <c:strRef>
              <c:f>[1]Demand_outflow_recycled!$H$25</c:f>
              <c:strCache>
                <c:ptCount val="1"/>
                <c:pt idx="0">
                  <c:v>Copper</c:v>
                </c:pt>
              </c:strCache>
            </c:strRef>
          </c:tx>
          <c:spPr>
            <a:solidFill>
              <a:srgbClr val="8BA975"/>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[1]Demand_outflow_recycled!$H$26:$H$34</c:f>
              <c:numCache>
                <c:formatCode>General</c:formatCode>
                <c:ptCount val="9"/>
                <c:pt idx="0">
                  <c:v>142195.34524178933</c:v>
                </c:pt>
                <c:pt idx="1">
                  <c:v>46254.969896400005</c:v>
                </c:pt>
                <c:pt idx="2">
                  <c:v>43942.221401580013</c:v>
                </c:pt>
                <c:pt idx="3">
                  <c:v>142195.34524178933</c:v>
                </c:pt>
                <c:pt idx="4">
                  <c:v>46254.969896400005</c:v>
                </c:pt>
                <c:pt idx="5">
                  <c:v>43942.221401580013</c:v>
                </c:pt>
                <c:pt idx="6">
                  <c:v>142195.34524178933</c:v>
                </c:pt>
                <c:pt idx="7">
                  <c:v>46254.969896400005</c:v>
                </c:pt>
                <c:pt idx="8">
                  <c:v>43942.221401580013</c:v>
                </c:pt>
              </c:numCache>
            </c:numRef>
          </c:val>
          <c:extLst>
            <c:ext xmlns:c16="http://schemas.microsoft.com/office/drawing/2014/chart" uri="{C3380CC4-5D6E-409C-BE32-E72D297353CC}">
              <c16:uniqueId val="{00000004-2D97-4C48-924F-BE4B5D966392}"/>
            </c:ext>
          </c:extLst>
        </c:ser>
        <c:ser>
          <c:idx val="2"/>
          <c:order val="5"/>
          <c:tx>
            <c:strRef>
              <c:f>[1]Demand_outflow_recycled!$I$25</c:f>
              <c:strCache>
                <c:ptCount val="1"/>
                <c:pt idx="0">
                  <c:v>Aluminum</c:v>
                </c:pt>
              </c:strCache>
            </c:strRef>
          </c:tx>
          <c:spPr>
            <a:solidFill>
              <a:srgbClr val="D8C572"/>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[1]Demand_outflow_recycled!$I$26:$I$34</c:f>
              <c:numCache>
                <c:formatCode>General</c:formatCode>
                <c:ptCount val="9"/>
                <c:pt idx="0">
                  <c:v>513572.41971872188</c:v>
                </c:pt>
                <c:pt idx="1">
                  <c:v>217648.67217099998</c:v>
                </c:pt>
                <c:pt idx="2">
                  <c:v>206766.23856244999</c:v>
                </c:pt>
                <c:pt idx="3">
                  <c:v>342985.32054930454</c:v>
                </c:pt>
                <c:pt idx="4">
                  <c:v>217648.67217099998</c:v>
                </c:pt>
                <c:pt idx="5">
                  <c:v>206766.23856244999</c:v>
                </c:pt>
                <c:pt idx="6">
                  <c:v>340545.81260664924</c:v>
                </c:pt>
                <c:pt idx="7">
                  <c:v>217648.67217099998</c:v>
                </c:pt>
                <c:pt idx="8">
                  <c:v>206766.23856244999</c:v>
                </c:pt>
              </c:numCache>
            </c:numRef>
          </c:val>
          <c:extLst>
            <c:ext xmlns:c16="http://schemas.microsoft.com/office/drawing/2014/chart" uri="{C3380CC4-5D6E-409C-BE32-E72D297353CC}">
              <c16:uniqueId val="{00000005-2D97-4C48-924F-BE4B5D966392}"/>
            </c:ext>
          </c:extLst>
        </c:ser>
        <c:ser>
          <c:idx val="3"/>
          <c:order val="6"/>
          <c:tx>
            <c:strRef>
              <c:f>[1]Demand_outflow_recycled!$J$25</c:f>
              <c:strCache>
                <c:ptCount val="1"/>
                <c:pt idx="0">
                  <c:v>Other metals</c:v>
                </c:pt>
              </c:strCache>
            </c:strRef>
          </c:tx>
          <c:spPr>
            <a:solidFill>
              <a:srgbClr val="E6A264"/>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[1]Demand_outflow_recycled!$J$26:$J$34</c:f>
              <c:numCache>
                <c:formatCode>General</c:formatCode>
                <c:ptCount val="9"/>
                <c:pt idx="0">
                  <c:v>49651.048453446921</c:v>
                </c:pt>
                <c:pt idx="1">
                  <c:v>145576.02634450002</c:v>
                </c:pt>
                <c:pt idx="2">
                  <c:v>49651.048453446921</c:v>
                </c:pt>
                <c:pt idx="3">
                  <c:v>45105.889522897189</c:v>
                </c:pt>
                <c:pt idx="4">
                  <c:v>145576.02634450002</c:v>
                </c:pt>
                <c:pt idx="5">
                  <c:v>45105.889522897189</c:v>
                </c:pt>
                <c:pt idx="6">
                  <c:v>49533.205986693189</c:v>
                </c:pt>
                <c:pt idx="7">
                  <c:v>145576.02634450002</c:v>
                </c:pt>
                <c:pt idx="8">
                  <c:v>49533.205986693189</c:v>
                </c:pt>
              </c:numCache>
            </c:numRef>
          </c:val>
          <c:extLst>
            <c:ext xmlns:c16="http://schemas.microsoft.com/office/drawing/2014/chart" uri="{C3380CC4-5D6E-409C-BE32-E72D297353CC}">
              <c16:uniqueId val="{00000006-2D97-4C48-924F-BE4B5D966392}"/>
            </c:ext>
          </c:extLst>
        </c:ser>
        <c:ser>
          <c:idx val="4"/>
          <c:order val="7"/>
          <c:tx>
            <c:strRef>
              <c:f>[1]Demand_outflow_recycled!$K$25</c:f>
              <c:strCache>
                <c:ptCount val="1"/>
                <c:pt idx="0">
                  <c:v>Wood</c:v>
                </c:pt>
              </c:strCache>
            </c:strRef>
          </c:tx>
          <c:spPr>
            <a:solidFill>
              <a:srgbClr val="BF6B1F"/>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[1]Demand_outflow_recycled!$K$26:$K$34</c:f>
              <c:numCache>
                <c:formatCode>General</c:formatCode>
                <c:ptCount val="9"/>
                <c:pt idx="0">
                  <c:v>17485146.313779932</c:v>
                </c:pt>
                <c:pt idx="1">
                  <c:v>3140290.2836499996</c:v>
                </c:pt>
                <c:pt idx="2">
                  <c:v>2983275.7694675</c:v>
                </c:pt>
                <c:pt idx="3">
                  <c:v>57807878.325695544</c:v>
                </c:pt>
                <c:pt idx="4">
                  <c:v>3140290.2836499996</c:v>
                </c:pt>
                <c:pt idx="5">
                  <c:v>2983275.7694675</c:v>
                </c:pt>
                <c:pt idx="6">
                  <c:v>24073298.608270951</c:v>
                </c:pt>
                <c:pt idx="7">
                  <c:v>3140290.2836499996</c:v>
                </c:pt>
                <c:pt idx="8">
                  <c:v>2983275.7694675</c:v>
                </c:pt>
              </c:numCache>
            </c:numRef>
          </c:val>
          <c:extLst>
            <c:ext xmlns:c16="http://schemas.microsoft.com/office/drawing/2014/chart" uri="{C3380CC4-5D6E-409C-BE32-E72D297353CC}">
              <c16:uniqueId val="{00000007-2D97-4C48-924F-BE4B5D966392}"/>
            </c:ext>
          </c:extLst>
        </c:ser>
        <c:ser>
          <c:idx val="8"/>
          <c:order val="8"/>
          <c:tx>
            <c:strRef>
              <c:f>[1]Demand_outflow_recycled!$L$25</c:f>
              <c:strCache>
                <c:ptCount val="1"/>
                <c:pt idx="0">
                  <c:v>Glass</c:v>
                </c:pt>
              </c:strCache>
            </c:strRef>
          </c:tx>
          <c:spPr>
            <a:solidFill>
              <a:srgbClr val="AC1F10"/>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[1]Demand_outflow_recycled!$L$26:$L$34</c:f>
              <c:numCache>
                <c:formatCode>General</c:formatCode>
                <c:ptCount val="9"/>
                <c:pt idx="0">
                  <c:v>2331258.4809745275</c:v>
                </c:pt>
                <c:pt idx="1">
                  <c:v>496943.10682099999</c:v>
                </c:pt>
                <c:pt idx="2">
                  <c:v>161483.75852695861</c:v>
                </c:pt>
                <c:pt idx="3">
                  <c:v>2331258.4809745275</c:v>
                </c:pt>
                <c:pt idx="4">
                  <c:v>496943.10682099999</c:v>
                </c:pt>
                <c:pt idx="5">
                  <c:v>225942.48503887499</c:v>
                </c:pt>
                <c:pt idx="6">
                  <c:v>2331258.4809745275</c:v>
                </c:pt>
                <c:pt idx="7">
                  <c:v>496943.10682099999</c:v>
                </c:pt>
                <c:pt idx="8">
                  <c:v>225942.48503887499</c:v>
                </c:pt>
              </c:numCache>
            </c:numRef>
          </c:val>
          <c:extLst>
            <c:ext xmlns:c16="http://schemas.microsoft.com/office/drawing/2014/chart" uri="{C3380CC4-5D6E-409C-BE32-E72D297353CC}">
              <c16:uniqueId val="{00000008-2D97-4C48-924F-BE4B5D966392}"/>
            </c:ext>
          </c:extLst>
        </c:ser>
        <c:ser>
          <c:idx val="10"/>
          <c:order val="9"/>
          <c:tx>
            <c:strRef>
              <c:f>[1]Demand_outflow_recycled!$M$25</c:f>
              <c:strCache>
                <c:ptCount val="1"/>
                <c:pt idx="0">
                  <c:v>Ceramics</c:v>
                </c:pt>
              </c:strCache>
            </c:strRef>
          </c:tx>
          <c:spPr>
            <a:solidFill>
              <a:srgbClr val="CC706E"/>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[1]Demand_outflow_recycled!$M$26:$M$34</c:f>
              <c:numCache>
                <c:formatCode>General</c:formatCode>
                <c:ptCount val="9"/>
                <c:pt idx="0">
                  <c:v>2974185.5658667972</c:v>
                </c:pt>
                <c:pt idx="1">
                  <c:v>523972.77852670004</c:v>
                </c:pt>
                <c:pt idx="2">
                  <c:v>472095.95147994999</c:v>
                </c:pt>
                <c:pt idx="3">
                  <c:v>2974185.5658667972</c:v>
                </c:pt>
                <c:pt idx="4">
                  <c:v>523972.77852670004</c:v>
                </c:pt>
                <c:pt idx="5">
                  <c:v>472095.95147994999</c:v>
                </c:pt>
                <c:pt idx="6">
                  <c:v>2974185.5658667972</c:v>
                </c:pt>
                <c:pt idx="7">
                  <c:v>523972.77852670004</c:v>
                </c:pt>
                <c:pt idx="8">
                  <c:v>472095.95147994999</c:v>
                </c:pt>
              </c:numCache>
            </c:numRef>
          </c:val>
          <c:extLst>
            <c:ext xmlns:c16="http://schemas.microsoft.com/office/drawing/2014/chart" uri="{C3380CC4-5D6E-409C-BE32-E72D297353CC}">
              <c16:uniqueId val="{00000009-2D97-4C48-924F-BE4B5D966392}"/>
            </c:ext>
          </c:extLst>
        </c:ser>
        <c:ser>
          <c:idx val="11"/>
          <c:order val="10"/>
          <c:tx>
            <c:strRef>
              <c:f>[1]Demand_outflow_recycled!$N$25</c:f>
              <c:strCache>
                <c:ptCount val="1"/>
                <c:pt idx="0">
                  <c:v>Plastics</c:v>
                </c:pt>
              </c:strCache>
            </c:strRef>
          </c:tx>
          <c:spPr>
            <a:solidFill>
              <a:srgbClr val="A6A6A6"/>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[1]Demand_outflow_recycled!$N$26:$N$34</c:f>
              <c:numCache>
                <c:formatCode>General</c:formatCode>
                <c:ptCount val="9"/>
                <c:pt idx="0">
                  <c:v>838200.16560693912</c:v>
                </c:pt>
                <c:pt idx="1">
                  <c:v>178343.75918200001</c:v>
                </c:pt>
                <c:pt idx="2">
                  <c:v>160509.3832638</c:v>
                </c:pt>
                <c:pt idx="3">
                  <c:v>855982.58819151332</c:v>
                </c:pt>
                <c:pt idx="4">
                  <c:v>178343.75918200001</c:v>
                </c:pt>
                <c:pt idx="5">
                  <c:v>160509.3832638</c:v>
                </c:pt>
                <c:pt idx="6">
                  <c:v>919257.85863103438</c:v>
                </c:pt>
                <c:pt idx="7">
                  <c:v>178343.75918200001</c:v>
                </c:pt>
                <c:pt idx="8">
                  <c:v>160509.3832638</c:v>
                </c:pt>
              </c:numCache>
            </c:numRef>
          </c:val>
          <c:extLst>
            <c:ext xmlns:c16="http://schemas.microsoft.com/office/drawing/2014/chart" uri="{C3380CC4-5D6E-409C-BE32-E72D297353CC}">
              <c16:uniqueId val="{0000000A-2D97-4C48-924F-BE4B5D966392}"/>
            </c:ext>
          </c:extLst>
        </c:ser>
        <c:ser>
          <c:idx val="9"/>
          <c:order val="11"/>
          <c:tx>
            <c:strRef>
              <c:f>[1]Demand_outflow_recycled!$O$25</c:f>
              <c:strCache>
                <c:ptCount val="1"/>
                <c:pt idx="0">
                  <c:v>Insulation</c:v>
                </c:pt>
              </c:strCache>
            </c:strRef>
          </c:tx>
          <c:spPr>
            <a:solidFill>
              <a:srgbClr val="B3A2C7"/>
            </a:solidFill>
            <a:ln>
              <a:noFill/>
            </a:ln>
            <a:effectLst/>
          </c:spPr>
          <c:invertIfNegative val="0"/>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[1]Demand_outflow_recycled!$O$26:$O$34</c:f>
              <c:numCache>
                <c:formatCode>General</c:formatCode>
                <c:ptCount val="9"/>
                <c:pt idx="0">
                  <c:v>4984066.6212024251</c:v>
                </c:pt>
                <c:pt idx="1">
                  <c:v>1521498.21575</c:v>
                </c:pt>
                <c:pt idx="2">
                  <c:v>4414014.7522290908</c:v>
                </c:pt>
                <c:pt idx="3">
                  <c:v>3681045.6087662792</c:v>
                </c:pt>
                <c:pt idx="4">
                  <c:v>1521498.21575</c:v>
                </c:pt>
                <c:pt idx="5">
                  <c:v>4419739.7062548539</c:v>
                </c:pt>
                <c:pt idx="6">
                  <c:v>3311905.7275544922</c:v>
                </c:pt>
                <c:pt idx="7">
                  <c:v>1521498.21575</c:v>
                </c:pt>
                <c:pt idx="8">
                  <c:v>4424167.0227186503</c:v>
                </c:pt>
              </c:numCache>
            </c:numRef>
          </c:val>
          <c:extLst>
            <c:ext xmlns:c16="http://schemas.microsoft.com/office/drawing/2014/chart" uri="{C3380CC4-5D6E-409C-BE32-E72D297353CC}">
              <c16:uniqueId val="{0000000B-2D97-4C48-924F-BE4B5D966392}"/>
            </c:ext>
          </c:extLst>
        </c:ser>
        <c:ser>
          <c:idx val="12"/>
          <c:order val="12"/>
          <c:tx>
            <c:strRef>
              <c:f>[1]Demand_outflow_recycled!$P$25</c:f>
              <c:strCache>
                <c:ptCount val="1"/>
                <c:pt idx="0">
                  <c:v>Other</c:v>
                </c:pt>
              </c:strCache>
            </c:strRef>
          </c:tx>
          <c:spPr>
            <a:solidFill>
              <a:srgbClr val="948A54"/>
            </a:solidFill>
            <a:ln>
              <a:noFill/>
            </a:ln>
            <a:effectLst/>
          </c:spPr>
          <c:invertIfNegative val="0"/>
          <c:dLbls>
            <c:dLbl>
              <c:idx val="0"/>
              <c:delete val="1"/>
              <c:extLst>
                <c:ext xmlns:c15="http://schemas.microsoft.com/office/drawing/2012/chart" uri="{CE6537A1-D6FC-4f65-9D91-7224C49458BB}">
                  <c15:layout>
                    <c:manualLayout>
                      <c:w val="4.807138416908413E-2"/>
                      <c:h val="6.0787488562741826E-2"/>
                    </c:manualLayout>
                  </c15:layout>
                </c:ext>
                <c:ext xmlns:c16="http://schemas.microsoft.com/office/drawing/2014/chart" uri="{C3380CC4-5D6E-409C-BE32-E72D297353CC}">
                  <c16:uniqueId val="{0000000C-2D97-4C48-924F-BE4B5D966392}"/>
                </c:ext>
              </c:extLst>
            </c:dLbl>
            <c:dLbl>
              <c:idx val="1"/>
              <c:delete val="1"/>
              <c:extLst>
                <c:ext xmlns:c15="http://schemas.microsoft.com/office/drawing/2012/chart" uri="{CE6537A1-D6FC-4f65-9D91-7224C49458BB}">
                  <c15:layout>
                    <c:manualLayout>
                      <c:w val="4.4708753511074277E-2"/>
                      <c:h val="4.6813909681093009E-2"/>
                    </c:manualLayout>
                  </c15:layout>
                </c:ext>
                <c:ext xmlns:c16="http://schemas.microsoft.com/office/drawing/2014/chart" uri="{C3380CC4-5D6E-409C-BE32-E72D297353CC}">
                  <c16:uniqueId val="{0000000D-2D97-4C48-924F-BE4B5D966392}"/>
                </c:ext>
              </c:extLst>
            </c:dLbl>
            <c:dLbl>
              <c:idx val="2"/>
              <c:delete val="1"/>
              <c:extLst>
                <c:ext xmlns:c15="http://schemas.microsoft.com/office/drawing/2012/chart" uri="{CE6537A1-D6FC-4f65-9D91-7224C49458BB}">
                  <c15:layout>
                    <c:manualLayout>
                      <c:w val="4.5439805221715708E-2"/>
                      <c:h val="4.6814031207815486E-2"/>
                    </c:manualLayout>
                  </c15:layout>
                </c:ext>
                <c:ext xmlns:c16="http://schemas.microsoft.com/office/drawing/2014/chart" uri="{C3380CC4-5D6E-409C-BE32-E72D297353CC}">
                  <c16:uniqueId val="{0000000E-2D97-4C48-924F-BE4B5D966392}"/>
                </c:ext>
              </c:extLst>
            </c:dLbl>
            <c:dLbl>
              <c:idx val="3"/>
              <c:delete val="1"/>
              <c:extLst>
                <c:ext xmlns:c15="http://schemas.microsoft.com/office/drawing/2012/chart" uri="{CE6537A1-D6FC-4f65-9D91-7224C49458BB}">
                  <c15:layout>
                    <c:manualLayout>
                      <c:w val="4.9679513744992389E-2"/>
                      <c:h val="6.4305086553887433E-2"/>
                    </c:manualLayout>
                  </c15:layout>
                </c:ext>
                <c:ext xmlns:c16="http://schemas.microsoft.com/office/drawing/2014/chart" uri="{C3380CC4-5D6E-409C-BE32-E72D297353CC}">
                  <c16:uniqueId val="{0000000F-2D97-4C48-924F-BE4B5D966392}"/>
                </c:ext>
              </c:extLst>
            </c:dLbl>
            <c:dLbl>
              <c:idx val="4"/>
              <c:delete val="1"/>
              <c:extLst>
                <c:ext xmlns:c15="http://schemas.microsoft.com/office/drawing/2012/chart" uri="{CE6537A1-D6FC-4f65-9D91-7224C49458BB}">
                  <c15:layout>
                    <c:manualLayout>
                      <c:w val="4.6901678408619973E-2"/>
                      <c:h val="5.9766597872157094E-2"/>
                    </c:manualLayout>
                  </c15:layout>
                </c:ext>
                <c:ext xmlns:c16="http://schemas.microsoft.com/office/drawing/2014/chart" uri="{C3380CC4-5D6E-409C-BE32-E72D297353CC}">
                  <c16:uniqueId val="{00000010-2D97-4C48-924F-BE4B5D966392}"/>
                </c:ext>
              </c:extLst>
            </c:dLbl>
            <c:dLbl>
              <c:idx val="5"/>
              <c:delete val="1"/>
              <c:extLst>
                <c:ext xmlns:c15="http://schemas.microsoft.com/office/drawing/2012/chart" uri="{CE6537A1-D6FC-4f65-9D91-7224C49458BB}">
                  <c15:layout>
                    <c:manualLayout>
                      <c:w val="4.807138416908413E-2"/>
                      <c:h val="5.0290342235589057E-2"/>
                    </c:manualLayout>
                  </c15:layout>
                </c:ext>
                <c:ext xmlns:c16="http://schemas.microsoft.com/office/drawing/2014/chart" uri="{C3380CC4-5D6E-409C-BE32-E72D297353CC}">
                  <c16:uniqueId val="{00000011-2D97-4C48-924F-BE4B5D966392}"/>
                </c:ext>
              </c:extLst>
            </c:dLbl>
            <c:numFmt formatCode="0.00E+00" sourceLinked="0"/>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[1]Demand_outflow_recycled!$P$26:$P$34</c:f>
              <c:numCache>
                <c:formatCode>General</c:formatCode>
                <c:ptCount val="9"/>
                <c:pt idx="0">
                  <c:v>927122.10934046446</c:v>
                </c:pt>
                <c:pt idx="1">
                  <c:v>273957.79631700006</c:v>
                </c:pt>
                <c:pt idx="2">
                  <c:v>0</c:v>
                </c:pt>
                <c:pt idx="3">
                  <c:v>1254830.0946821314</c:v>
                </c:pt>
                <c:pt idx="4">
                  <c:v>273957.79631700006</c:v>
                </c:pt>
                <c:pt idx="5">
                  <c:v>0</c:v>
                </c:pt>
                <c:pt idx="6">
                  <c:v>903266.78228112566</c:v>
                </c:pt>
                <c:pt idx="7">
                  <c:v>273957.79631700006</c:v>
                </c:pt>
                <c:pt idx="8">
                  <c:v>0</c:v>
                </c:pt>
              </c:numCache>
            </c:numRef>
          </c:val>
          <c:extLst>
            <c:ext xmlns:c16="http://schemas.microsoft.com/office/drawing/2014/chart" uri="{C3380CC4-5D6E-409C-BE32-E72D297353CC}">
              <c16:uniqueId val="{00000012-2D97-4C48-924F-BE4B5D966392}"/>
            </c:ext>
          </c:extLst>
        </c:ser>
        <c:ser>
          <c:idx val="13"/>
          <c:order val="13"/>
          <c:tx>
            <c:strRef>
              <c:f>[1]Demand_outflow_recycled!$Q$25</c:f>
              <c:strCache>
                <c:ptCount val="1"/>
                <c:pt idx="0">
                  <c:v>Other biobased materials</c:v>
                </c:pt>
              </c:strCache>
            </c:strRef>
          </c:tx>
          <c:spPr>
            <a:solidFill>
              <a:schemeClr val="accent6">
                <a:lumMod val="75000"/>
              </a:schemeClr>
            </a:solidFill>
            <a:ln>
              <a:noFill/>
            </a:ln>
            <a:effectLst/>
          </c:spPr>
          <c:invertIfNegative val="0"/>
          <c:errBars>
            <c:errBarType val="both"/>
            <c:errValType val="cust"/>
            <c:noEndCap val="0"/>
            <c:plus>
              <c:numRef>
                <c:f>Demand_outflow_recycled!$W$26:$W$34</c:f>
                <c:numCache>
                  <c:formatCode>General</c:formatCode>
                  <c:ptCount val="9"/>
                  <c:pt idx="2">
                    <c:v>73499382.424408734</c:v>
                  </c:pt>
                  <c:pt idx="5">
                    <c:v>639624.27176764607</c:v>
                  </c:pt>
                  <c:pt idx="8">
                    <c:v>1622449.2004169375</c:v>
                  </c:pt>
                </c:numCache>
              </c:numRef>
            </c:plus>
            <c:minus>
              <c:numRef>
                <c:f>Demand_outflow_recycled!$V$26:$V$34</c:f>
                <c:numCache>
                  <c:formatCode>General</c:formatCode>
                  <c:ptCount val="9"/>
                  <c:pt idx="2">
                    <c:v>38848044.304433033</c:v>
                  </c:pt>
                  <c:pt idx="5">
                    <c:v>13689023.034061581</c:v>
                  </c:pt>
                  <c:pt idx="8">
                    <c:v>33670676.564047068</c:v>
                  </c:pt>
                </c:numCache>
              </c:numRef>
            </c:minus>
            <c:spPr>
              <a:ln w="12700"/>
            </c:spPr>
          </c:errBars>
          <c:cat>
            <c:multiLvlStrRef>
              <c:f>[1]Demand_outflow_recycled!$B$26:$C$34</c:f>
              <c:multiLvlStrCache>
                <c:ptCount val="9"/>
                <c:lvl>
                  <c:pt idx="0">
                    <c:v>Demand</c:v>
                  </c:pt>
                  <c:pt idx="1">
                    <c:v>Outflow</c:v>
                  </c:pt>
                  <c:pt idx="2">
                    <c:v>Secondary</c:v>
                  </c:pt>
                  <c:pt idx="3">
                    <c:v>Demand</c:v>
                  </c:pt>
                  <c:pt idx="4">
                    <c:v>Outflow</c:v>
                  </c:pt>
                  <c:pt idx="5">
                    <c:v>Secondary</c:v>
                  </c:pt>
                  <c:pt idx="6">
                    <c:v>Demand</c:v>
                  </c:pt>
                  <c:pt idx="7">
                    <c:v>Outflow</c:v>
                  </c:pt>
                  <c:pt idx="8">
                    <c:v>Secondary</c:v>
                  </c:pt>
                </c:lvl>
                <c:lvl>
                  <c:pt idx="0">
                    <c:v>Conventional</c:v>
                  </c:pt>
                  <c:pt idx="3">
                    <c:v>Biobased</c:v>
                  </c:pt>
                  <c:pt idx="6">
                    <c:v>Circular</c:v>
                  </c:pt>
                </c:lvl>
              </c:multiLvlStrCache>
            </c:multiLvlStrRef>
          </c:cat>
          <c:val>
            <c:numRef>
              <c:f>[1]Demand_outflow_recycled!$Q$26:$Q$34</c:f>
              <c:numCache>
                <c:formatCode>General</c:formatCode>
                <c:ptCount val="9"/>
                <c:pt idx="0">
                  <c:v>101327.10855100733</c:v>
                </c:pt>
                <c:pt idx="1">
                  <c:v>0</c:v>
                </c:pt>
                <c:pt idx="2">
                  <c:v>0</c:v>
                </c:pt>
                <c:pt idx="3">
                  <c:v>380362.19277958805</c:v>
                </c:pt>
                <c:pt idx="4">
                  <c:v>0</c:v>
                </c:pt>
                <c:pt idx="5">
                  <c:v>0</c:v>
                </c:pt>
                <c:pt idx="6">
                  <c:v>101327.10855100733</c:v>
                </c:pt>
                <c:pt idx="7">
                  <c:v>0</c:v>
                </c:pt>
                <c:pt idx="8">
                  <c:v>0</c:v>
                </c:pt>
              </c:numCache>
            </c:numRef>
          </c:val>
          <c:extLst>
            <c:ext xmlns:c16="http://schemas.microsoft.com/office/drawing/2014/chart" uri="{C3380CC4-5D6E-409C-BE32-E72D297353CC}">
              <c16:uniqueId val="{00000013-2D97-4C48-924F-BE4B5D966392}"/>
            </c:ext>
          </c:extLst>
        </c:ser>
        <c:dLbls>
          <c:showLegendKey val="0"/>
          <c:showVal val="0"/>
          <c:showCatName val="0"/>
          <c:showSerName val="0"/>
          <c:showPercent val="0"/>
          <c:showBubbleSize val="0"/>
        </c:dLbls>
        <c:gapWidth val="60"/>
        <c:overlap val="100"/>
        <c:axId val="1705881136"/>
        <c:axId val="1705882384"/>
      </c:barChart>
      <c:catAx>
        <c:axId val="1705881136"/>
        <c:scaling>
          <c:orientation val="minMax"/>
        </c:scaling>
        <c:delete val="0"/>
        <c:axPos val="b"/>
        <c:title>
          <c:tx>
            <c:rich>
              <a:bodyPr/>
              <a:lstStyle/>
              <a:p>
                <a:pPr>
                  <a:defRPr/>
                </a:pPr>
                <a:r>
                  <a:rPr lang="en-GB" b="1"/>
                  <a:t>Scenario</a:t>
                </a:r>
              </a:p>
            </c:rich>
          </c:tx>
          <c:overlay val="0"/>
        </c:title>
        <c:numFmt formatCode="General" sourceLinked="1"/>
        <c:majorTickMark val="none"/>
        <c:minorTickMark val="none"/>
        <c:tickLblPos val="nextTo"/>
        <c:spPr>
          <a:noFill/>
          <a:ln w="9525" cap="flat" cmpd="sng" algn="ctr">
            <a:solidFill>
              <a:schemeClr val="tx1"/>
            </a:solidFill>
            <a:round/>
          </a:ln>
          <a:effectLst/>
        </c:spPr>
        <c:txPr>
          <a:bodyPr rot="-60000000" vert="horz"/>
          <a:lstStyle/>
          <a:p>
            <a:pPr>
              <a:defRPr/>
            </a:pPr>
            <a:endParaRPr lang="en-US"/>
          </a:p>
        </c:txPr>
        <c:crossAx val="1705882384"/>
        <c:crosses val="autoZero"/>
        <c:auto val="1"/>
        <c:lblAlgn val="ctr"/>
        <c:lblOffset val="100"/>
        <c:noMultiLvlLbl val="0"/>
      </c:catAx>
      <c:valAx>
        <c:axId val="1705882384"/>
        <c:scaling>
          <c:orientation val="minMax"/>
        </c:scaling>
        <c:delete val="0"/>
        <c:axPos val="l"/>
        <c:title>
          <c:tx>
            <c:rich>
              <a:bodyPr/>
              <a:lstStyle/>
              <a:p>
                <a:pPr>
                  <a:defRPr/>
                </a:pPr>
                <a:r>
                  <a:rPr lang="en-GB" b="1"/>
                  <a:t>Material flow  (metric ton)</a:t>
                </a:r>
              </a:p>
            </c:rich>
          </c:tx>
          <c:overlay val="0"/>
        </c:title>
        <c:numFmt formatCode="0.00E+00" sourceLinked="0"/>
        <c:majorTickMark val="none"/>
        <c:minorTickMark val="none"/>
        <c:tickLblPos val="nextTo"/>
        <c:spPr>
          <a:noFill/>
          <a:ln>
            <a:solidFill>
              <a:schemeClr val="tx1"/>
            </a:solidFill>
          </a:ln>
          <a:effectLst/>
        </c:spPr>
        <c:txPr>
          <a:bodyPr rot="-60000000" vert="horz"/>
          <a:lstStyle/>
          <a:p>
            <a:pPr>
              <a:defRPr/>
            </a:pPr>
            <a:endParaRPr lang="en-US"/>
          </a:p>
        </c:txPr>
        <c:crossAx val="1705881136"/>
        <c:crosses val="autoZero"/>
        <c:crossBetween val="between"/>
      </c:valAx>
      <c:spPr>
        <a:ln>
          <a:solidFill>
            <a:schemeClr val="tx1"/>
          </a:solidFill>
        </a:ln>
      </c:spPr>
    </c:plotArea>
    <c:legend>
      <c:legendPos val="r"/>
      <c:layout>
        <c:manualLayout>
          <c:xMode val="edge"/>
          <c:yMode val="edge"/>
          <c:x val="0.73629846145637246"/>
          <c:y val="0.1572893794527738"/>
          <c:w val="0.26009014512986095"/>
          <c:h val="0.56969452004518573"/>
        </c:manualLayout>
      </c:layout>
      <c:overlay val="0"/>
    </c:legend>
    <c:plotVisOnly val="1"/>
    <c:dispBlanksAs val="gap"/>
    <c:showDLblsOverMax val="0"/>
    <c:extLst/>
  </c:chart>
  <c:spPr>
    <a:ln>
      <a:noFill/>
    </a:ln>
  </c:spPr>
  <c:txPr>
    <a:bodyPr/>
    <a:lstStyle/>
    <a:p>
      <a:pPr>
        <a:defRPr sz="1100" b="0">
          <a:latin typeface="Avenir Next LT Pro" panose="020B05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379730</xdr:colOff>
      <xdr:row>9</xdr:row>
      <xdr:rowOff>33020</xdr:rowOff>
    </xdr:from>
    <xdr:to>
      <xdr:col>8</xdr:col>
      <xdr:colOff>468630</xdr:colOff>
      <xdr:row>10</xdr:row>
      <xdr:rowOff>101600</xdr:rowOff>
    </xdr:to>
    <xdr:pic>
      <xdr:nvPicPr>
        <xdr:cNvPr id="2" name="Picture 1">
          <a:extLst>
            <a:ext uri="{FF2B5EF4-FFF2-40B4-BE49-F238E27FC236}">
              <a16:creationId xmlns:a16="http://schemas.microsoft.com/office/drawing/2014/main" id="{72D75D2A-8C96-4DA5-BE2C-278BE5F29A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8130" y="2566670"/>
          <a:ext cx="2527300" cy="252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57150</xdr:rowOff>
    </xdr:from>
    <xdr:to>
      <xdr:col>7</xdr:col>
      <xdr:colOff>254000</xdr:colOff>
      <xdr:row>3</xdr:row>
      <xdr:rowOff>177800</xdr:rowOff>
    </xdr:to>
    <xdr:pic>
      <xdr:nvPicPr>
        <xdr:cNvPr id="3" name="Picture 2" descr="esupp new graphic">
          <a:extLst>
            <a:ext uri="{FF2B5EF4-FFF2-40B4-BE49-F238E27FC236}">
              <a16:creationId xmlns:a16="http://schemas.microsoft.com/office/drawing/2014/main" id="{39430EC6-EB96-446E-8B5F-0DB3B69F54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41300"/>
          <a:ext cx="82359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xdr:row>
      <xdr:rowOff>114300</xdr:rowOff>
    </xdr:from>
    <xdr:to>
      <xdr:col>4</xdr:col>
      <xdr:colOff>342900</xdr:colOff>
      <xdr:row>7</xdr:row>
      <xdr:rowOff>25400</xdr:rowOff>
    </xdr:to>
    <xdr:pic>
      <xdr:nvPicPr>
        <xdr:cNvPr id="4" name="Object 5" hidden="1">
          <a:extLst>
            <a:ext uri="{FF2B5EF4-FFF2-40B4-BE49-F238E27FC236}">
              <a16:creationId xmlns:a16="http://schemas.microsoft.com/office/drawing/2014/main" id="{B0CBA980-E4FA-4F30-98F4-D2F6A0956F5B}"/>
            </a:ext>
          </a:extLst>
        </xdr:cNvPr>
        <xdr:cNvPicPr>
          <a:picLocks noChangeAspect="1"/>
        </xdr:cNvPicPr>
      </xdr:nvPicPr>
      <xdr:blipFill>
        <a:blip xmlns:r="http://schemas.openxmlformats.org/officeDocument/2006/relationships" r:embed="rId3"/>
        <a:stretch>
          <a:fillRect/>
        </a:stretch>
      </xdr:blipFill>
      <xdr:spPr>
        <a:xfrm>
          <a:off x="0" y="1885950"/>
          <a:ext cx="2781300" cy="95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488950</xdr:colOff>
      <xdr:row>6</xdr:row>
      <xdr:rowOff>82550</xdr:rowOff>
    </xdr:from>
    <xdr:to>
      <xdr:col>22</xdr:col>
      <xdr:colOff>349250</xdr:colOff>
      <xdr:row>48</xdr:row>
      <xdr:rowOff>165100</xdr:rowOff>
    </xdr:to>
    <xdr:graphicFrame macro="">
      <xdr:nvGraphicFramePr>
        <xdr:cNvPr id="2" name="Chart 1">
          <a:extLst>
            <a:ext uri="{FF2B5EF4-FFF2-40B4-BE49-F238E27FC236}">
              <a16:creationId xmlns:a16="http://schemas.microsoft.com/office/drawing/2014/main" id="{B8F9BC9A-2C71-BE3D-A3E9-12EFFD64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314797</xdr:colOff>
      <xdr:row>0</xdr:row>
      <xdr:rowOff>425315</xdr:rowOff>
    </xdr:from>
    <xdr:to>
      <xdr:col>32</xdr:col>
      <xdr:colOff>108085</xdr:colOff>
      <xdr:row>19</xdr:row>
      <xdr:rowOff>147675</xdr:rowOff>
    </xdr:to>
    <xdr:graphicFrame macro="">
      <xdr:nvGraphicFramePr>
        <xdr:cNvPr id="2" name="Chart 1">
          <a:extLst>
            <a:ext uri="{FF2B5EF4-FFF2-40B4-BE49-F238E27FC236}">
              <a16:creationId xmlns:a16="http://schemas.microsoft.com/office/drawing/2014/main" id="{1A06C4A7-1D25-63E7-EA5F-288E10A7D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313071</xdr:colOff>
      <xdr:row>20</xdr:row>
      <xdr:rowOff>90376</xdr:rowOff>
    </xdr:from>
    <xdr:to>
      <xdr:col>34</xdr:col>
      <xdr:colOff>221513</xdr:colOff>
      <xdr:row>45</xdr:row>
      <xdr:rowOff>88605</xdr:rowOff>
    </xdr:to>
    <xdr:graphicFrame macro="">
      <xdr:nvGraphicFramePr>
        <xdr:cNvPr id="3" name="Chart 2">
          <a:extLst>
            <a:ext uri="{FF2B5EF4-FFF2-40B4-BE49-F238E27FC236}">
              <a16:creationId xmlns:a16="http://schemas.microsoft.com/office/drawing/2014/main" id="{100C26ED-347C-A9D4-E277-A7BCAF4E2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638737</xdr:colOff>
      <xdr:row>11</xdr:row>
      <xdr:rowOff>8644</xdr:rowOff>
    </xdr:from>
    <xdr:to>
      <xdr:col>9</xdr:col>
      <xdr:colOff>332367</xdr:colOff>
      <xdr:row>36</xdr:row>
      <xdr:rowOff>157980</xdr:rowOff>
    </xdr:to>
    <xdr:pic>
      <xdr:nvPicPr>
        <xdr:cNvPr id="2" name="Picture 1">
          <a:extLst>
            <a:ext uri="{FF2B5EF4-FFF2-40B4-BE49-F238E27FC236}">
              <a16:creationId xmlns:a16="http://schemas.microsoft.com/office/drawing/2014/main" id="{6B172FEB-BB91-B614-DA65-725B45DEF0E0}"/>
            </a:ext>
          </a:extLst>
        </xdr:cNvPr>
        <xdr:cNvPicPr>
          <a:picLocks noChangeAspect="1"/>
        </xdr:cNvPicPr>
      </xdr:nvPicPr>
      <xdr:blipFill>
        <a:blip xmlns:r="http://schemas.openxmlformats.org/officeDocument/2006/relationships" r:embed="rId1"/>
        <a:stretch>
          <a:fillRect/>
        </a:stretch>
      </xdr:blipFill>
      <xdr:spPr>
        <a:xfrm>
          <a:off x="1288678" y="2642026"/>
          <a:ext cx="4893160" cy="46316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5608320" y="11140440"/>
    <xdr:ext cx="8215448" cy="7180217"/>
    <xdr:graphicFrame macro="">
      <xdr:nvGraphicFramePr>
        <xdr:cNvPr id="2" name="Chart 7">
          <a:extLst>
            <a:ext uri="{FF2B5EF4-FFF2-40B4-BE49-F238E27FC236}">
              <a16:creationId xmlns:a16="http://schemas.microsoft.com/office/drawing/2014/main" id="{E1553E38-42CF-4DA1-ABEA-41E02EC978A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eidenuniv1-my.sharepoint.com/personal/oorschotjvan_vuw_leidenuniv_nl/Documents/Files/MFA_buildings/DSM/LCA/LCA_2203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I_Primary_production"/>
      <sheetName val="LCI_Secondary_production"/>
      <sheetName val="Demand"/>
      <sheetName val="Demand_outflow_recycled"/>
      <sheetName val="Demand_outflow_urbanization"/>
      <sheetName val="Demolition"/>
      <sheetName val="Recycled"/>
      <sheetName val="Recycled_High_RR"/>
      <sheetName val="Primary_secondary_demand"/>
      <sheetName val="Voorraad 2018"/>
      <sheetName val="Voorraad 2050"/>
      <sheetName val="RR_MRC"/>
      <sheetName val="LCI"/>
      <sheetName val="GWP"/>
      <sheetName val="Land_use"/>
      <sheetName val="SA_recycled"/>
      <sheetName val="SA_recycled_II"/>
      <sheetName val="Land-use_oud"/>
      <sheetName val="Land_use_archief"/>
    </sheetNames>
    <sheetDataSet>
      <sheetData sheetId="0"/>
      <sheetData sheetId="1"/>
      <sheetData sheetId="2"/>
      <sheetData sheetId="3">
        <row r="25">
          <cell r="D25" t="str">
            <v>Concrete</v>
          </cell>
          <cell r="E25" t="str">
            <v>Other construction materials</v>
          </cell>
          <cell r="F25" t="str">
            <v>Clay brick</v>
          </cell>
          <cell r="G25" t="str">
            <v>Steel &amp; iron</v>
          </cell>
          <cell r="H25" t="str">
            <v>Copper</v>
          </cell>
          <cell r="I25" t="str">
            <v>Aluminum</v>
          </cell>
          <cell r="J25" t="str">
            <v>Other metals</v>
          </cell>
          <cell r="K25" t="str">
            <v>Wood</v>
          </cell>
          <cell r="L25" t="str">
            <v>Glass</v>
          </cell>
          <cell r="M25" t="str">
            <v>Ceramics</v>
          </cell>
          <cell r="N25" t="str">
            <v>Plastics</v>
          </cell>
          <cell r="O25" t="str">
            <v>Insulation</v>
          </cell>
          <cell r="P25" t="str">
            <v>Other</v>
          </cell>
          <cell r="Q25" t="str">
            <v>Other biobased materials</v>
          </cell>
        </row>
        <row r="26">
          <cell r="B26" t="str">
            <v>Conventional</v>
          </cell>
          <cell r="C26" t="str">
            <v>Demand</v>
          </cell>
          <cell r="D26">
            <v>366813981.51889849</v>
          </cell>
          <cell r="E26">
            <v>35650261.356656238</v>
          </cell>
          <cell r="F26">
            <v>51212318.121497348</v>
          </cell>
          <cell r="G26">
            <v>8309761.2027299423</v>
          </cell>
          <cell r="H26">
            <v>142195.34524178933</v>
          </cell>
          <cell r="I26">
            <v>513572.41971872188</v>
          </cell>
          <cell r="J26">
            <v>49651.048453446921</v>
          </cell>
          <cell r="K26">
            <v>17485146.313779932</v>
          </cell>
          <cell r="L26">
            <v>2331258.4809745275</v>
          </cell>
          <cell r="M26">
            <v>2974185.5658667972</v>
          </cell>
          <cell r="N26">
            <v>838200.16560693912</v>
          </cell>
          <cell r="O26">
            <v>4984066.6212024251</v>
          </cell>
          <cell r="P26">
            <v>927122.10934046446</v>
          </cell>
          <cell r="Q26">
            <v>101327.10855100733</v>
          </cell>
        </row>
        <row r="27">
          <cell r="B27"/>
          <cell r="C27" t="str">
            <v>Outflow</v>
          </cell>
          <cell r="D27">
            <v>141154541.91299999</v>
          </cell>
          <cell r="E27">
            <v>38985621.222899996</v>
          </cell>
          <cell r="F27">
            <v>10141069.62094</v>
          </cell>
          <cell r="G27">
            <v>6707692.6607100004</v>
          </cell>
          <cell r="H27">
            <v>46254.969896400005</v>
          </cell>
          <cell r="I27">
            <v>217648.67217099998</v>
          </cell>
          <cell r="J27">
            <v>145576.02634450002</v>
          </cell>
          <cell r="K27">
            <v>3140290.2836499996</v>
          </cell>
          <cell r="L27">
            <v>496943.10682099999</v>
          </cell>
          <cell r="M27">
            <v>523972.77852670004</v>
          </cell>
          <cell r="N27">
            <v>178343.75918200001</v>
          </cell>
          <cell r="O27">
            <v>1521498.21575</v>
          </cell>
          <cell r="P27">
            <v>273957.79631700006</v>
          </cell>
          <cell r="Q27">
            <v>0</v>
          </cell>
        </row>
        <row r="28">
          <cell r="B28"/>
          <cell r="C28" t="str">
            <v>Secondary</v>
          </cell>
          <cell r="D28">
            <v>63590121.131806493</v>
          </cell>
          <cell r="E28">
            <v>13190596.70196281</v>
          </cell>
          <cell r="F28">
            <v>9634016.1398929991</v>
          </cell>
          <cell r="G28">
            <v>6372308.0276744999</v>
          </cell>
          <cell r="H28">
            <v>43942.221401580013</v>
          </cell>
          <cell r="I28">
            <v>206766.23856244999</v>
          </cell>
          <cell r="J28">
            <v>49651.048453446921</v>
          </cell>
          <cell r="K28">
            <v>2983275.7694675</v>
          </cell>
          <cell r="L28">
            <v>161483.75852695861</v>
          </cell>
          <cell r="M28">
            <v>472095.95147994999</v>
          </cell>
          <cell r="N28">
            <v>160509.3832638</v>
          </cell>
          <cell r="O28">
            <v>4414014.7522290908</v>
          </cell>
          <cell r="P28">
            <v>0</v>
          </cell>
          <cell r="Q28">
            <v>0</v>
          </cell>
        </row>
        <row r="29">
          <cell r="B29" t="str">
            <v>Biobased</v>
          </cell>
          <cell r="C29" t="str">
            <v>Demand</v>
          </cell>
          <cell r="D29">
            <v>120809984.73808014</v>
          </cell>
          <cell r="E29">
            <v>36173560.571772642</v>
          </cell>
          <cell r="F29">
            <v>13721915.138128513</v>
          </cell>
          <cell r="G29">
            <v>4596200.9979896126</v>
          </cell>
          <cell r="H29">
            <v>142195.34524178933</v>
          </cell>
          <cell r="I29">
            <v>342985.32054930454</v>
          </cell>
          <cell r="J29">
            <v>45105.889522897189</v>
          </cell>
          <cell r="K29">
            <v>57807878.325695544</v>
          </cell>
          <cell r="L29">
            <v>2331258.4809745275</v>
          </cell>
          <cell r="M29">
            <v>2974185.5658667972</v>
          </cell>
          <cell r="N29">
            <v>855982.58819151332</v>
          </cell>
          <cell r="O29">
            <v>3681045.6087662792</v>
          </cell>
          <cell r="P29">
            <v>1254830.0946821314</v>
          </cell>
          <cell r="Q29">
            <v>380362.19277958805</v>
          </cell>
        </row>
        <row r="30">
          <cell r="B30"/>
          <cell r="C30" t="str">
            <v>Outflow</v>
          </cell>
          <cell r="D30">
            <v>141154541.91299999</v>
          </cell>
          <cell r="E30">
            <v>38985621.222899996</v>
          </cell>
          <cell r="F30">
            <v>10141069.62094</v>
          </cell>
          <cell r="G30">
            <v>6707692.6607100004</v>
          </cell>
          <cell r="H30">
            <v>46254.969896400005</v>
          </cell>
          <cell r="I30">
            <v>217648.67217099998</v>
          </cell>
          <cell r="J30">
            <v>145576.02634450002</v>
          </cell>
          <cell r="K30">
            <v>3140290.2836499996</v>
          </cell>
          <cell r="L30">
            <v>496943.10682099999</v>
          </cell>
          <cell r="M30">
            <v>523972.77852670004</v>
          </cell>
          <cell r="N30">
            <v>178343.75918200001</v>
          </cell>
          <cell r="O30">
            <v>1521498.21575</v>
          </cell>
          <cell r="P30">
            <v>273957.79631700006</v>
          </cell>
          <cell r="Q30">
            <v>0</v>
          </cell>
        </row>
        <row r="31">
          <cell r="B31"/>
          <cell r="C31" t="str">
            <v>Secondary</v>
          </cell>
          <cell r="D31">
            <v>44699694.353089653</v>
          </cell>
          <cell r="E31">
            <v>13384217.411555881</v>
          </cell>
          <cell r="F31">
            <v>3430478.7845321279</v>
          </cell>
          <cell r="G31">
            <v>4596200.9979896126</v>
          </cell>
          <cell r="H31">
            <v>43942.221401580013</v>
          </cell>
          <cell r="I31">
            <v>206766.23856244999</v>
          </cell>
          <cell r="J31">
            <v>45105.889522897189</v>
          </cell>
          <cell r="K31">
            <v>2983275.7694675</v>
          </cell>
          <cell r="L31">
            <v>225942.48503887499</v>
          </cell>
          <cell r="M31">
            <v>472095.95147994999</v>
          </cell>
          <cell r="N31">
            <v>160509.3832638</v>
          </cell>
          <cell r="O31">
            <v>4419739.7062548539</v>
          </cell>
          <cell r="P31">
            <v>0</v>
          </cell>
          <cell r="Q31">
            <v>0</v>
          </cell>
        </row>
        <row r="32">
          <cell r="B32" t="str">
            <v>Circular</v>
          </cell>
          <cell r="C32" t="str">
            <v>Demand</v>
          </cell>
          <cell r="D32">
            <v>173615030.8849197</v>
          </cell>
          <cell r="E32">
            <v>30953690.512642734</v>
          </cell>
          <cell r="F32">
            <v>24470691.298573297</v>
          </cell>
          <cell r="G32">
            <v>6965872.6384671424</v>
          </cell>
          <cell r="H32">
            <v>142195.34524178933</v>
          </cell>
          <cell r="I32">
            <v>340545.81260664924</v>
          </cell>
          <cell r="J32">
            <v>49533.205986693189</v>
          </cell>
          <cell r="K32">
            <v>24073298.608270951</v>
          </cell>
          <cell r="L32">
            <v>2331258.4809745275</v>
          </cell>
          <cell r="M32">
            <v>2974185.5658667972</v>
          </cell>
          <cell r="N32">
            <v>919257.85863103438</v>
          </cell>
          <cell r="O32">
            <v>3311905.7275544922</v>
          </cell>
          <cell r="P32">
            <v>903266.78228112566</v>
          </cell>
          <cell r="Q32">
            <v>101327.10855100733</v>
          </cell>
        </row>
        <row r="33">
          <cell r="B33"/>
          <cell r="C33" t="str">
            <v>Outflow</v>
          </cell>
          <cell r="D33">
            <v>141154541.91299999</v>
          </cell>
          <cell r="E33">
            <v>38985621.222899996</v>
          </cell>
          <cell r="F33">
            <v>10141069.62094</v>
          </cell>
          <cell r="G33">
            <v>6707692.6607100004</v>
          </cell>
          <cell r="H33">
            <v>46254.969896400005</v>
          </cell>
          <cell r="I33">
            <v>217648.67217099998</v>
          </cell>
          <cell r="J33">
            <v>145576.02634450002</v>
          </cell>
          <cell r="K33">
            <v>3140290.2836499996</v>
          </cell>
          <cell r="L33">
            <v>496943.10682099999</v>
          </cell>
          <cell r="M33">
            <v>523972.77852670004</v>
          </cell>
          <cell r="N33">
            <v>178343.75918200001</v>
          </cell>
          <cell r="O33">
            <v>1521498.21575</v>
          </cell>
          <cell r="P33">
            <v>273957.79631700006</v>
          </cell>
          <cell r="Q33">
            <v>0</v>
          </cell>
        </row>
        <row r="34">
          <cell r="B34"/>
          <cell r="C34" t="str">
            <v>Secondary</v>
          </cell>
          <cell r="D34">
            <v>63590121.131806493</v>
          </cell>
          <cell r="E34">
            <v>11452865.489677809</v>
          </cell>
          <cell r="F34">
            <v>6117672.8246433241</v>
          </cell>
          <cell r="G34">
            <v>6372308.0276744999</v>
          </cell>
          <cell r="H34">
            <v>43942.221401580013</v>
          </cell>
          <cell r="I34">
            <v>206766.23856244999</v>
          </cell>
          <cell r="J34">
            <v>49533.205986693189</v>
          </cell>
          <cell r="K34">
            <v>2983275.7694675</v>
          </cell>
          <cell r="L34">
            <v>225942.48503887499</v>
          </cell>
          <cell r="M34">
            <v>472095.95147994999</v>
          </cell>
          <cell r="N34">
            <v>160509.3832638</v>
          </cell>
          <cell r="O34">
            <v>4424167.0227186503</v>
          </cell>
          <cell r="P34">
            <v>0</v>
          </cell>
          <cell r="Q34">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Janneke van Oorschot" id="{700DA871-F4DF-42D6-BFFA-97792C5E6BB1}" userId="Janneke van Oorschot"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7" dT="2022-09-16T05:57:22.31" personId="{700DA871-F4DF-42D6-BFFA-97792C5E6BB1}" id="{851C67C1-A6A9-4AC9-80BC-E86368C80A2D}">
    <text>mean of bitumen, gypsum, stone, sand-lime stone and sand</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ileyonlinelibrary.com/journal/ji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1/jiec.1337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0DAE-DB3F-42C3-8BD7-63C3977B664B}">
  <sheetPr>
    <tabColor theme="1"/>
  </sheetPr>
  <dimension ref="A1:I23"/>
  <sheetViews>
    <sheetView zoomScaleNormal="100" workbookViewId="0"/>
  </sheetViews>
  <sheetFormatPr baseColWidth="10" defaultColWidth="8.83203125" defaultRowHeight="15" x14ac:dyDescent="0.2"/>
  <cols>
    <col min="2" max="2" width="61.83203125" customWidth="1"/>
  </cols>
  <sheetData>
    <row r="1" spans="1:9" x14ac:dyDescent="0.2">
      <c r="A1" s="403" t="s">
        <v>556</v>
      </c>
      <c r="B1" s="404"/>
      <c r="C1" s="404"/>
      <c r="D1" s="404"/>
      <c r="E1" s="404"/>
      <c r="F1" s="404"/>
      <c r="G1" s="404"/>
      <c r="H1" s="405"/>
      <c r="I1" s="405"/>
    </row>
    <row r="2" spans="1:9" x14ac:dyDescent="0.2">
      <c r="A2" s="405"/>
      <c r="B2" s="405"/>
      <c r="C2" s="405"/>
      <c r="D2" s="405"/>
      <c r="E2" s="405"/>
      <c r="F2" s="405"/>
      <c r="G2" s="405"/>
      <c r="H2" s="405"/>
      <c r="I2" s="405"/>
    </row>
    <row r="3" spans="1:9" ht="18" x14ac:dyDescent="0.2">
      <c r="A3" s="406" t="s">
        <v>558</v>
      </c>
      <c r="B3" s="405"/>
      <c r="C3" s="405"/>
      <c r="D3" s="405"/>
      <c r="E3" s="405"/>
      <c r="F3" s="405"/>
      <c r="G3" s="405"/>
      <c r="H3" s="405"/>
      <c r="I3" s="405"/>
    </row>
    <row r="4" spans="1:9" ht="18" x14ac:dyDescent="0.2">
      <c r="A4" s="406"/>
      <c r="B4" s="405"/>
      <c r="C4" s="405"/>
      <c r="D4" s="405"/>
      <c r="E4" s="405"/>
      <c r="F4" s="405"/>
      <c r="G4" s="405"/>
      <c r="H4" s="405"/>
      <c r="I4" s="405"/>
    </row>
    <row r="5" spans="1:9" x14ac:dyDescent="0.2">
      <c r="A5" s="543" t="s">
        <v>559</v>
      </c>
      <c r="B5" s="543"/>
      <c r="C5" s="543"/>
      <c r="D5" s="543"/>
      <c r="E5" s="543"/>
      <c r="F5" s="543"/>
      <c r="G5" s="543"/>
      <c r="H5" s="543"/>
      <c r="I5" s="543"/>
    </row>
    <row r="6" spans="1:9" x14ac:dyDescent="0.2">
      <c r="A6" s="543"/>
      <c r="B6" s="543"/>
      <c r="C6" s="543"/>
      <c r="D6" s="543"/>
      <c r="E6" s="543"/>
      <c r="F6" s="543"/>
      <c r="G6" s="543"/>
      <c r="H6" s="543"/>
      <c r="I6" s="543"/>
    </row>
    <row r="7" spans="1:9" x14ac:dyDescent="0.2">
      <c r="A7" s="405"/>
      <c r="B7" s="405"/>
      <c r="C7" s="405"/>
      <c r="D7" s="405"/>
      <c r="E7" s="405"/>
      <c r="F7" s="405"/>
      <c r="G7" s="405"/>
      <c r="H7" s="405"/>
      <c r="I7" s="405"/>
    </row>
    <row r="8" spans="1:9" x14ac:dyDescent="0.2">
      <c r="A8" s="544" t="s">
        <v>557</v>
      </c>
      <c r="B8" s="544"/>
      <c r="C8" s="544"/>
      <c r="D8" s="544"/>
      <c r="E8" s="544"/>
      <c r="F8" s="544"/>
      <c r="G8" s="544"/>
      <c r="H8" s="544"/>
      <c r="I8" s="407"/>
    </row>
    <row r="9" spans="1:9" x14ac:dyDescent="0.2">
      <c r="A9" s="544"/>
      <c r="B9" s="544"/>
      <c r="C9" s="544"/>
      <c r="D9" s="544"/>
      <c r="E9" s="544"/>
      <c r="F9" s="544"/>
      <c r="G9" s="544"/>
      <c r="H9" s="544"/>
      <c r="I9" s="407"/>
    </row>
    <row r="10" spans="1:9" x14ac:dyDescent="0.2">
      <c r="A10" s="407"/>
      <c r="B10" s="407"/>
      <c r="C10" s="407"/>
      <c r="D10" s="407"/>
      <c r="E10" s="407"/>
      <c r="F10" s="407"/>
      <c r="G10" s="407"/>
      <c r="H10" s="407"/>
      <c r="I10" s="407"/>
    </row>
    <row r="11" spans="1:9" x14ac:dyDescent="0.2">
      <c r="A11" s="407"/>
      <c r="B11" s="407"/>
      <c r="C11" s="407"/>
      <c r="D11" s="407"/>
      <c r="E11" s="407"/>
      <c r="F11" s="407"/>
      <c r="G11" s="407"/>
      <c r="H11" s="407"/>
      <c r="I11" s="407"/>
    </row>
    <row r="12" spans="1:9" s="307" customFormat="1" ht="21" x14ac:dyDescent="0.25">
      <c r="A12" s="372" t="s">
        <v>501</v>
      </c>
      <c r="B12" s="372"/>
    </row>
    <row r="13" spans="1:9" s="307" customFormat="1" ht="21" x14ac:dyDescent="0.25">
      <c r="A13" s="373" t="s">
        <v>414</v>
      </c>
      <c r="B13" s="372"/>
    </row>
    <row r="14" spans="1:9" x14ac:dyDescent="0.2">
      <c r="A14" s="374" t="s">
        <v>448</v>
      </c>
      <c r="B14" s="57" t="s">
        <v>417</v>
      </c>
    </row>
    <row r="15" spans="1:9" x14ac:dyDescent="0.2">
      <c r="A15" s="375" t="s">
        <v>449</v>
      </c>
      <c r="B15" s="57" t="s">
        <v>418</v>
      </c>
    </row>
    <row r="16" spans="1:9" x14ac:dyDescent="0.2">
      <c r="A16" s="376" t="s">
        <v>450</v>
      </c>
      <c r="B16" s="57" t="s">
        <v>419</v>
      </c>
    </row>
    <row r="17" spans="1:2" x14ac:dyDescent="0.2">
      <c r="A17" s="377" t="s">
        <v>451</v>
      </c>
      <c r="B17" s="57" t="s">
        <v>410</v>
      </c>
    </row>
    <row r="18" spans="1:2" x14ac:dyDescent="0.2">
      <c r="A18" s="378" t="s">
        <v>452</v>
      </c>
      <c r="B18" s="57" t="s">
        <v>411</v>
      </c>
    </row>
    <row r="19" spans="1:2" x14ac:dyDescent="0.2">
      <c r="A19" s="379" t="s">
        <v>453</v>
      </c>
      <c r="B19" s="57" t="s">
        <v>499</v>
      </c>
    </row>
    <row r="20" spans="1:2" x14ac:dyDescent="0.2">
      <c r="A20" s="57"/>
      <c r="B20" s="57"/>
    </row>
    <row r="21" spans="1:2" x14ac:dyDescent="0.2">
      <c r="A21" s="57"/>
      <c r="B21" s="57"/>
    </row>
    <row r="22" spans="1:2" x14ac:dyDescent="0.2">
      <c r="A22" s="57"/>
      <c r="B22" s="57"/>
    </row>
    <row r="23" spans="1:2" x14ac:dyDescent="0.2">
      <c r="A23" s="57"/>
      <c r="B23" s="57"/>
    </row>
  </sheetData>
  <mergeCells count="2">
    <mergeCell ref="A5:I6"/>
    <mergeCell ref="A8:H9"/>
  </mergeCells>
  <hyperlinks>
    <hyperlink ref="A1" r:id="rId1" display="2017 Journal of Industrial Ecology – www.wileyonlinelibrary.com/journal/jie" xr:uid="{5F1B0BD5-F6E2-4800-B092-02DE9047BC3B}"/>
  </hyperlinks>
  <pageMargins left="0.7" right="0.7" top="0.75" bottom="0.75" header="0.3" footer="0.3"/>
  <pageSetup paperSize="9"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8034E-7D62-4647-B5A2-E87654E924DA}">
  <dimension ref="A1:B7"/>
  <sheetViews>
    <sheetView workbookViewId="0">
      <selection activeCell="A14" sqref="A14"/>
    </sheetView>
  </sheetViews>
  <sheetFormatPr baseColWidth="10" defaultRowHeight="15" x14ac:dyDescent="0.2"/>
  <sheetData>
    <row r="1" spans="1:2" x14ac:dyDescent="0.2">
      <c r="A1" t="s">
        <v>560</v>
      </c>
      <c r="B1" t="s">
        <v>567</v>
      </c>
    </row>
    <row r="2" spans="1:2" x14ac:dyDescent="0.2">
      <c r="A2" t="s">
        <v>561</v>
      </c>
      <c r="B2" t="s">
        <v>568</v>
      </c>
    </row>
    <row r="3" spans="1:2" x14ac:dyDescent="0.2">
      <c r="A3" t="s">
        <v>562</v>
      </c>
      <c r="B3" s="540" t="s">
        <v>569</v>
      </c>
    </row>
    <row r="4" spans="1:2" x14ac:dyDescent="0.2">
      <c r="A4" t="s">
        <v>563</v>
      </c>
      <c r="B4" t="s">
        <v>570</v>
      </c>
    </row>
    <row r="5" spans="1:2" x14ac:dyDescent="0.2">
      <c r="A5" t="s">
        <v>564</v>
      </c>
      <c r="B5" t="s">
        <v>571</v>
      </c>
    </row>
    <row r="6" spans="1:2" x14ac:dyDescent="0.2">
      <c r="A6" t="s">
        <v>565</v>
      </c>
      <c r="B6" t="s">
        <v>572</v>
      </c>
    </row>
    <row r="7" spans="1:2" x14ac:dyDescent="0.2">
      <c r="A7" t="s">
        <v>566</v>
      </c>
      <c r="B7" t="s">
        <v>573</v>
      </c>
    </row>
  </sheetData>
  <hyperlinks>
    <hyperlink ref="B3" r:id="rId1" xr:uid="{E0AF4259-4C2C-7441-943A-F2FA755D77C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1108-8C3C-F641-97AC-472BA22EDCB3}">
  <dimension ref="A1:O30"/>
  <sheetViews>
    <sheetView tabSelected="1" zoomScale="101" workbookViewId="0">
      <selection activeCell="B31" sqref="B31"/>
    </sheetView>
  </sheetViews>
  <sheetFormatPr baseColWidth="10" defaultRowHeight="15" x14ac:dyDescent="0.2"/>
  <sheetData>
    <row r="1" spans="1:15" x14ac:dyDescent="0.2">
      <c r="A1" s="69" t="s">
        <v>395</v>
      </c>
      <c r="B1" s="70" t="s">
        <v>396</v>
      </c>
      <c r="C1" s="79" t="s">
        <v>397</v>
      </c>
      <c r="D1" s="79" t="s">
        <v>87</v>
      </c>
      <c r="E1" s="79" t="s">
        <v>86</v>
      </c>
      <c r="F1" s="79" t="s">
        <v>218</v>
      </c>
      <c r="G1" s="79" t="s">
        <v>93</v>
      </c>
      <c r="H1" s="79" t="s">
        <v>88</v>
      </c>
      <c r="I1" s="79" t="s">
        <v>190</v>
      </c>
      <c r="J1" s="79" t="s">
        <v>191</v>
      </c>
      <c r="K1" s="79" t="s">
        <v>92</v>
      </c>
      <c r="L1" s="79" t="s">
        <v>205</v>
      </c>
      <c r="M1" s="79" t="s">
        <v>112</v>
      </c>
      <c r="N1" s="79" t="s">
        <v>94</v>
      </c>
      <c r="O1" s="70" t="s">
        <v>214</v>
      </c>
    </row>
    <row r="2" spans="1:15" ht="16" thickBot="1" x14ac:dyDescent="0.25">
      <c r="A2" s="66"/>
      <c r="B2" s="67"/>
      <c r="C2" s="352" t="s">
        <v>454</v>
      </c>
      <c r="D2" s="352" t="s">
        <v>454</v>
      </c>
      <c r="E2" s="352" t="s">
        <v>454</v>
      </c>
      <c r="F2" s="352" t="s">
        <v>454</v>
      </c>
      <c r="G2" s="352" t="s">
        <v>454</v>
      </c>
      <c r="H2" s="352" t="s">
        <v>454</v>
      </c>
      <c r="I2" s="352" t="s">
        <v>454</v>
      </c>
      <c r="J2" s="352" t="s">
        <v>454</v>
      </c>
      <c r="K2" s="352" t="s">
        <v>454</v>
      </c>
      <c r="L2" s="352" t="s">
        <v>454</v>
      </c>
      <c r="M2" s="352" t="s">
        <v>454</v>
      </c>
      <c r="N2" s="352" t="s">
        <v>454</v>
      </c>
      <c r="O2" s="353" t="s">
        <v>454</v>
      </c>
    </row>
    <row r="3" spans="1:15" x14ac:dyDescent="0.2">
      <c r="A3" s="60" t="s">
        <v>578</v>
      </c>
      <c r="B3" s="61" t="s">
        <v>576</v>
      </c>
      <c r="C3" s="354">
        <v>64.536322439436617</v>
      </c>
      <c r="D3" s="354">
        <v>0.88389121126760573</v>
      </c>
      <c r="E3" s="354">
        <v>0.15058813239436622</v>
      </c>
      <c r="F3" s="354">
        <v>2.6386156640845067</v>
      </c>
      <c r="G3" s="354">
        <v>134.5922306746472</v>
      </c>
      <c r="H3" s="354">
        <v>1382.6945053443642</v>
      </c>
      <c r="I3" s="354">
        <v>306.15153726760565</v>
      </c>
      <c r="J3" s="354">
        <v>361.47610075352111</v>
      </c>
      <c r="K3" s="354">
        <v>9.0275356338028176E-2</v>
      </c>
      <c r="L3" s="354">
        <v>18.528317862676055</v>
      </c>
      <c r="M3" s="354">
        <v>1.2819120188732387</v>
      </c>
      <c r="N3" s="354">
        <v>13.977078654929578</v>
      </c>
      <c r="O3" s="354">
        <v>1.5863528683098591</v>
      </c>
    </row>
    <row r="4" spans="1:15" x14ac:dyDescent="0.2">
      <c r="A4" s="60"/>
      <c r="B4" s="61" t="s">
        <v>577</v>
      </c>
      <c r="C4" s="354" cm="1">
        <f t="array" ref="C4:O4">(25/30)*MI_2018!C4:O4+(5/30)*MI_2018!C5:O5</f>
        <v>58.195908616314554</v>
      </c>
      <c r="D4" s="354">
        <v>0.88389121126760584</v>
      </c>
      <c r="E4" s="354">
        <v>0.24335573532863852</v>
      </c>
      <c r="F4" s="354">
        <v>2.6610961119718306</v>
      </c>
      <c r="G4" s="354">
        <v>67.379139350234752</v>
      </c>
      <c r="H4" s="354">
        <v>1443.4427281109135</v>
      </c>
      <c r="I4" s="354">
        <v>275.53638354107983</v>
      </c>
      <c r="J4" s="354">
        <v>453.40153391314522</v>
      </c>
      <c r="K4" s="354">
        <v>3.3223656880281691</v>
      </c>
      <c r="L4" s="354">
        <v>15.912623697183097</v>
      </c>
      <c r="M4" s="354">
        <v>1.6021925321361492</v>
      </c>
      <c r="N4" s="354">
        <v>14.553682518779341</v>
      </c>
      <c r="O4" s="354">
        <v>1.9276526771126758</v>
      </c>
    </row>
    <row r="5" spans="1:15" x14ac:dyDescent="0.2">
      <c r="A5" s="60"/>
      <c r="B5" s="61" t="s">
        <v>575</v>
      </c>
      <c r="C5" s="354" cm="1">
        <f t="array" ref="C5:O5">(25/30)*MI_2018!C5:O5+(5/30)*MI_2018!C6:O6</f>
        <v>53.760244008215963</v>
      </c>
      <c r="D5" s="354">
        <v>0.88389121126760584</v>
      </c>
      <c r="E5" s="354">
        <v>0.22328285563380282</v>
      </c>
      <c r="F5" s="354">
        <v>2.6610961119718306</v>
      </c>
      <c r="G5" s="354">
        <v>28.88863652899061</v>
      </c>
      <c r="H5" s="354">
        <v>1450.3671319436598</v>
      </c>
      <c r="I5" s="354">
        <v>122.46061490845072</v>
      </c>
      <c r="J5" s="354">
        <v>766.16843432394228</v>
      </c>
      <c r="K5" s="354">
        <v>5.6310016387323945</v>
      </c>
      <c r="L5" s="354">
        <v>2.8341528697183032</v>
      </c>
      <c r="M5" s="354">
        <v>1.8005107287323932</v>
      </c>
      <c r="N5" s="354">
        <v>15.194186373239429</v>
      </c>
      <c r="O5" s="354">
        <v>1.9343643245305164</v>
      </c>
    </row>
    <row r="6" spans="1:15" x14ac:dyDescent="0.2">
      <c r="A6" s="60"/>
      <c r="B6" s="61" t="s">
        <v>581</v>
      </c>
      <c r="C6" s="354">
        <v>53.747727971830976</v>
      </c>
      <c r="D6" s="354">
        <v>0.88389121126760573</v>
      </c>
      <c r="E6" s="354">
        <v>0.22328285563380282</v>
      </c>
      <c r="F6" s="354">
        <v>2.6610961119718306</v>
      </c>
      <c r="G6" s="354">
        <v>39.052213596478872</v>
      </c>
      <c r="H6" s="354">
        <v>1450.3671319436598</v>
      </c>
      <c r="I6" s="354">
        <v>122.46061490845072</v>
      </c>
      <c r="J6" s="354">
        <v>766.16843432394228</v>
      </c>
      <c r="K6" s="354">
        <v>5.6310016387323945</v>
      </c>
      <c r="L6" s="354">
        <v>2.8341528697183032</v>
      </c>
      <c r="M6" s="354">
        <v>1.8005107287323932</v>
      </c>
      <c r="N6" s="354">
        <v>16.061437992957746</v>
      </c>
      <c r="O6" s="354">
        <v>2.0107568838028169</v>
      </c>
    </row>
    <row r="7" spans="1:15" x14ac:dyDescent="0.2">
      <c r="A7" s="60" t="s">
        <v>579</v>
      </c>
      <c r="B7" s="61" t="s">
        <v>576</v>
      </c>
      <c r="C7" s="354">
        <v>51.236411047826117</v>
      </c>
      <c r="D7" s="354">
        <v>0.35149360434782612</v>
      </c>
      <c r="E7" s="354">
        <v>0.37854946376811599</v>
      </c>
      <c r="F7" s="354">
        <v>1.4697139710144911</v>
      </c>
      <c r="G7" s="354">
        <v>64.768413495652169</v>
      </c>
      <c r="H7" s="354">
        <v>1144.3172885652173</v>
      </c>
      <c r="I7" s="354">
        <v>162.86606424637682</v>
      </c>
      <c r="J7" s="354">
        <v>297.16810726811593</v>
      </c>
      <c r="K7" s="354">
        <v>0.23043419420289715</v>
      </c>
      <c r="L7" s="354">
        <v>2.7625526971014498</v>
      </c>
      <c r="M7" s="354">
        <v>0.81826993999999875</v>
      </c>
      <c r="N7" s="354">
        <v>13.21922307536232</v>
      </c>
      <c r="O7" s="354">
        <v>1.37412562173913</v>
      </c>
    </row>
    <row r="8" spans="1:15" x14ac:dyDescent="0.2">
      <c r="A8" s="60"/>
      <c r="B8" s="61" t="s">
        <v>577</v>
      </c>
      <c r="C8" s="354" cm="1">
        <f t="array" ref="C8:O8">(25/30)*MI_2018!C8:O8+(5/30)*MI_2018!C9:O9</f>
        <v>53.458638824154598</v>
      </c>
      <c r="D8" s="354">
        <v>0.35149360434782612</v>
      </c>
      <c r="E8" s="354">
        <v>0.45919950893719808</v>
      </c>
      <c r="F8" s="354">
        <v>1.5202924623188392</v>
      </c>
      <c r="G8" s="354">
        <v>37.434904464734288</v>
      </c>
      <c r="H8" s="354">
        <v>1238.7900545992754</v>
      </c>
      <c r="I8" s="354">
        <v>146.57945782125606</v>
      </c>
      <c r="J8" s="354">
        <v>333.65549843212563</v>
      </c>
      <c r="K8" s="354">
        <v>2.6610480983091773</v>
      </c>
      <c r="L8" s="354">
        <v>2.7625526971014502</v>
      </c>
      <c r="M8" s="354">
        <v>1.2663894665700473</v>
      </c>
      <c r="N8" s="354">
        <v>13.538302693236718</v>
      </c>
      <c r="O8" s="354">
        <v>1.9604835096618356</v>
      </c>
    </row>
    <row r="9" spans="1:15" x14ac:dyDescent="0.2">
      <c r="A9" s="60"/>
      <c r="B9" s="61" t="s">
        <v>575</v>
      </c>
      <c r="C9" s="354" cm="1">
        <f t="array" ref="C9:O9">(25/30)*MI_2018!C9:O9+(5/30)*MI_2018!C10:O10</f>
        <v>54.822601641787458</v>
      </c>
      <c r="D9" s="354">
        <v>0.35149360434782612</v>
      </c>
      <c r="E9" s="354">
        <v>0.37808582173913052</v>
      </c>
      <c r="F9" s="354">
        <v>1.5202924623188392</v>
      </c>
      <c r="G9" s="354">
        <v>22.392486746859905</v>
      </c>
      <c r="H9" s="354">
        <v>1304.4812254217393</v>
      </c>
      <c r="I9" s="354">
        <v>65.146425695652184</v>
      </c>
      <c r="J9" s="354">
        <v>470.94709410000007</v>
      </c>
      <c r="K9" s="354">
        <v>4.3972008869565204</v>
      </c>
      <c r="L9" s="354">
        <v>2.7625526971014502</v>
      </c>
      <c r="M9" s="354">
        <v>1.8714109544927529</v>
      </c>
      <c r="N9" s="354">
        <v>13.953603213043479</v>
      </c>
      <c r="O9" s="354">
        <v>1.9730191130434778</v>
      </c>
    </row>
    <row r="10" spans="1:15" x14ac:dyDescent="0.2">
      <c r="A10" s="60"/>
      <c r="B10" s="61" t="s">
        <v>581</v>
      </c>
      <c r="C10" s="354">
        <v>54.810216828985524</v>
      </c>
      <c r="D10" s="354">
        <v>0.35149360434782612</v>
      </c>
      <c r="E10" s="354">
        <v>0.37808582173913047</v>
      </c>
      <c r="F10" s="354">
        <v>1.5202924623188392</v>
      </c>
      <c r="G10" s="354">
        <v>32.834914582608697</v>
      </c>
      <c r="H10" s="354">
        <v>1304.4812254217391</v>
      </c>
      <c r="I10" s="354">
        <v>65.146425695652184</v>
      </c>
      <c r="J10" s="354">
        <v>470.94709410000002</v>
      </c>
      <c r="K10" s="354">
        <v>4.3972008869565204</v>
      </c>
      <c r="L10" s="354">
        <v>2.7625526971014498</v>
      </c>
      <c r="M10" s="354">
        <v>1.8714109544927526</v>
      </c>
      <c r="N10" s="354">
        <v>14.505308227536233</v>
      </c>
      <c r="O10" s="354">
        <v>2.0533810913043462</v>
      </c>
    </row>
    <row r="11" spans="1:15" x14ac:dyDescent="0.2">
      <c r="A11" s="60" t="s">
        <v>400</v>
      </c>
      <c r="B11" s="61" t="s">
        <v>576</v>
      </c>
      <c r="C11" s="354">
        <v>46.466515152747249</v>
      </c>
      <c r="D11" s="354">
        <v>0.20715254395604393</v>
      </c>
      <c r="E11" s="354">
        <v>0.11701019340659341</v>
      </c>
      <c r="F11" s="354">
        <v>0.46113914505494502</v>
      </c>
      <c r="G11" s="354">
        <v>42.832492139560415</v>
      </c>
      <c r="H11" s="354">
        <v>1097.8571164296693</v>
      </c>
      <c r="I11" s="354">
        <v>171.36517329670332</v>
      </c>
      <c r="J11" s="354">
        <v>275.99687683296702</v>
      </c>
      <c r="K11" s="354">
        <v>11.018224612087911</v>
      </c>
      <c r="L11" s="354">
        <v>18.81893665164834</v>
      </c>
      <c r="M11" s="354">
        <v>1.4989690769230766</v>
      </c>
      <c r="N11" s="354">
        <v>16.883190557142861</v>
      </c>
      <c r="O11" s="354">
        <v>2.0109270461538458</v>
      </c>
    </row>
    <row r="12" spans="1:15" x14ac:dyDescent="0.2">
      <c r="A12" s="60"/>
      <c r="B12" s="61" t="s">
        <v>577</v>
      </c>
      <c r="C12" s="354" cm="1">
        <f t="array" ref="C12:O12">(25/30)*MI_2018!C12:O12+(5/30)*MI_2018!C13:O13</f>
        <v>46.81397656428571</v>
      </c>
      <c r="D12" s="354">
        <v>0.20721356025641025</v>
      </c>
      <c r="E12" s="354">
        <v>0.35430559652014637</v>
      </c>
      <c r="F12" s="354">
        <v>0.49499219999999994</v>
      </c>
      <c r="G12" s="354">
        <v>21.92045452728938</v>
      </c>
      <c r="H12" s="354">
        <v>1175.5814979241745</v>
      </c>
      <c r="I12" s="354">
        <v>154.22865596703298</v>
      </c>
      <c r="J12" s="354">
        <v>290.47608246043956</v>
      </c>
      <c r="K12" s="354">
        <v>14.681625428754568</v>
      </c>
      <c r="L12" s="354">
        <v>16.48994256923076</v>
      </c>
      <c r="M12" s="354">
        <v>1.7784211177655678</v>
      </c>
      <c r="N12" s="354">
        <v>16.398045225641027</v>
      </c>
      <c r="O12" s="354">
        <v>3.1644151946886443</v>
      </c>
    </row>
    <row r="13" spans="1:15" x14ac:dyDescent="0.2">
      <c r="A13" s="60"/>
      <c r="B13" s="61" t="s">
        <v>575</v>
      </c>
      <c r="C13" s="354" cm="1">
        <f t="array" ref="C13:O13">(25/30)*MI_2018!C13:O13+(5/30)*MI_2018!C14:O14</f>
        <v>48.051661081684976</v>
      </c>
      <c r="D13" s="354">
        <v>0.20751864175824175</v>
      </c>
      <c r="E13" s="354">
        <v>1.471625101098901</v>
      </c>
      <c r="F13" s="354">
        <v>0.49499219999999994</v>
      </c>
      <c r="G13" s="354">
        <v>10.256355973626373</v>
      </c>
      <c r="H13" s="354">
        <v>1208.6320879021953</v>
      </c>
      <c r="I13" s="354">
        <v>68.546069318681319</v>
      </c>
      <c r="J13" s="354">
        <v>363.12482263076919</v>
      </c>
      <c r="K13" s="354">
        <v>17.298340297802184</v>
      </c>
      <c r="L13" s="354">
        <v>4.8449721571428466</v>
      </c>
      <c r="M13" s="354">
        <v>1.81145223956044</v>
      </c>
      <c r="N13" s="354">
        <v>11.606467100732601</v>
      </c>
      <c r="O13" s="354">
        <v>3.1290036838827837</v>
      </c>
    </row>
    <row r="14" spans="1:15" x14ac:dyDescent="0.2">
      <c r="A14" s="60"/>
      <c r="B14" s="61" t="s">
        <v>581</v>
      </c>
      <c r="C14" s="354">
        <v>48.035462363736258</v>
      </c>
      <c r="D14" s="354">
        <v>0.20751864175824175</v>
      </c>
      <c r="E14" s="354">
        <v>1.4716251010989008</v>
      </c>
      <c r="F14" s="354">
        <v>0.49499219999999994</v>
      </c>
      <c r="G14" s="354">
        <v>14.176482770329667</v>
      </c>
      <c r="H14" s="354">
        <v>1208.6320879021953</v>
      </c>
      <c r="I14" s="354">
        <v>68.546069318681319</v>
      </c>
      <c r="J14" s="354">
        <v>363.12482263076919</v>
      </c>
      <c r="K14" s="354">
        <v>17.298340297802184</v>
      </c>
      <c r="L14" s="354">
        <v>4.8449721571428466</v>
      </c>
      <c r="M14" s="354">
        <v>1.8114522395604398</v>
      </c>
      <c r="N14" s="354">
        <v>7.846258802197803</v>
      </c>
      <c r="O14" s="354">
        <v>3.1135820868131865</v>
      </c>
    </row>
    <row r="15" spans="1:15" x14ac:dyDescent="0.2">
      <c r="A15" s="60" t="s">
        <v>580</v>
      </c>
      <c r="B15" s="61" t="s">
        <v>576</v>
      </c>
      <c r="C15" s="354">
        <v>63.247573617468966</v>
      </c>
      <c r="D15" s="354">
        <v>0.28948117869684653</v>
      </c>
      <c r="E15" s="354">
        <v>0.18861372983158145</v>
      </c>
      <c r="F15" s="354">
        <v>0.67728006011227893</v>
      </c>
      <c r="G15" s="354">
        <v>45.805600065892257</v>
      </c>
      <c r="H15" s="354">
        <v>1191.0069261759434</v>
      </c>
      <c r="I15" s="354">
        <v>117.82556523387481</v>
      </c>
      <c r="J15" s="354">
        <v>235.38274034205628</v>
      </c>
      <c r="K15" s="354">
        <v>0.85341120142737692</v>
      </c>
      <c r="L15" s="354">
        <v>5.70253540081222</v>
      </c>
      <c r="M15" s="354">
        <v>1.0111190749378882</v>
      </c>
      <c r="N15" s="354">
        <v>19.453144785744144</v>
      </c>
      <c r="O15" s="354">
        <v>1.9778029835636648</v>
      </c>
    </row>
    <row r="16" spans="1:15" x14ac:dyDescent="0.2">
      <c r="A16" s="60"/>
      <c r="B16" s="61" t="s">
        <v>577</v>
      </c>
      <c r="C16" s="354" cm="1">
        <f t="array" ref="C16:O16">(25/30)*MI_2018!C16:O16+(5/30)*MI_2018!C17:O17</f>
        <v>65.670949423824482</v>
      </c>
      <c r="D16" s="354">
        <v>0.28948117869684653</v>
      </c>
      <c r="E16" s="354">
        <v>1.3195180358566245</v>
      </c>
      <c r="F16" s="354">
        <v>0.67814005609491945</v>
      </c>
      <c r="G16" s="354">
        <v>24.518831205931473</v>
      </c>
      <c r="H16" s="354">
        <v>1336.5840813672546</v>
      </c>
      <c r="I16" s="354">
        <v>101.91568068312031</v>
      </c>
      <c r="J16" s="354">
        <v>225.6525787730217</v>
      </c>
      <c r="K16" s="354">
        <v>4.669764673103793</v>
      </c>
      <c r="L16" s="354">
        <v>5.675151514036858</v>
      </c>
      <c r="M16" s="354">
        <v>1.4505484462300917</v>
      </c>
      <c r="N16" s="354">
        <v>18.950573495849255</v>
      </c>
      <c r="O16" s="354">
        <v>4.6279342452771148</v>
      </c>
    </row>
    <row r="17" spans="1:15" x14ac:dyDescent="0.2">
      <c r="A17" s="60"/>
      <c r="B17" s="61" t="s">
        <v>575</v>
      </c>
      <c r="C17" s="354" cm="1">
        <f t="array" ref="C17:O17">(25/30)*MI_2018!C17:O17+(5/30)*MI_2018!C18:O18</f>
        <v>78.146748098021206</v>
      </c>
      <c r="D17" s="354">
        <v>0.28948117869684653</v>
      </c>
      <c r="E17" s="354">
        <v>6.9569849296643529</v>
      </c>
      <c r="F17" s="354">
        <v>0.6824400360081222</v>
      </c>
      <c r="G17" s="354">
        <v>9.8615794611920649</v>
      </c>
      <c r="H17" s="354">
        <v>1591.1174348635261</v>
      </c>
      <c r="I17" s="354">
        <v>22.366257929347825</v>
      </c>
      <c r="J17" s="354">
        <v>177.65653974034873</v>
      </c>
      <c r="K17" s="354">
        <v>7.3957314389751536</v>
      </c>
      <c r="L17" s="354">
        <v>5.5382320801600464</v>
      </c>
      <c r="M17" s="354">
        <v>2.0721546994003806</v>
      </c>
      <c r="N17" s="354">
        <v>12.964776412330774</v>
      </c>
      <c r="O17" s="354">
        <v>4.7904670616979228</v>
      </c>
    </row>
    <row r="18" spans="1:15" x14ac:dyDescent="0.2">
      <c r="A18" s="60"/>
      <c r="B18" s="61" t="s">
        <v>581</v>
      </c>
      <c r="C18" s="354">
        <v>78.130278452675611</v>
      </c>
      <c r="D18" s="354">
        <v>0.28948117869684653</v>
      </c>
      <c r="E18" s="354">
        <v>6.9569849296643529</v>
      </c>
      <c r="F18" s="354">
        <v>0.6824400360081222</v>
      </c>
      <c r="G18" s="354">
        <v>9.8615794611920649</v>
      </c>
      <c r="H18" s="354">
        <v>1591.1174348635261</v>
      </c>
      <c r="I18" s="354">
        <v>22.366257929347825</v>
      </c>
      <c r="J18" s="354">
        <v>177.65653974034873</v>
      </c>
      <c r="K18" s="354">
        <v>7.3957314389751536</v>
      </c>
      <c r="L18" s="354">
        <v>5.5382320801600464</v>
      </c>
      <c r="M18" s="354">
        <v>2.0721546994003806</v>
      </c>
      <c r="N18" s="354">
        <v>7.9364854664894775</v>
      </c>
      <c r="O18" s="354">
        <v>4.725455303754778</v>
      </c>
    </row>
    <row r="19" spans="1:15" x14ac:dyDescent="0.2">
      <c r="A19" s="60" t="s">
        <v>402</v>
      </c>
      <c r="B19" s="61" t="s">
        <v>576</v>
      </c>
      <c r="C19" s="354">
        <v>73.961058518555888</v>
      </c>
      <c r="D19" s="354">
        <v>0.33846705315336822</v>
      </c>
      <c r="E19" s="354">
        <v>9.831651352723364E-2</v>
      </c>
      <c r="F19" s="354">
        <v>0.77648306174271364</v>
      </c>
      <c r="G19" s="354">
        <v>49.785507205022697</v>
      </c>
      <c r="H19" s="354">
        <v>920.82528349550876</v>
      </c>
      <c r="I19" s="354">
        <v>86.539151842570462</v>
      </c>
      <c r="J19" s="354">
        <v>304.4730898909699</v>
      </c>
      <c r="K19" s="354">
        <v>1.6636304101230293</v>
      </c>
      <c r="L19" s="354">
        <v>5.2831196812470083</v>
      </c>
      <c r="M19" s="354">
        <v>1.3213306606987565</v>
      </c>
      <c r="N19" s="354">
        <v>19.886053018352843</v>
      </c>
      <c r="O19" s="354">
        <v>2.1094656848136637</v>
      </c>
    </row>
    <row r="20" spans="1:15" x14ac:dyDescent="0.2">
      <c r="A20" s="60"/>
      <c r="B20" s="61" t="s">
        <v>577</v>
      </c>
      <c r="C20" s="354" cm="1">
        <f t="array" ref="C20:O20">(25/30)*MI_2018!C20:O20+(5/30)*MI_2018!C21:O21</f>
        <v>76.434133711324449</v>
      </c>
      <c r="D20" s="354">
        <v>0.33846705315336822</v>
      </c>
      <c r="E20" s="354">
        <v>1.2623580732660447</v>
      </c>
      <c r="F20" s="354">
        <v>0.77797776986303535</v>
      </c>
      <c r="G20" s="354">
        <v>21.658335410913359</v>
      </c>
      <c r="H20" s="354">
        <v>1032.3069697481424</v>
      </c>
      <c r="I20" s="354">
        <v>78.580250793627556</v>
      </c>
      <c r="J20" s="354">
        <v>302.45387997401855</v>
      </c>
      <c r="K20" s="354">
        <v>5.8367979462016244</v>
      </c>
      <c r="L20" s="354">
        <v>5.2831196812470083</v>
      </c>
      <c r="M20" s="354">
        <v>1.6917920370634243</v>
      </c>
      <c r="N20" s="354">
        <v>19.975870281084767</v>
      </c>
      <c r="O20" s="354">
        <v>2.044294966726389</v>
      </c>
    </row>
    <row r="21" spans="1:15" x14ac:dyDescent="0.2">
      <c r="A21" s="60"/>
      <c r="B21" s="61" t="s">
        <v>575</v>
      </c>
      <c r="C21" s="354" cm="1">
        <f t="array" ref="C21:O21">(25/30)*MI_2018!C21:O21+(5/30)*MI_2018!C22:O22</f>
        <v>88.38035420300308</v>
      </c>
      <c r="D21" s="354">
        <v>0.33846705315336822</v>
      </c>
      <c r="E21" s="354">
        <v>7.1459152274904394</v>
      </c>
      <c r="F21" s="354">
        <v>0.78545131046464389</v>
      </c>
      <c r="G21" s="354">
        <v>3.15910185140946</v>
      </c>
      <c r="H21" s="354">
        <v>1301.4636763662436</v>
      </c>
      <c r="I21" s="354">
        <v>38.785745548913042</v>
      </c>
      <c r="J21" s="354">
        <v>292.35783038926184</v>
      </c>
      <c r="K21" s="354">
        <v>8.8176319009316764</v>
      </c>
      <c r="L21" s="354">
        <v>5.2831196812470083</v>
      </c>
      <c r="M21" s="354">
        <v>1.7773783645090762</v>
      </c>
      <c r="N21" s="354">
        <v>14.902098572928606</v>
      </c>
      <c r="O21" s="354">
        <v>2.1939223311544422</v>
      </c>
    </row>
    <row r="22" spans="1:15" x14ac:dyDescent="0.2">
      <c r="A22" s="60"/>
      <c r="B22" s="61" t="s">
        <v>581</v>
      </c>
      <c r="C22" s="354">
        <v>88.364030628762535</v>
      </c>
      <c r="D22" s="354">
        <v>0.33846705315336822</v>
      </c>
      <c r="E22" s="354">
        <v>7.1459152274904394</v>
      </c>
      <c r="F22" s="354">
        <v>0.78545131046464389</v>
      </c>
      <c r="G22" s="354">
        <v>3.1591018514094595</v>
      </c>
      <c r="H22" s="354">
        <v>1301.4636763662436</v>
      </c>
      <c r="I22" s="354">
        <v>38.785745548913042</v>
      </c>
      <c r="J22" s="354">
        <v>292.35783038926184</v>
      </c>
      <c r="K22" s="354">
        <v>8.8176319009316764</v>
      </c>
      <c r="L22" s="354">
        <v>5.2831196812470083</v>
      </c>
      <c r="M22" s="354">
        <v>1.7773783645090762</v>
      </c>
      <c r="N22" s="354">
        <v>11.48879000888078</v>
      </c>
      <c r="O22" s="354">
        <v>2.1294871696786899</v>
      </c>
    </row>
    <row r="23" spans="1:15" x14ac:dyDescent="0.2">
      <c r="A23" s="60" t="s">
        <v>403</v>
      </c>
      <c r="B23" s="61" t="s">
        <v>576</v>
      </c>
      <c r="C23" s="354">
        <v>92.106593835443078</v>
      </c>
      <c r="D23" s="354">
        <v>0.24424686412042113</v>
      </c>
      <c r="E23" s="354">
        <v>0.12761050637201135</v>
      </c>
      <c r="F23" s="354">
        <v>0.18228375881772313</v>
      </c>
      <c r="G23" s="354">
        <v>77.515275772012501</v>
      </c>
      <c r="H23" s="354">
        <v>816.66961909891938</v>
      </c>
      <c r="I23" s="354">
        <v>10.018767650658033</v>
      </c>
      <c r="J23" s="354">
        <v>39.883713630077871</v>
      </c>
      <c r="K23" s="354">
        <v>7.9699212064048591E-2</v>
      </c>
      <c r="L23" s="354">
        <v>0.19992887625027414</v>
      </c>
      <c r="M23" s="354">
        <v>1.8818543859799244</v>
      </c>
      <c r="N23" s="354">
        <v>12.388943001568325</v>
      </c>
      <c r="O23" s="354">
        <v>0.39648400197510358</v>
      </c>
    </row>
    <row r="24" spans="1:15" x14ac:dyDescent="0.2">
      <c r="A24" s="60"/>
      <c r="B24" s="61" t="s">
        <v>577</v>
      </c>
      <c r="C24" s="354" cm="1">
        <f t="array" ref="C24:O24">(25/30)*MI_2018!C24:O24+(5/30)*MI_2018!C25:O25</f>
        <v>84.96842454855522</v>
      </c>
      <c r="D24" s="354">
        <v>0.24424686412042113</v>
      </c>
      <c r="E24" s="354">
        <v>0.192789733146706</v>
      </c>
      <c r="F24" s="354">
        <v>0.18228679015792934</v>
      </c>
      <c r="G24" s="354">
        <v>32.731022077334394</v>
      </c>
      <c r="H24" s="354">
        <v>816.741545244387</v>
      </c>
      <c r="I24" s="354">
        <v>9.0196439414071001</v>
      </c>
      <c r="J24" s="354">
        <v>41.714067175427729</v>
      </c>
      <c r="K24" s="354">
        <v>0.59011593928127459</v>
      </c>
      <c r="L24" s="354">
        <v>0.19992887625027417</v>
      </c>
      <c r="M24" s="354">
        <v>2.1149229967434331</v>
      </c>
      <c r="N24" s="354">
        <v>16.396464731459751</v>
      </c>
      <c r="O24" s="354">
        <v>0.37791461881461524</v>
      </c>
    </row>
    <row r="25" spans="1:15" x14ac:dyDescent="0.2">
      <c r="A25" s="60"/>
      <c r="B25" s="61" t="s">
        <v>575</v>
      </c>
      <c r="C25" s="354" cm="1">
        <f t="array" ref="C25:O25">(25/30)*MI_2018!C25:O25+(5/30)*MI_2018!C26:O26</f>
        <v>80.172770817231651</v>
      </c>
      <c r="D25" s="354">
        <v>0.24424686412042113</v>
      </c>
      <c r="E25" s="354">
        <v>0.44696519143342783</v>
      </c>
      <c r="F25" s="354">
        <v>0.18230194685896026</v>
      </c>
      <c r="G25" s="354">
        <v>0.80942497554397819</v>
      </c>
      <c r="H25" s="354">
        <v>819.25319799053455</v>
      </c>
      <c r="I25" s="354">
        <v>4.0240253951524405</v>
      </c>
      <c r="J25" s="354">
        <v>50.865834902177014</v>
      </c>
      <c r="K25" s="354">
        <v>0.95469931585325674</v>
      </c>
      <c r="L25" s="354">
        <v>0.19992887625027417</v>
      </c>
      <c r="M25" s="354">
        <v>2.1069968816917077</v>
      </c>
      <c r="N25" s="354">
        <v>22.017761082981465</v>
      </c>
      <c r="O25" s="354">
        <v>0.31221953719456014</v>
      </c>
    </row>
    <row r="26" spans="1:15" x14ac:dyDescent="0.2">
      <c r="A26" s="60"/>
      <c r="B26" s="61" t="s">
        <v>581</v>
      </c>
      <c r="C26" s="354">
        <v>80.171314617411696</v>
      </c>
      <c r="D26" s="354">
        <v>0.24424686412042113</v>
      </c>
      <c r="E26" s="354">
        <v>0.44696519143342783</v>
      </c>
      <c r="F26" s="354">
        <v>0.18230194685896023</v>
      </c>
      <c r="G26" s="354">
        <v>0.80942497554397819</v>
      </c>
      <c r="H26" s="354">
        <v>819.25319799053455</v>
      </c>
      <c r="I26" s="354">
        <v>4.0240253951524405</v>
      </c>
      <c r="J26" s="354">
        <v>50.865834902177014</v>
      </c>
      <c r="K26" s="354">
        <v>0.95469931585325674</v>
      </c>
      <c r="L26" s="354">
        <v>0.19992887625027414</v>
      </c>
      <c r="M26" s="354">
        <v>2.1069968816917077</v>
      </c>
      <c r="N26" s="354">
        <v>31.16315817618996</v>
      </c>
      <c r="O26" s="354">
        <v>0.30647138029337567</v>
      </c>
    </row>
    <row r="27" spans="1:15" x14ac:dyDescent="0.2">
      <c r="A27" s="60" t="s">
        <v>404</v>
      </c>
      <c r="B27" s="61" t="s">
        <v>576</v>
      </c>
      <c r="C27" s="354">
        <v>76.371623519910798</v>
      </c>
      <c r="D27" s="354">
        <v>0.32171694557062552</v>
      </c>
      <c r="E27" s="354">
        <v>0.10965742456622675</v>
      </c>
      <c r="F27" s="354">
        <v>0.7536273425403226</v>
      </c>
      <c r="G27" s="354">
        <v>56.616516909457467</v>
      </c>
      <c r="H27" s="354">
        <v>1244.4585829134276</v>
      </c>
      <c r="I27" s="354">
        <v>141.5417439017595</v>
      </c>
      <c r="J27" s="354">
        <v>228.63562795606668</v>
      </c>
      <c r="K27" s="354">
        <v>0.81073296499266856</v>
      </c>
      <c r="L27" s="354">
        <v>12.265440836119248</v>
      </c>
      <c r="M27" s="354">
        <v>1.1337825718015635</v>
      </c>
      <c r="N27" s="354">
        <v>17.710760958339442</v>
      </c>
      <c r="O27" s="354">
        <v>2.0345576971713086</v>
      </c>
    </row>
    <row r="28" spans="1:15" x14ac:dyDescent="0.2">
      <c r="A28" s="60"/>
      <c r="B28" s="61" t="s">
        <v>577</v>
      </c>
      <c r="C28" s="354" cm="1">
        <f t="array" ref="C28:O28">(25/30)*MI_2018!C28:O28+(5/30)*MI_2018!C29:O29</f>
        <v>76.069464293830436</v>
      </c>
      <c r="D28" s="354">
        <v>0.3218891277930514</v>
      </c>
      <c r="E28" s="354">
        <v>1.111510622939063</v>
      </c>
      <c r="F28" s="354">
        <v>0.76766214890131168</v>
      </c>
      <c r="G28" s="354">
        <v>27.060947509448319</v>
      </c>
      <c r="H28" s="354">
        <v>1329.1327123600431</v>
      </c>
      <c r="I28" s="354">
        <v>127.38756951139416</v>
      </c>
      <c r="J28" s="354">
        <v>245.01502366370656</v>
      </c>
      <c r="K28" s="354">
        <v>2.8722794099421636</v>
      </c>
      <c r="L28" s="354">
        <v>11.197325601270764</v>
      </c>
      <c r="M28" s="354">
        <v>1.3916081188924316</v>
      </c>
      <c r="N28" s="354">
        <v>17.422629966882536</v>
      </c>
      <c r="O28" s="354">
        <v>3.2508215694719356</v>
      </c>
    </row>
    <row r="29" spans="1:15" x14ac:dyDescent="0.2">
      <c r="A29" s="60"/>
      <c r="B29" s="61" t="s">
        <v>575</v>
      </c>
      <c r="C29" s="354" cm="1">
        <f t="array" ref="C29:O29">(25/30)*MI_2018!C29:O29+(5/30)*MI_2018!C30:O30</f>
        <v>77.42047600632128</v>
      </c>
      <c r="D29" s="354">
        <v>0.32275003890518078</v>
      </c>
      <c r="E29" s="354">
        <v>6.141978851362385</v>
      </c>
      <c r="F29" s="354">
        <v>0.77157026455889544</v>
      </c>
      <c r="G29" s="354">
        <v>6.3171164099767845</v>
      </c>
      <c r="H29" s="354">
        <v>1378.8947615237157</v>
      </c>
      <c r="I29" s="354">
        <v>56.616697559567442</v>
      </c>
      <c r="J29" s="354">
        <v>326.91200220190592</v>
      </c>
      <c r="K29" s="354">
        <v>4.1439175575533556</v>
      </c>
      <c r="L29" s="354">
        <v>5.8567494270283404</v>
      </c>
      <c r="M29" s="354">
        <v>1.6670462345764896</v>
      </c>
      <c r="N29" s="354">
        <v>12.921935676399071</v>
      </c>
      <c r="O29" s="354">
        <v>3.1764030885579571</v>
      </c>
    </row>
    <row r="30" spans="1:15" ht="16" thickBot="1" x14ac:dyDescent="0.25">
      <c r="A30" s="66"/>
      <c r="B30" s="61" t="s">
        <v>581</v>
      </c>
      <c r="C30" s="354">
        <v>77.420896134762941</v>
      </c>
      <c r="D30" s="354">
        <v>0.32275003890518073</v>
      </c>
      <c r="E30" s="354">
        <v>6.141978851362385</v>
      </c>
      <c r="F30" s="354">
        <v>0.77157026455889544</v>
      </c>
      <c r="G30" s="354">
        <v>7.4154301751283</v>
      </c>
      <c r="H30" s="354">
        <v>1378.8947615237157</v>
      </c>
      <c r="I30" s="354">
        <v>56.616697559567442</v>
      </c>
      <c r="J30" s="354">
        <v>326.91200220190592</v>
      </c>
      <c r="K30" s="354">
        <v>4.4154543561644672</v>
      </c>
      <c r="L30" s="354">
        <v>5.8567494270283404</v>
      </c>
      <c r="M30" s="354">
        <v>1.6713908232861669</v>
      </c>
      <c r="N30" s="354">
        <v>8.9234626837304489</v>
      </c>
      <c r="O30" s="354">
        <v>3.1264975707233607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019E-6F89-401C-A664-2A986FB7D8B2}">
  <sheetPr>
    <tabColor theme="7" tint="0.79998168889431442"/>
  </sheetPr>
  <dimension ref="A1:O30"/>
  <sheetViews>
    <sheetView zoomScaleNormal="100" workbookViewId="0">
      <selection activeCell="C3" sqref="C3:O30"/>
    </sheetView>
  </sheetViews>
  <sheetFormatPr baseColWidth="10" defaultColWidth="8.83203125" defaultRowHeight="15" x14ac:dyDescent="0.2"/>
  <cols>
    <col min="1" max="1" width="19.33203125" customWidth="1"/>
    <col min="2" max="2" width="13.83203125" customWidth="1"/>
    <col min="3" max="3" width="9.5" bestFit="1" customWidth="1"/>
    <col min="4" max="4" width="9" bestFit="1" customWidth="1"/>
    <col min="5" max="7" width="9.5" bestFit="1" customWidth="1"/>
    <col min="8" max="8" width="9.6640625" bestFit="1" customWidth="1"/>
    <col min="9" max="15" width="9.5" bestFit="1" customWidth="1"/>
  </cols>
  <sheetData>
    <row r="1" spans="1:15" x14ac:dyDescent="0.2">
      <c r="A1" s="69" t="s">
        <v>395</v>
      </c>
      <c r="B1" s="70" t="s">
        <v>396</v>
      </c>
      <c r="C1" s="79" t="s">
        <v>397</v>
      </c>
      <c r="D1" s="79" t="s">
        <v>87</v>
      </c>
      <c r="E1" s="79" t="s">
        <v>86</v>
      </c>
      <c r="F1" s="79" t="s">
        <v>218</v>
      </c>
      <c r="G1" s="79" t="s">
        <v>93</v>
      </c>
      <c r="H1" s="79" t="s">
        <v>88</v>
      </c>
      <c r="I1" s="79" t="s">
        <v>190</v>
      </c>
      <c r="J1" s="79" t="s">
        <v>191</v>
      </c>
      <c r="K1" s="79" t="s">
        <v>92</v>
      </c>
      <c r="L1" s="79" t="s">
        <v>205</v>
      </c>
      <c r="M1" s="79" t="s">
        <v>112</v>
      </c>
      <c r="N1" s="79" t="s">
        <v>94</v>
      </c>
      <c r="O1" s="70" t="s">
        <v>214</v>
      </c>
    </row>
    <row r="2" spans="1:15" ht="16" thickBot="1" x14ac:dyDescent="0.25">
      <c r="A2" s="66"/>
      <c r="B2" s="67"/>
      <c r="C2" s="352" t="s">
        <v>454</v>
      </c>
      <c r="D2" s="352" t="s">
        <v>454</v>
      </c>
      <c r="E2" s="352" t="s">
        <v>454</v>
      </c>
      <c r="F2" s="352" t="s">
        <v>454</v>
      </c>
      <c r="G2" s="352" t="s">
        <v>454</v>
      </c>
      <c r="H2" s="352" t="s">
        <v>454</v>
      </c>
      <c r="I2" s="352" t="s">
        <v>454</v>
      </c>
      <c r="J2" s="352" t="s">
        <v>454</v>
      </c>
      <c r="K2" s="352" t="s">
        <v>454</v>
      </c>
      <c r="L2" s="352" t="s">
        <v>454</v>
      </c>
      <c r="M2" s="352" t="s">
        <v>454</v>
      </c>
      <c r="N2" s="352" t="s">
        <v>454</v>
      </c>
      <c r="O2" s="353" t="s">
        <v>454</v>
      </c>
    </row>
    <row r="3" spans="1:15" x14ac:dyDescent="0.2">
      <c r="A3" s="60" t="s">
        <v>398</v>
      </c>
      <c r="B3" s="61" t="s">
        <v>266</v>
      </c>
      <c r="C3" s="354">
        <v>64.536322439436617</v>
      </c>
      <c r="D3" s="354">
        <v>0.88389121126760573</v>
      </c>
      <c r="E3" s="354">
        <v>0.15058813239436622</v>
      </c>
      <c r="F3" s="354">
        <v>2.6386156640845067</v>
      </c>
      <c r="G3" s="354">
        <v>134.5922306746472</v>
      </c>
      <c r="H3" s="354">
        <v>1382.6945053443642</v>
      </c>
      <c r="I3" s="354">
        <v>306.15153726760565</v>
      </c>
      <c r="J3" s="354">
        <v>361.47610075352111</v>
      </c>
      <c r="K3" s="354">
        <v>9.0275356338028176E-2</v>
      </c>
      <c r="L3" s="354">
        <v>18.528317862676055</v>
      </c>
      <c r="M3" s="354">
        <v>1.2819120188732387</v>
      </c>
      <c r="N3" s="354">
        <v>13.977078654929578</v>
      </c>
      <c r="O3" s="354">
        <v>1.5863528683098591</v>
      </c>
    </row>
    <row r="4" spans="1:15" x14ac:dyDescent="0.2">
      <c r="A4" s="60"/>
      <c r="B4" s="61" t="s">
        <v>267</v>
      </c>
      <c r="C4" s="354">
        <v>59.082540896478868</v>
      </c>
      <c r="D4" s="354">
        <v>0.88389121126760573</v>
      </c>
      <c r="E4" s="354">
        <v>0.24737031126760564</v>
      </c>
      <c r="F4" s="354">
        <v>2.6610961119718306</v>
      </c>
      <c r="G4" s="354">
        <v>75.483782997183113</v>
      </c>
      <c r="H4" s="354">
        <v>1442.0578473443643</v>
      </c>
      <c r="I4" s="354">
        <v>306.15153726760565</v>
      </c>
      <c r="J4" s="354">
        <v>390.84815383098584</v>
      </c>
      <c r="K4" s="354">
        <v>2.860638497887324</v>
      </c>
      <c r="L4" s="354">
        <v>18.528317862676055</v>
      </c>
      <c r="M4" s="354">
        <v>1.5625288928169003</v>
      </c>
      <c r="N4" s="354">
        <v>14.460271812676055</v>
      </c>
      <c r="O4" s="354">
        <v>1.9293660499999998</v>
      </c>
    </row>
    <row r="5" spans="1:15" x14ac:dyDescent="0.2">
      <c r="A5" s="60"/>
      <c r="B5" s="61" t="s">
        <v>268</v>
      </c>
      <c r="C5" s="354">
        <v>53.762747215492951</v>
      </c>
      <c r="D5" s="354">
        <v>0.88389121126760573</v>
      </c>
      <c r="E5" s="354">
        <v>0.22328285563380282</v>
      </c>
      <c r="F5" s="354">
        <v>2.6610961119718306</v>
      </c>
      <c r="G5" s="354">
        <v>26.855921115492958</v>
      </c>
      <c r="H5" s="354">
        <v>1450.3671319436598</v>
      </c>
      <c r="I5" s="354">
        <v>122.46061490845072</v>
      </c>
      <c r="J5" s="354">
        <v>766.16843432394228</v>
      </c>
      <c r="K5" s="354">
        <v>5.6310016387323945</v>
      </c>
      <c r="L5" s="354">
        <v>2.8341528697183032</v>
      </c>
      <c r="M5" s="354">
        <v>1.8005107287323932</v>
      </c>
      <c r="N5" s="354">
        <v>15.020736049295767</v>
      </c>
      <c r="O5" s="354">
        <v>1.9190858126760564</v>
      </c>
    </row>
    <row r="6" spans="1:15" x14ac:dyDescent="0.2">
      <c r="A6" s="60"/>
      <c r="B6" s="61" t="s">
        <v>455</v>
      </c>
      <c r="C6" s="354">
        <v>53.747727971830976</v>
      </c>
      <c r="D6" s="354">
        <v>0.88389121126760573</v>
      </c>
      <c r="E6" s="354">
        <v>0.22328285563380282</v>
      </c>
      <c r="F6" s="354">
        <v>2.6610961119718306</v>
      </c>
      <c r="G6" s="354">
        <v>39.052213596478872</v>
      </c>
      <c r="H6" s="354">
        <v>1450.3671319436598</v>
      </c>
      <c r="I6" s="354">
        <v>122.46061490845072</v>
      </c>
      <c r="J6" s="354">
        <v>766.16843432394228</v>
      </c>
      <c r="K6" s="354">
        <v>5.6310016387323945</v>
      </c>
      <c r="L6" s="354">
        <v>2.8341528697183032</v>
      </c>
      <c r="M6" s="354">
        <v>1.8005107287323932</v>
      </c>
      <c r="N6" s="354">
        <v>16.061437992957746</v>
      </c>
      <c r="O6" s="354">
        <v>2.0107568838028169</v>
      </c>
    </row>
    <row r="7" spans="1:15" x14ac:dyDescent="0.2">
      <c r="A7" s="60" t="s">
        <v>399</v>
      </c>
      <c r="B7" s="61" t="s">
        <v>266</v>
      </c>
      <c r="C7" s="354">
        <v>51.236411047826117</v>
      </c>
      <c r="D7" s="354">
        <v>0.35149360434782612</v>
      </c>
      <c r="E7" s="354">
        <v>0.37854946376811599</v>
      </c>
      <c r="F7" s="354">
        <v>1.4697139710144911</v>
      </c>
      <c r="G7" s="354">
        <v>64.768413495652169</v>
      </c>
      <c r="H7" s="354">
        <v>1144.3172885652173</v>
      </c>
      <c r="I7" s="354">
        <v>162.86606424637682</v>
      </c>
      <c r="J7" s="354">
        <v>297.16810726811593</v>
      </c>
      <c r="K7" s="354">
        <v>0.23043419420289715</v>
      </c>
      <c r="L7" s="354">
        <v>2.7625526971014498</v>
      </c>
      <c r="M7" s="354">
        <v>0.81826993999999875</v>
      </c>
      <c r="N7" s="354">
        <v>13.21922307536232</v>
      </c>
      <c r="O7" s="354">
        <v>1.37412562173913</v>
      </c>
    </row>
    <row r="8" spans="1:15" x14ac:dyDescent="0.2">
      <c r="A8" s="60"/>
      <c r="B8" s="61" t="s">
        <v>267</v>
      </c>
      <c r="C8" s="354">
        <v>53.185350868115947</v>
      </c>
      <c r="D8" s="354">
        <v>0.35149360434782612</v>
      </c>
      <c r="E8" s="354">
        <v>0.47542224637681163</v>
      </c>
      <c r="F8" s="354">
        <v>1.5202924623188392</v>
      </c>
      <c r="G8" s="354">
        <v>40.861085121739109</v>
      </c>
      <c r="H8" s="354">
        <v>1225.6518204347826</v>
      </c>
      <c r="I8" s="354">
        <v>162.86606424637682</v>
      </c>
      <c r="J8" s="354">
        <v>306.19717929855074</v>
      </c>
      <c r="K8" s="354">
        <v>2.3138175405797088</v>
      </c>
      <c r="L8" s="354">
        <v>2.7625526971014498</v>
      </c>
      <c r="M8" s="354">
        <v>1.1453851689855061</v>
      </c>
      <c r="N8" s="354">
        <v>13.477310789855075</v>
      </c>
      <c r="O8" s="354">
        <v>1.9611908681159418</v>
      </c>
    </row>
    <row r="9" spans="1:15" x14ac:dyDescent="0.2">
      <c r="A9" s="60"/>
      <c r="B9" s="61" t="s">
        <v>268</v>
      </c>
      <c r="C9" s="354">
        <v>54.825078604347844</v>
      </c>
      <c r="D9" s="354">
        <v>0.35149360434782612</v>
      </c>
      <c r="E9" s="354">
        <v>0.37808582173913047</v>
      </c>
      <c r="F9" s="354">
        <v>1.5202924623188392</v>
      </c>
      <c r="G9" s="354">
        <v>20.304001179710145</v>
      </c>
      <c r="H9" s="354">
        <v>1304.4812254217391</v>
      </c>
      <c r="I9" s="354">
        <v>65.146425695652184</v>
      </c>
      <c r="J9" s="354">
        <v>470.94709410000002</v>
      </c>
      <c r="K9" s="354">
        <v>4.3972008869565204</v>
      </c>
      <c r="L9" s="354">
        <v>2.7625526971014498</v>
      </c>
      <c r="M9" s="354">
        <v>1.8714109544927526</v>
      </c>
      <c r="N9" s="354">
        <v>13.843262210144928</v>
      </c>
      <c r="O9" s="354">
        <v>1.9569467173913042</v>
      </c>
    </row>
    <row r="10" spans="1:15" x14ac:dyDescent="0.2">
      <c r="A10" s="60"/>
      <c r="B10" s="61" t="s">
        <v>455</v>
      </c>
      <c r="C10" s="354">
        <v>54.810216828985524</v>
      </c>
      <c r="D10" s="354">
        <v>0.35149360434782612</v>
      </c>
      <c r="E10" s="354">
        <v>0.37808582173913047</v>
      </c>
      <c r="F10" s="354">
        <v>1.5202924623188392</v>
      </c>
      <c r="G10" s="354">
        <v>32.834914582608697</v>
      </c>
      <c r="H10" s="354">
        <v>1304.4812254217391</v>
      </c>
      <c r="I10" s="354">
        <v>65.146425695652184</v>
      </c>
      <c r="J10" s="354">
        <v>470.94709410000002</v>
      </c>
      <c r="K10" s="354">
        <v>4.3972008869565204</v>
      </c>
      <c r="L10" s="354">
        <v>2.7625526971014498</v>
      </c>
      <c r="M10" s="354">
        <v>1.8714109544927526</v>
      </c>
      <c r="N10" s="354">
        <v>14.505308227536233</v>
      </c>
      <c r="O10" s="354">
        <v>2.0533810913043462</v>
      </c>
    </row>
    <row r="11" spans="1:15" x14ac:dyDescent="0.2">
      <c r="A11" s="60" t="s">
        <v>400</v>
      </c>
      <c r="B11" s="61" t="s">
        <v>266</v>
      </c>
      <c r="C11" s="354">
        <v>46.466515152747249</v>
      </c>
      <c r="D11" s="354">
        <v>0.20715254395604393</v>
      </c>
      <c r="E11" s="354">
        <v>0.11701019340659341</v>
      </c>
      <c r="F11" s="354">
        <v>0.46113914505494502</v>
      </c>
      <c r="G11" s="354">
        <v>42.832492139560415</v>
      </c>
      <c r="H11" s="354">
        <v>1097.8571164296693</v>
      </c>
      <c r="I11" s="354">
        <v>171.36517329670332</v>
      </c>
      <c r="J11" s="354">
        <v>275.99687683296702</v>
      </c>
      <c r="K11" s="354">
        <v>11.018224612087911</v>
      </c>
      <c r="L11" s="354">
        <v>18.81893665164834</v>
      </c>
      <c r="M11" s="354">
        <v>1.4989690769230766</v>
      </c>
      <c r="N11" s="354">
        <v>16.883190557142861</v>
      </c>
      <c r="O11" s="354">
        <v>2.0109270461538458</v>
      </c>
    </row>
    <row r="12" spans="1:15" x14ac:dyDescent="0.2">
      <c r="A12" s="60"/>
      <c r="B12" s="61" t="s">
        <v>267</v>
      </c>
      <c r="C12" s="354">
        <v>46.565791712087908</v>
      </c>
      <c r="D12" s="354">
        <v>0.20715254395604393</v>
      </c>
      <c r="E12" s="354">
        <v>0.13084169560439551</v>
      </c>
      <c r="F12" s="354">
        <v>0.49499219999999994</v>
      </c>
      <c r="G12" s="354">
        <v>24.410079309890111</v>
      </c>
      <c r="H12" s="354">
        <v>1168.9713799285703</v>
      </c>
      <c r="I12" s="354">
        <v>171.36517329670332</v>
      </c>
      <c r="J12" s="354">
        <v>275.9463344263736</v>
      </c>
      <c r="K12" s="354">
        <v>14.158282454945043</v>
      </c>
      <c r="L12" s="354">
        <v>18.81893665164834</v>
      </c>
      <c r="M12" s="354">
        <v>1.7718148934065934</v>
      </c>
      <c r="N12" s="354">
        <v>17.205952518681318</v>
      </c>
      <c r="O12" s="354">
        <v>3.1708806329670325</v>
      </c>
    </row>
    <row r="13" spans="1:15" x14ac:dyDescent="0.2">
      <c r="A13" s="60"/>
      <c r="B13" s="61" t="s">
        <v>268</v>
      </c>
      <c r="C13" s="354">
        <v>48.054900825274721</v>
      </c>
      <c r="D13" s="354">
        <v>0.20751864175824175</v>
      </c>
      <c r="E13" s="354">
        <v>1.4716251010989008</v>
      </c>
      <c r="F13" s="354">
        <v>0.49499219999999994</v>
      </c>
      <c r="G13" s="354">
        <v>9.4723306142857133</v>
      </c>
      <c r="H13" s="354">
        <v>1208.6320879021953</v>
      </c>
      <c r="I13" s="354">
        <v>68.546069318681319</v>
      </c>
      <c r="J13" s="354">
        <v>363.12482263076919</v>
      </c>
      <c r="K13" s="354">
        <v>17.298340297802184</v>
      </c>
      <c r="L13" s="354">
        <v>4.8449721571428466</v>
      </c>
      <c r="M13" s="354">
        <v>1.8114522395604398</v>
      </c>
      <c r="N13" s="354">
        <v>12.358508760439561</v>
      </c>
      <c r="O13" s="354">
        <v>3.1320880032967029</v>
      </c>
    </row>
    <row r="14" spans="1:15" x14ac:dyDescent="0.2">
      <c r="A14" s="60"/>
      <c r="B14" s="61" t="s">
        <v>455</v>
      </c>
      <c r="C14" s="354">
        <v>48.035462363736258</v>
      </c>
      <c r="D14" s="354">
        <v>0.20751864175824175</v>
      </c>
      <c r="E14" s="354">
        <v>1.4716251010989008</v>
      </c>
      <c r="F14" s="354">
        <v>0.49499219999999994</v>
      </c>
      <c r="G14" s="354">
        <v>14.176482770329667</v>
      </c>
      <c r="H14" s="354">
        <v>1208.6320879021953</v>
      </c>
      <c r="I14" s="354">
        <v>68.546069318681319</v>
      </c>
      <c r="J14" s="354">
        <v>363.12482263076919</v>
      </c>
      <c r="K14" s="354">
        <v>17.298340297802184</v>
      </c>
      <c r="L14" s="354">
        <v>4.8449721571428466</v>
      </c>
      <c r="M14" s="354">
        <v>1.8114522395604398</v>
      </c>
      <c r="N14" s="354">
        <v>7.846258802197803</v>
      </c>
      <c r="O14" s="354">
        <v>3.1135820868131865</v>
      </c>
    </row>
    <row r="15" spans="1:15" x14ac:dyDescent="0.2">
      <c r="A15" s="60" t="s">
        <v>401</v>
      </c>
      <c r="B15" s="61" t="s">
        <v>266</v>
      </c>
      <c r="C15" s="354">
        <v>63.247573617468966</v>
      </c>
      <c r="D15" s="354">
        <v>0.28948117869684653</v>
      </c>
      <c r="E15" s="354">
        <v>0.18861372983158145</v>
      </c>
      <c r="F15" s="354">
        <v>0.67728006011227893</v>
      </c>
      <c r="G15" s="354">
        <v>45.805600065892257</v>
      </c>
      <c r="H15" s="354">
        <v>1191.0069261759434</v>
      </c>
      <c r="I15" s="354">
        <v>117.82556523387481</v>
      </c>
      <c r="J15" s="354">
        <v>235.38274034205628</v>
      </c>
      <c r="K15" s="354">
        <v>0.85341120142737692</v>
      </c>
      <c r="L15" s="354">
        <v>5.70253540081222</v>
      </c>
      <c r="M15" s="354">
        <v>1.0111190749378882</v>
      </c>
      <c r="N15" s="354">
        <v>19.453144785744144</v>
      </c>
      <c r="O15" s="354">
        <v>1.9778029835636648</v>
      </c>
    </row>
    <row r="16" spans="1:15" x14ac:dyDescent="0.2">
      <c r="A16" s="60"/>
      <c r="B16" s="61" t="s">
        <v>267</v>
      </c>
      <c r="C16" s="354">
        <v>63.175130903171308</v>
      </c>
      <c r="D16" s="354">
        <v>0.28948117869684653</v>
      </c>
      <c r="E16" s="354">
        <v>0.19202465709507882</v>
      </c>
      <c r="F16" s="354">
        <v>0.67728006011227893</v>
      </c>
      <c r="G16" s="354">
        <v>27.450281554879354</v>
      </c>
      <c r="H16" s="354">
        <v>1285.6774106680002</v>
      </c>
      <c r="I16" s="354">
        <v>117.82556523387481</v>
      </c>
      <c r="J16" s="354">
        <v>235.2517865795563</v>
      </c>
      <c r="K16" s="354">
        <v>4.1245713199295206</v>
      </c>
      <c r="L16" s="354">
        <v>5.70253540081222</v>
      </c>
      <c r="M16" s="354">
        <v>1.3262271955960339</v>
      </c>
      <c r="N16" s="354">
        <v>19.946601274719299</v>
      </c>
      <c r="O16" s="354">
        <v>4.5928272116752273</v>
      </c>
    </row>
    <row r="17" spans="1:15" x14ac:dyDescent="0.2">
      <c r="A17" s="60"/>
      <c r="B17" s="61" t="s">
        <v>268</v>
      </c>
      <c r="C17" s="354">
        <v>78.150042027090322</v>
      </c>
      <c r="D17" s="354">
        <v>0.28948117869684653</v>
      </c>
      <c r="E17" s="354">
        <v>6.9569849296643529</v>
      </c>
      <c r="F17" s="354">
        <v>0.6824400360081222</v>
      </c>
      <c r="G17" s="354">
        <v>9.8615794611920649</v>
      </c>
      <c r="H17" s="354">
        <v>1591.1174348635261</v>
      </c>
      <c r="I17" s="354">
        <v>22.366257929347825</v>
      </c>
      <c r="J17" s="354">
        <v>177.65653974034873</v>
      </c>
      <c r="K17" s="354">
        <v>7.3957314389751536</v>
      </c>
      <c r="L17" s="354">
        <v>5.5382320801600464</v>
      </c>
      <c r="M17" s="354">
        <v>2.0721546994003806</v>
      </c>
      <c r="N17" s="354">
        <v>13.970434601499033</v>
      </c>
      <c r="O17" s="354">
        <v>4.8034694132865514</v>
      </c>
    </row>
    <row r="18" spans="1:15" x14ac:dyDescent="0.2">
      <c r="A18" s="60"/>
      <c r="B18" s="61" t="s">
        <v>455</v>
      </c>
      <c r="C18" s="354">
        <v>78.130278452675611</v>
      </c>
      <c r="D18" s="354">
        <v>0.28948117869684653</v>
      </c>
      <c r="E18" s="354">
        <v>6.9569849296643529</v>
      </c>
      <c r="F18" s="354">
        <v>0.6824400360081222</v>
      </c>
      <c r="G18" s="354">
        <v>9.8615794611920649</v>
      </c>
      <c r="H18" s="354">
        <v>1591.1174348635261</v>
      </c>
      <c r="I18" s="354">
        <v>22.366257929347825</v>
      </c>
      <c r="J18" s="354">
        <v>177.65653974034873</v>
      </c>
      <c r="K18" s="354">
        <v>7.3957314389751536</v>
      </c>
      <c r="L18" s="354">
        <v>5.5382320801600464</v>
      </c>
      <c r="M18" s="354">
        <v>2.0721546994003806</v>
      </c>
      <c r="N18" s="354">
        <v>7.9364854664894775</v>
      </c>
      <c r="O18" s="354">
        <v>4.725455303754778</v>
      </c>
    </row>
    <row r="19" spans="1:15" x14ac:dyDescent="0.2">
      <c r="A19" s="60" t="s">
        <v>402</v>
      </c>
      <c r="B19" s="61" t="s">
        <v>266</v>
      </c>
      <c r="C19" s="354">
        <v>73.961058518555888</v>
      </c>
      <c r="D19" s="354">
        <v>0.33846705315336822</v>
      </c>
      <c r="E19" s="354">
        <v>9.831651352723364E-2</v>
      </c>
      <c r="F19" s="354">
        <v>0.77648306174271364</v>
      </c>
      <c r="G19" s="354">
        <v>49.785507205022697</v>
      </c>
      <c r="H19" s="354">
        <v>920.82528349550876</v>
      </c>
      <c r="I19" s="354">
        <v>86.539151842570462</v>
      </c>
      <c r="J19" s="354">
        <v>304.4730898909699</v>
      </c>
      <c r="K19" s="354">
        <v>1.6636304101230293</v>
      </c>
      <c r="L19" s="354">
        <v>5.2831196812470083</v>
      </c>
      <c r="M19" s="354">
        <v>1.3213306606987565</v>
      </c>
      <c r="N19" s="354">
        <v>19.886053018352843</v>
      </c>
      <c r="O19" s="354">
        <v>2.1094656848136637</v>
      </c>
    </row>
    <row r="20" spans="1:15" x14ac:dyDescent="0.2">
      <c r="A20" s="60"/>
      <c r="B20" s="61" t="s">
        <v>267</v>
      </c>
      <c r="C20" s="354">
        <v>74.044236670019103</v>
      </c>
      <c r="D20" s="354">
        <v>0.33846705315336822</v>
      </c>
      <c r="E20" s="354">
        <v>8.5646642421165792E-2</v>
      </c>
      <c r="F20" s="354">
        <v>0.77648306174271364</v>
      </c>
      <c r="G20" s="354">
        <v>25.358182122814139</v>
      </c>
      <c r="H20" s="354">
        <v>978.47562842452214</v>
      </c>
      <c r="I20" s="354">
        <v>86.539151842570462</v>
      </c>
      <c r="J20" s="354">
        <v>304.4730898909699</v>
      </c>
      <c r="K20" s="354">
        <v>5.2406311552556133</v>
      </c>
      <c r="L20" s="354">
        <v>5.2831196812470083</v>
      </c>
      <c r="M20" s="354">
        <v>1.6746747715742938</v>
      </c>
      <c r="N20" s="354">
        <v>20.854092280154088</v>
      </c>
      <c r="O20" s="354">
        <v>2.0117920873817479</v>
      </c>
    </row>
    <row r="21" spans="1:15" x14ac:dyDescent="0.2">
      <c r="A21" s="60"/>
      <c r="B21" s="61" t="s">
        <v>268</v>
      </c>
      <c r="C21" s="354">
        <v>88.38361891785118</v>
      </c>
      <c r="D21" s="354">
        <v>0.33846705315336822</v>
      </c>
      <c r="E21" s="354">
        <v>7.1459152274904394</v>
      </c>
      <c r="F21" s="354">
        <v>0.78545131046464389</v>
      </c>
      <c r="G21" s="354">
        <v>3.1591018514094595</v>
      </c>
      <c r="H21" s="354">
        <v>1301.4636763662436</v>
      </c>
      <c r="I21" s="354">
        <v>38.785745548913042</v>
      </c>
      <c r="J21" s="354">
        <v>292.35783038926184</v>
      </c>
      <c r="K21" s="354">
        <v>8.8176319009316764</v>
      </c>
      <c r="L21" s="354">
        <v>5.2831196812470083</v>
      </c>
      <c r="M21" s="354">
        <v>1.7773783645090762</v>
      </c>
      <c r="N21" s="354">
        <v>15.58476028573817</v>
      </c>
      <c r="O21" s="354">
        <v>2.2068093634495929</v>
      </c>
    </row>
    <row r="22" spans="1:15" x14ac:dyDescent="0.2">
      <c r="A22" s="60"/>
      <c r="B22" s="61" t="s">
        <v>455</v>
      </c>
      <c r="C22" s="354">
        <v>88.364030628762535</v>
      </c>
      <c r="D22" s="354">
        <v>0.33846705315336822</v>
      </c>
      <c r="E22" s="354">
        <v>7.1459152274904394</v>
      </c>
      <c r="F22" s="354">
        <v>0.78545131046464389</v>
      </c>
      <c r="G22" s="354">
        <v>3.1591018514094595</v>
      </c>
      <c r="H22" s="354">
        <v>1301.4636763662436</v>
      </c>
      <c r="I22" s="354">
        <v>38.785745548913042</v>
      </c>
      <c r="J22" s="354">
        <v>292.35783038926184</v>
      </c>
      <c r="K22" s="354">
        <v>8.8176319009316764</v>
      </c>
      <c r="L22" s="354">
        <v>5.2831196812470083</v>
      </c>
      <c r="M22" s="354">
        <v>1.7773783645090762</v>
      </c>
      <c r="N22" s="354">
        <v>11.48879000888078</v>
      </c>
      <c r="O22" s="354">
        <v>2.1294871696786899</v>
      </c>
    </row>
    <row r="23" spans="1:15" x14ac:dyDescent="0.2">
      <c r="A23" s="60" t="s">
        <v>403</v>
      </c>
      <c r="B23" s="61" t="s">
        <v>266</v>
      </c>
      <c r="C23" s="354">
        <v>92.106593835443078</v>
      </c>
      <c r="D23" s="354">
        <v>0.24424686412042113</v>
      </c>
      <c r="E23" s="354">
        <v>0.12761050637201135</v>
      </c>
      <c r="F23" s="354">
        <v>0.18228375881772313</v>
      </c>
      <c r="G23" s="354">
        <v>77.515275772012501</v>
      </c>
      <c r="H23" s="354">
        <v>816.66961909891938</v>
      </c>
      <c r="I23" s="354">
        <v>10.018767650658033</v>
      </c>
      <c r="J23" s="354">
        <v>39.883713630077871</v>
      </c>
      <c r="K23" s="354">
        <v>7.9699212064048591E-2</v>
      </c>
      <c r="L23" s="354">
        <v>0.19992887625027414</v>
      </c>
      <c r="M23" s="354">
        <v>1.8818543859799244</v>
      </c>
      <c r="N23" s="354">
        <v>12.388943001568325</v>
      </c>
      <c r="O23" s="354">
        <v>0.39648400197510358</v>
      </c>
    </row>
    <row r="24" spans="1:15" x14ac:dyDescent="0.2">
      <c r="A24" s="60"/>
      <c r="B24" s="61" t="s">
        <v>267</v>
      </c>
      <c r="C24" s="354">
        <v>85.927497046827142</v>
      </c>
      <c r="D24" s="354">
        <v>0.24424686412042113</v>
      </c>
      <c r="E24" s="354">
        <v>0.14195464148936165</v>
      </c>
      <c r="F24" s="354">
        <v>0.18228375881772313</v>
      </c>
      <c r="G24" s="354">
        <v>39.115341497692469</v>
      </c>
      <c r="H24" s="354">
        <v>816.23921469515744</v>
      </c>
      <c r="I24" s="354">
        <v>10.018767650658033</v>
      </c>
      <c r="J24" s="354">
        <v>39.883713630077871</v>
      </c>
      <c r="K24" s="354">
        <v>0.5171992639668781</v>
      </c>
      <c r="L24" s="354">
        <v>0.19992887625027414</v>
      </c>
      <c r="M24" s="354">
        <v>2.1165082197537783</v>
      </c>
      <c r="N24" s="354">
        <v>15.638021344883747</v>
      </c>
      <c r="O24" s="354">
        <v>0.39082370886257889</v>
      </c>
    </row>
    <row r="25" spans="1:15" x14ac:dyDescent="0.2">
      <c r="A25" s="60"/>
      <c r="B25" s="61" t="s">
        <v>268</v>
      </c>
      <c r="C25" s="354">
        <v>80.173062057195636</v>
      </c>
      <c r="D25" s="354">
        <v>0.24424686412042113</v>
      </c>
      <c r="E25" s="354">
        <v>0.44696519143342783</v>
      </c>
      <c r="F25" s="354">
        <v>0.18230194685896023</v>
      </c>
      <c r="G25" s="354">
        <v>0.80942497554397819</v>
      </c>
      <c r="H25" s="354">
        <v>819.25319799053455</v>
      </c>
      <c r="I25" s="354">
        <v>4.0240253951524405</v>
      </c>
      <c r="J25" s="354">
        <v>50.865834902177014</v>
      </c>
      <c r="K25" s="354">
        <v>0.95469931585325674</v>
      </c>
      <c r="L25" s="354">
        <v>0.19992887625027414</v>
      </c>
      <c r="M25" s="354">
        <v>2.1069968816917077</v>
      </c>
      <c r="N25" s="354">
        <v>20.188681664339768</v>
      </c>
      <c r="O25" s="354">
        <v>0.31336916857479702</v>
      </c>
    </row>
    <row r="26" spans="1:15" x14ac:dyDescent="0.2">
      <c r="A26" s="60"/>
      <c r="B26" s="61" t="s">
        <v>455</v>
      </c>
      <c r="C26" s="354">
        <v>80.171314617411696</v>
      </c>
      <c r="D26" s="354">
        <v>0.24424686412042113</v>
      </c>
      <c r="E26" s="354">
        <v>0.44696519143342783</v>
      </c>
      <c r="F26" s="354">
        <v>0.18230194685896023</v>
      </c>
      <c r="G26" s="354">
        <v>0.80942497554397819</v>
      </c>
      <c r="H26" s="354">
        <v>819.25319799053455</v>
      </c>
      <c r="I26" s="354">
        <v>4.0240253951524405</v>
      </c>
      <c r="J26" s="354">
        <v>50.865834902177014</v>
      </c>
      <c r="K26" s="354">
        <v>0.95469931585325674</v>
      </c>
      <c r="L26" s="354">
        <v>0.19992887625027414</v>
      </c>
      <c r="M26" s="354">
        <v>2.1069968816917077</v>
      </c>
      <c r="N26" s="354">
        <v>31.16315817618996</v>
      </c>
      <c r="O26" s="354">
        <v>0.30647138029337567</v>
      </c>
    </row>
    <row r="27" spans="1:15" x14ac:dyDescent="0.2">
      <c r="A27" s="60" t="s">
        <v>404</v>
      </c>
      <c r="B27" s="61" t="s">
        <v>266</v>
      </c>
      <c r="C27" s="354">
        <v>76.371623519910798</v>
      </c>
      <c r="D27" s="354">
        <v>0.32171694557062552</v>
      </c>
      <c r="E27" s="354">
        <v>0.10965742456622675</v>
      </c>
      <c r="F27" s="354">
        <v>0.7536273425403226</v>
      </c>
      <c r="G27" s="354">
        <v>56.616516909457467</v>
      </c>
      <c r="H27" s="354">
        <v>1244.4585829134276</v>
      </c>
      <c r="I27" s="354">
        <v>141.5417439017595</v>
      </c>
      <c r="J27" s="354">
        <v>228.63562795606668</v>
      </c>
      <c r="K27" s="354">
        <v>0.81073296499266856</v>
      </c>
      <c r="L27" s="354">
        <v>12.265440836119248</v>
      </c>
      <c r="M27" s="354">
        <v>1.1337825718015635</v>
      </c>
      <c r="N27" s="354">
        <v>17.710760958339442</v>
      </c>
      <c r="O27" s="354">
        <v>2.0345576971713086</v>
      </c>
    </row>
    <row r="28" spans="1:15" x14ac:dyDescent="0.2">
      <c r="A28" s="60"/>
      <c r="B28" s="61" t="s">
        <v>267</v>
      </c>
      <c r="C28" s="354">
        <v>75.799278756469931</v>
      </c>
      <c r="D28" s="354">
        <v>0.32171694557062552</v>
      </c>
      <c r="E28" s="354">
        <v>0.10541697725439879</v>
      </c>
      <c r="F28" s="354">
        <v>0.76688052576979482</v>
      </c>
      <c r="G28" s="354">
        <v>31.253646279948683</v>
      </c>
      <c r="H28" s="354">
        <v>1319.1803025273084</v>
      </c>
      <c r="I28" s="354">
        <v>141.5417439017595</v>
      </c>
      <c r="J28" s="354">
        <v>228.63562795606668</v>
      </c>
      <c r="K28" s="354">
        <v>2.6288132523643695</v>
      </c>
      <c r="L28" s="354">
        <v>12.265440836119248</v>
      </c>
      <c r="M28" s="354">
        <v>1.3366942793040071</v>
      </c>
      <c r="N28" s="354">
        <v>18.162829905272481</v>
      </c>
      <c r="O28" s="354">
        <v>3.2637090449413471</v>
      </c>
    </row>
    <row r="29" spans="1:15" x14ac:dyDescent="0.2">
      <c r="A29" s="60"/>
      <c r="B29" s="61" t="s">
        <v>268</v>
      </c>
      <c r="C29" s="354">
        <v>77.420391980632942</v>
      </c>
      <c r="D29" s="354">
        <v>0.32275003890518073</v>
      </c>
      <c r="E29" s="354">
        <v>6.141978851362385</v>
      </c>
      <c r="F29" s="354">
        <v>0.77157026455889544</v>
      </c>
      <c r="G29" s="354">
        <v>6.097453656946481</v>
      </c>
      <c r="H29" s="354">
        <v>1378.8947615237157</v>
      </c>
      <c r="I29" s="354">
        <v>56.616697559567442</v>
      </c>
      <c r="J29" s="354">
        <v>326.91200220190592</v>
      </c>
      <c r="K29" s="354">
        <v>4.0896101978311332</v>
      </c>
      <c r="L29" s="354">
        <v>5.8567494270283404</v>
      </c>
      <c r="M29" s="354">
        <v>1.6661773168345539</v>
      </c>
      <c r="N29" s="354">
        <v>13.721630274932796</v>
      </c>
      <c r="O29" s="354">
        <v>3.1863841921248763</v>
      </c>
    </row>
    <row r="30" spans="1:15" ht="16" thickBot="1" x14ac:dyDescent="0.25">
      <c r="A30" s="66"/>
      <c r="B30" s="67" t="s">
        <v>455</v>
      </c>
      <c r="C30" s="354">
        <v>77.420896134762941</v>
      </c>
      <c r="D30" s="354">
        <v>0.32275003890518073</v>
      </c>
      <c r="E30" s="354">
        <v>6.141978851362385</v>
      </c>
      <c r="F30" s="354">
        <v>0.77157026455889544</v>
      </c>
      <c r="G30" s="354">
        <v>7.4154301751283</v>
      </c>
      <c r="H30" s="354">
        <v>1378.8947615237157</v>
      </c>
      <c r="I30" s="354">
        <v>56.616697559567442</v>
      </c>
      <c r="J30" s="354">
        <v>326.91200220190592</v>
      </c>
      <c r="K30" s="354">
        <v>4.4154543561644672</v>
      </c>
      <c r="L30" s="354">
        <v>5.8567494270283404</v>
      </c>
      <c r="M30" s="354">
        <v>1.6713908232861669</v>
      </c>
      <c r="N30" s="354">
        <v>8.9234626837304489</v>
      </c>
      <c r="O30" s="354">
        <v>3.1264975707233607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001A-C439-4868-92F5-62B3E92F47CB}">
  <sheetPr>
    <tabColor theme="7" tint="0.79998168889431442"/>
  </sheetPr>
  <dimension ref="A1:V40"/>
  <sheetViews>
    <sheetView zoomScale="60" zoomScaleNormal="40" workbookViewId="0">
      <selection activeCell="P36" sqref="P36"/>
    </sheetView>
  </sheetViews>
  <sheetFormatPr baseColWidth="10" defaultColWidth="8.83203125" defaultRowHeight="13" x14ac:dyDescent="0.2"/>
  <cols>
    <col min="1" max="1" width="13.83203125" style="1" customWidth="1"/>
    <col min="2" max="2" width="9" style="1" bestFit="1" customWidth="1"/>
    <col min="3" max="3" width="9.6640625" style="1" bestFit="1" customWidth="1"/>
    <col min="4" max="4" width="10.6640625" style="1" bestFit="1" customWidth="1"/>
    <col min="5" max="10" width="9" style="1" bestFit="1" customWidth="1"/>
    <col min="11" max="11" width="9.6640625" style="1" bestFit="1" customWidth="1"/>
    <col min="12" max="21" width="9" style="1" bestFit="1" customWidth="1"/>
    <col min="22" max="22" width="9.6640625" style="1" bestFit="1" customWidth="1"/>
    <col min="23" max="16384" width="8.83203125" style="1"/>
  </cols>
  <sheetData>
    <row r="1" spans="1:22" s="4" customFormat="1" ht="43" thickBot="1" x14ac:dyDescent="0.25">
      <c r="A1" s="355" t="s">
        <v>378</v>
      </c>
      <c r="B1" s="356" t="s">
        <v>86</v>
      </c>
      <c r="C1" s="356" t="s">
        <v>177</v>
      </c>
      <c r="D1" s="356" t="s">
        <v>88</v>
      </c>
      <c r="E1" s="356" t="s">
        <v>89</v>
      </c>
      <c r="F1" s="356" t="s">
        <v>90</v>
      </c>
      <c r="G1" s="356" t="s">
        <v>91</v>
      </c>
      <c r="H1" s="356" t="s">
        <v>92</v>
      </c>
      <c r="I1" s="356" t="s">
        <v>93</v>
      </c>
      <c r="J1" s="356" t="s">
        <v>94</v>
      </c>
      <c r="K1" s="356" t="s">
        <v>409</v>
      </c>
      <c r="L1" s="356" t="s">
        <v>205</v>
      </c>
      <c r="M1" s="356" t="s">
        <v>87</v>
      </c>
      <c r="N1" s="356" t="s">
        <v>180</v>
      </c>
      <c r="O1" s="356" t="s">
        <v>406</v>
      </c>
      <c r="P1" s="356" t="s">
        <v>407</v>
      </c>
      <c r="Q1" s="356" t="s">
        <v>220</v>
      </c>
      <c r="R1" s="356" t="s">
        <v>218</v>
      </c>
      <c r="S1" s="356" t="s">
        <v>105</v>
      </c>
      <c r="T1" s="356" t="s">
        <v>408</v>
      </c>
      <c r="U1" s="356" t="s">
        <v>405</v>
      </c>
      <c r="V1" s="356" t="s">
        <v>110</v>
      </c>
    </row>
    <row r="2" spans="1:22" s="9" customFormat="1" ht="14" thickBot="1" x14ac:dyDescent="0.25">
      <c r="A2" s="357"/>
      <c r="B2" s="358" t="s">
        <v>454</v>
      </c>
      <c r="C2" s="358" t="s">
        <v>454</v>
      </c>
      <c r="D2" s="358" t="s">
        <v>454</v>
      </c>
      <c r="E2" s="358" t="s">
        <v>454</v>
      </c>
      <c r="F2" s="358" t="s">
        <v>454</v>
      </c>
      <c r="G2" s="358" t="s">
        <v>454</v>
      </c>
      <c r="H2" s="358" t="s">
        <v>454</v>
      </c>
      <c r="I2" s="358" t="s">
        <v>454</v>
      </c>
      <c r="J2" s="358" t="s">
        <v>454</v>
      </c>
      <c r="K2" s="358" t="s">
        <v>454</v>
      </c>
      <c r="L2" s="358" t="s">
        <v>454</v>
      </c>
      <c r="M2" s="358" t="s">
        <v>454</v>
      </c>
      <c r="N2" s="358" t="s">
        <v>454</v>
      </c>
      <c r="O2" s="358" t="s">
        <v>454</v>
      </c>
      <c r="P2" s="358" t="s">
        <v>454</v>
      </c>
      <c r="Q2" s="358" t="s">
        <v>454</v>
      </c>
      <c r="R2" s="358" t="s">
        <v>454</v>
      </c>
      <c r="S2" s="358" t="s">
        <v>454</v>
      </c>
      <c r="T2" s="358" t="s">
        <v>454</v>
      </c>
      <c r="U2" s="358" t="s">
        <v>454</v>
      </c>
      <c r="V2" s="358" t="s">
        <v>454</v>
      </c>
    </row>
    <row r="3" spans="1:22" x14ac:dyDescent="0.2">
      <c r="A3" s="30" t="s">
        <v>387</v>
      </c>
      <c r="B3" s="354">
        <v>1.1565217391304348</v>
      </c>
      <c r="C3" s="354">
        <v>143.9729468599034</v>
      </c>
      <c r="D3" s="354">
        <v>1365.4705314009664</v>
      </c>
      <c r="E3" s="354">
        <v>0.51400966183574892</v>
      </c>
      <c r="F3" s="354">
        <v>0.89855072463768126</v>
      </c>
      <c r="G3" s="354">
        <v>20.34299516908213</v>
      </c>
      <c r="H3" s="354">
        <v>7.5458937198067648</v>
      </c>
      <c r="I3" s="354">
        <v>71.69758454106281</v>
      </c>
      <c r="J3" s="354">
        <v>24.311111111111117</v>
      </c>
      <c r="K3" s="354">
        <v>0</v>
      </c>
      <c r="L3" s="354">
        <v>6.5748792270531409</v>
      </c>
      <c r="M3" s="354">
        <v>0.58454106280193241</v>
      </c>
      <c r="N3" s="354">
        <v>2.8743961352657008</v>
      </c>
      <c r="O3" s="354">
        <v>1.4251207729468602</v>
      </c>
      <c r="P3" s="354">
        <v>51.301449275362316</v>
      </c>
      <c r="Q3" s="354">
        <v>0.57584541062801931</v>
      </c>
      <c r="R3" s="354">
        <v>0.1169082125603865</v>
      </c>
      <c r="S3" s="354">
        <v>0.58454106280193241</v>
      </c>
      <c r="T3" s="354">
        <v>26.750724637681159</v>
      </c>
      <c r="U3" s="354">
        <v>9.6618357487922718E-2</v>
      </c>
      <c r="V3" s="354">
        <v>128.72946859903382</v>
      </c>
    </row>
    <row r="4" spans="1:22" x14ac:dyDescent="0.2">
      <c r="A4" s="30" t="s">
        <v>386</v>
      </c>
      <c r="B4" s="354">
        <v>1.7492537313432837</v>
      </c>
      <c r="C4" s="354">
        <v>174.73432835820896</v>
      </c>
      <c r="D4" s="354">
        <v>982.04477611940297</v>
      </c>
      <c r="E4" s="354">
        <v>8.3582089552238822E-2</v>
      </c>
      <c r="F4" s="354">
        <v>0.62686567164179097</v>
      </c>
      <c r="G4" s="354">
        <v>26.71641791044776</v>
      </c>
      <c r="H4" s="354">
        <v>11.134328358208954</v>
      </c>
      <c r="I4" s="354">
        <v>81.029850746268664</v>
      </c>
      <c r="J4" s="354">
        <v>31.671641791044777</v>
      </c>
      <c r="K4" s="354">
        <v>0</v>
      </c>
      <c r="L4" s="354">
        <v>5.3582089552238799</v>
      </c>
      <c r="M4" s="354">
        <v>0.47761194029850745</v>
      </c>
      <c r="N4" s="354">
        <v>2.3731343283582089</v>
      </c>
      <c r="O4" s="354">
        <v>1.5044776119402985</v>
      </c>
      <c r="P4" s="354">
        <v>66.677611940298505</v>
      </c>
      <c r="Q4" s="354">
        <v>0.51044776119402979</v>
      </c>
      <c r="R4" s="354">
        <v>0.11940298507462686</v>
      </c>
      <c r="S4" s="354">
        <v>1.3731343283582089</v>
      </c>
      <c r="T4" s="354">
        <v>22.758208955223882</v>
      </c>
      <c r="U4" s="354">
        <v>4.4776119402985079E-2</v>
      </c>
      <c r="V4" s="354">
        <v>99.507462686567166</v>
      </c>
    </row>
    <row r="5" spans="1:22" s="316" customFormat="1" x14ac:dyDescent="0.2">
      <c r="A5" s="541" t="s">
        <v>388</v>
      </c>
      <c r="B5" s="542">
        <v>1.3989130434782608</v>
      </c>
      <c r="C5" s="542">
        <v>189.6521739130435</v>
      </c>
      <c r="D5" s="542">
        <v>894.05108695652189</v>
      </c>
      <c r="E5" s="542">
        <v>0.2521739130434783</v>
      </c>
      <c r="F5" s="542">
        <v>1.2880434782608696</v>
      </c>
      <c r="G5" s="542">
        <v>32.126086956521739</v>
      </c>
      <c r="H5" s="542">
        <v>5.8913043478260878</v>
      </c>
      <c r="I5" s="542">
        <v>41.842391304347828</v>
      </c>
      <c r="J5" s="542">
        <v>6.7739130434782613</v>
      </c>
      <c r="K5" s="542">
        <v>0</v>
      </c>
      <c r="L5" s="542">
        <v>12.581521739130434</v>
      </c>
      <c r="M5" s="542">
        <v>0.375</v>
      </c>
      <c r="N5" s="542">
        <v>2.5489130434782608</v>
      </c>
      <c r="O5" s="542">
        <v>1.1652173913043478</v>
      </c>
      <c r="P5" s="542">
        <v>50.107608695652175</v>
      </c>
      <c r="Q5" s="542">
        <v>0.10978260869565218</v>
      </c>
      <c r="R5" s="542">
        <v>0.11956521739130434</v>
      </c>
      <c r="S5" s="542">
        <v>0.27173913043478259</v>
      </c>
      <c r="T5" s="542">
        <v>18.52391304347826</v>
      </c>
      <c r="U5" s="542">
        <v>0.53260869565217395</v>
      </c>
      <c r="V5" s="542">
        <v>30.114130434782606</v>
      </c>
    </row>
    <row r="6" spans="1:22" x14ac:dyDescent="0.2">
      <c r="A6" s="30" t="s">
        <v>390</v>
      </c>
      <c r="B6" s="354">
        <v>2.2051660516605165</v>
      </c>
      <c r="C6" s="354">
        <v>20.75867158671587</v>
      </c>
      <c r="D6" s="354">
        <v>884.30369003690043</v>
      </c>
      <c r="E6" s="354">
        <v>0.27453874538745388</v>
      </c>
      <c r="F6" s="354">
        <v>2.0767527675276751</v>
      </c>
      <c r="G6" s="354">
        <v>9.150553505535056</v>
      </c>
      <c r="H6" s="354">
        <v>10.58856088560886</v>
      </c>
      <c r="I6" s="354">
        <v>32.629151291512912</v>
      </c>
      <c r="J6" s="354">
        <v>6.4638376383763845</v>
      </c>
      <c r="K6" s="354">
        <v>0</v>
      </c>
      <c r="L6" s="354">
        <v>0.83579335793357945</v>
      </c>
      <c r="M6" s="354">
        <v>8.856088560885611E-2</v>
      </c>
      <c r="N6" s="354">
        <v>2.0512915129151295</v>
      </c>
      <c r="O6" s="354">
        <v>0.62324723247232472</v>
      </c>
      <c r="P6" s="354">
        <v>9.7760147601476017</v>
      </c>
      <c r="Q6" s="354">
        <v>0.11845018450184504</v>
      </c>
      <c r="R6" s="354">
        <v>9.1881918819188196E-2</v>
      </c>
      <c r="S6" s="354">
        <v>7.1955719557195569E-2</v>
      </c>
      <c r="T6" s="354">
        <v>25.561992619926201</v>
      </c>
      <c r="U6" s="354">
        <v>5.5350553505535069E-2</v>
      </c>
      <c r="V6" s="354">
        <v>37.400369003690031</v>
      </c>
    </row>
    <row r="7" spans="1:22" x14ac:dyDescent="0.2">
      <c r="A7" s="30" t="s">
        <v>389</v>
      </c>
      <c r="B7" s="354">
        <v>0.16122448979591839</v>
      </c>
      <c r="C7" s="354">
        <v>3.3775510204081636</v>
      </c>
      <c r="D7" s="354">
        <v>663.94489795918378</v>
      </c>
      <c r="E7" s="354">
        <v>0</v>
      </c>
      <c r="F7" s="354">
        <v>5.1020408163265307E-2</v>
      </c>
      <c r="G7" s="354">
        <v>0.6612244897959183</v>
      </c>
      <c r="H7" s="354">
        <v>0.1326530612244898</v>
      </c>
      <c r="I7" s="354">
        <v>28.320408163265306</v>
      </c>
      <c r="J7" s="354">
        <v>53.34693877551021</v>
      </c>
      <c r="K7" s="354">
        <v>13.044897959183675</v>
      </c>
      <c r="L7" s="354">
        <v>0.15306122448979592</v>
      </c>
      <c r="M7" s="354">
        <v>0.23469387755102045</v>
      </c>
      <c r="N7" s="354">
        <v>1.1326530612244898</v>
      </c>
      <c r="O7" s="354">
        <v>0.14285714285714288</v>
      </c>
      <c r="P7" s="354">
        <v>1.4183673469387756</v>
      </c>
      <c r="Q7" s="354">
        <v>0</v>
      </c>
      <c r="R7" s="354">
        <v>0.11224489795918369</v>
      </c>
      <c r="S7" s="354">
        <v>0</v>
      </c>
      <c r="T7" s="354">
        <v>67.002040816326527</v>
      </c>
      <c r="U7" s="354">
        <v>1.0204081632653062E-2</v>
      </c>
      <c r="V7" s="354">
        <v>19.622448979591837</v>
      </c>
    </row>
    <row r="8" spans="1:22" x14ac:dyDescent="0.2">
      <c r="A8" s="30" t="s">
        <v>391</v>
      </c>
      <c r="B8" s="354">
        <v>6.4113785557986871</v>
      </c>
      <c r="C8" s="354">
        <v>55.317286652078785</v>
      </c>
      <c r="D8" s="354">
        <v>1082.9540481400438</v>
      </c>
      <c r="E8" s="354">
        <v>0.32275711159737419</v>
      </c>
      <c r="F8" s="354">
        <v>7.1115973741794319E-2</v>
      </c>
      <c r="G8" s="354">
        <v>31.415754923413566</v>
      </c>
      <c r="H8" s="354">
        <v>4.6608315098468269</v>
      </c>
      <c r="I8" s="354">
        <v>29.663019693654263</v>
      </c>
      <c r="J8" s="354">
        <v>11.87199124726477</v>
      </c>
      <c r="K8" s="354">
        <v>222.75711159737418</v>
      </c>
      <c r="L8" s="354">
        <v>5.9956236323851204</v>
      </c>
      <c r="M8" s="354">
        <v>0.31728665207877471</v>
      </c>
      <c r="N8" s="354">
        <v>1.3205689277899344</v>
      </c>
      <c r="O8" s="354">
        <v>2.7275711159737419</v>
      </c>
      <c r="P8" s="354">
        <v>23.741794310722103</v>
      </c>
      <c r="Q8" s="354">
        <v>0</v>
      </c>
      <c r="R8" s="354">
        <v>0.74507658643326047</v>
      </c>
      <c r="S8" s="354">
        <v>8.7527352297592995E-2</v>
      </c>
      <c r="T8" s="354">
        <v>70.103938730853386</v>
      </c>
      <c r="U8" s="354">
        <v>0.37199124726477018</v>
      </c>
      <c r="V8" s="354">
        <v>12.871991247264772</v>
      </c>
    </row>
    <row r="9" spans="1:22" ht="14" thickBot="1" x14ac:dyDescent="0.25">
      <c r="A9" s="217" t="s">
        <v>392</v>
      </c>
      <c r="B9" s="354">
        <v>1.1846153846153846</v>
      </c>
      <c r="C9" s="354">
        <v>68.549450549450555</v>
      </c>
      <c r="D9" s="354">
        <v>1006.7032967032966</v>
      </c>
      <c r="E9" s="354">
        <v>0</v>
      </c>
      <c r="F9" s="354">
        <v>3.2967032967032975E-2</v>
      </c>
      <c r="G9" s="354">
        <v>21.32087912087912</v>
      </c>
      <c r="H9" s="354">
        <v>17.296703296703299</v>
      </c>
      <c r="I9" s="354">
        <v>37.008791208791209</v>
      </c>
      <c r="J9" s="354">
        <v>9.5802197802197799</v>
      </c>
      <c r="K9" s="354">
        <v>271.14725274725276</v>
      </c>
      <c r="L9" s="354">
        <v>5.2527472527472527</v>
      </c>
      <c r="M9" s="354">
        <v>0.20879120879120883</v>
      </c>
      <c r="N9" s="354">
        <v>1.8021978021978022</v>
      </c>
      <c r="O9" s="354">
        <v>2.5318681318681318</v>
      </c>
      <c r="P9" s="354">
        <v>30.505494505494507</v>
      </c>
      <c r="Q9" s="354">
        <v>1.2307692307692308</v>
      </c>
      <c r="R9" s="354">
        <v>0.48791208791208796</v>
      </c>
      <c r="S9" s="354">
        <v>0.4285714285714286</v>
      </c>
      <c r="T9" s="354">
        <v>41.303296703296709</v>
      </c>
      <c r="U9" s="354">
        <v>8.7912087912087905E-2</v>
      </c>
      <c r="V9" s="354">
        <v>13.505494505494504</v>
      </c>
    </row>
    <row r="10" spans="1:22" ht="14" thickBot="1" x14ac:dyDescent="0.25">
      <c r="B10" s="354"/>
      <c r="C10" s="354"/>
      <c r="D10" s="354"/>
      <c r="E10" s="354"/>
      <c r="F10" s="354"/>
      <c r="G10" s="354"/>
      <c r="H10" s="354"/>
      <c r="I10" s="354"/>
      <c r="J10" s="354"/>
      <c r="K10" s="354"/>
      <c r="L10" s="354"/>
      <c r="M10" s="354"/>
      <c r="N10" s="354"/>
      <c r="O10" s="354"/>
      <c r="P10" s="354"/>
      <c r="Q10" s="354"/>
      <c r="R10" s="354"/>
      <c r="S10" s="354"/>
      <c r="T10" s="354"/>
      <c r="U10" s="354"/>
      <c r="V10" s="354"/>
    </row>
    <row r="11" spans="1:22" s="9" customFormat="1" ht="43" thickBot="1" x14ac:dyDescent="0.25">
      <c r="A11" s="359" t="s">
        <v>236</v>
      </c>
      <c r="B11" s="360" t="s">
        <v>86</v>
      </c>
      <c r="C11" s="360" t="s">
        <v>177</v>
      </c>
      <c r="D11" s="360" t="s">
        <v>88</v>
      </c>
      <c r="E11" s="360" t="s">
        <v>89</v>
      </c>
      <c r="F11" s="360" t="s">
        <v>90</v>
      </c>
      <c r="G11" s="360" t="s">
        <v>91</v>
      </c>
      <c r="H11" s="360" t="s">
        <v>92</v>
      </c>
      <c r="I11" s="360" t="s">
        <v>93</v>
      </c>
      <c r="J11" s="360" t="s">
        <v>94</v>
      </c>
      <c r="K11" s="360" t="s">
        <v>409</v>
      </c>
      <c r="L11" s="360" t="s">
        <v>205</v>
      </c>
      <c r="M11" s="360" t="s">
        <v>87</v>
      </c>
      <c r="N11" s="360" t="s">
        <v>180</v>
      </c>
      <c r="O11" s="360" t="s">
        <v>406</v>
      </c>
      <c r="P11" s="360" t="s">
        <v>407</v>
      </c>
      <c r="Q11" s="360" t="s">
        <v>220</v>
      </c>
      <c r="R11" s="360" t="s">
        <v>218</v>
      </c>
      <c r="S11" s="360" t="s">
        <v>105</v>
      </c>
      <c r="T11" s="360" t="s">
        <v>408</v>
      </c>
      <c r="U11" s="360" t="s">
        <v>405</v>
      </c>
      <c r="V11" s="360" t="s">
        <v>110</v>
      </c>
    </row>
    <row r="12" spans="1:22" s="9" customFormat="1" ht="14" thickBot="1" x14ac:dyDescent="0.25">
      <c r="A12" s="359"/>
      <c r="B12" s="358" t="s">
        <v>454</v>
      </c>
      <c r="C12" s="358" t="s">
        <v>454</v>
      </c>
      <c r="D12" s="358" t="s">
        <v>454</v>
      </c>
      <c r="E12" s="358" t="s">
        <v>454</v>
      </c>
      <c r="F12" s="358" t="s">
        <v>454</v>
      </c>
      <c r="G12" s="358" t="s">
        <v>454</v>
      </c>
      <c r="H12" s="358" t="s">
        <v>454</v>
      </c>
      <c r="I12" s="358" t="s">
        <v>454</v>
      </c>
      <c r="J12" s="358" t="s">
        <v>454</v>
      </c>
      <c r="K12" s="358" t="s">
        <v>454</v>
      </c>
      <c r="L12" s="358" t="s">
        <v>454</v>
      </c>
      <c r="M12" s="358" t="s">
        <v>454</v>
      </c>
      <c r="N12" s="358" t="s">
        <v>454</v>
      </c>
      <c r="O12" s="358" t="s">
        <v>454</v>
      </c>
      <c r="P12" s="358" t="s">
        <v>454</v>
      </c>
      <c r="Q12" s="358" t="s">
        <v>454</v>
      </c>
      <c r="R12" s="358" t="s">
        <v>454</v>
      </c>
      <c r="S12" s="358" t="s">
        <v>454</v>
      </c>
      <c r="T12" s="358" t="s">
        <v>454</v>
      </c>
      <c r="U12" s="358" t="s">
        <v>454</v>
      </c>
      <c r="V12" s="358" t="s">
        <v>454</v>
      </c>
    </row>
    <row r="13" spans="1:22" x14ac:dyDescent="0.2">
      <c r="A13" s="30" t="s">
        <v>387</v>
      </c>
      <c r="B13" s="354">
        <v>1.0318840579710145</v>
      </c>
      <c r="C13" s="354">
        <v>35.993236714975851</v>
      </c>
      <c r="D13" s="354">
        <v>474.01256038647347</v>
      </c>
      <c r="E13" s="354">
        <v>0.12850241545893723</v>
      </c>
      <c r="F13" s="354">
        <v>0.89855072463768126</v>
      </c>
      <c r="G13" s="354">
        <v>40.748792270531403</v>
      </c>
      <c r="H13" s="354">
        <v>7.5458937198067648</v>
      </c>
      <c r="I13" s="354">
        <v>212.08019323671502</v>
      </c>
      <c r="J13" s="354">
        <v>17.998067632850244</v>
      </c>
      <c r="K13" s="354">
        <v>0</v>
      </c>
      <c r="L13" s="354">
        <v>6.5748792270531409</v>
      </c>
      <c r="M13" s="354">
        <v>0.58454106280193241</v>
      </c>
      <c r="N13" s="354">
        <v>2.8743961352657008</v>
      </c>
      <c r="O13" s="354">
        <v>3.3381642512077305</v>
      </c>
      <c r="P13" s="354">
        <v>14.394202898550724</v>
      </c>
      <c r="Q13" s="354">
        <v>2.3033816425120772</v>
      </c>
      <c r="R13" s="354">
        <v>0.10531400966183577</v>
      </c>
      <c r="S13" s="354">
        <v>0.58454106280193241</v>
      </c>
      <c r="T13" s="354">
        <v>17.437681159420293</v>
      </c>
      <c r="U13" s="354">
        <v>9.6618357487922718E-2</v>
      </c>
      <c r="V13" s="354">
        <v>128.72946859903382</v>
      </c>
    </row>
    <row r="14" spans="1:22" x14ac:dyDescent="0.2">
      <c r="A14" s="30" t="s">
        <v>386</v>
      </c>
      <c r="B14" s="354">
        <v>1.5791044776119405</v>
      </c>
      <c r="C14" s="354">
        <v>43.683582089552239</v>
      </c>
      <c r="D14" s="354">
        <v>357.01492537313436</v>
      </c>
      <c r="E14" s="354">
        <v>2.0895522388059706E-2</v>
      </c>
      <c r="F14" s="354">
        <v>0.62686567164179097</v>
      </c>
      <c r="G14" s="354">
        <v>59.402985074626862</v>
      </c>
      <c r="H14" s="354">
        <v>11.134328358208954</v>
      </c>
      <c r="I14" s="354">
        <v>221.13432835820896</v>
      </c>
      <c r="J14" s="354">
        <v>24.373134328358208</v>
      </c>
      <c r="K14" s="354">
        <v>0</v>
      </c>
      <c r="L14" s="354">
        <v>5.3582089552238799</v>
      </c>
      <c r="M14" s="354">
        <v>0.47761194029850745</v>
      </c>
      <c r="N14" s="354">
        <v>2.283582089552239</v>
      </c>
      <c r="O14" s="354">
        <v>3.2417910447761193</v>
      </c>
      <c r="P14" s="354">
        <v>17.979104477611941</v>
      </c>
      <c r="Q14" s="354">
        <v>2.0417910447761192</v>
      </c>
      <c r="R14" s="354">
        <v>0.11940298507462686</v>
      </c>
      <c r="S14" s="354">
        <v>1.3731343283582089</v>
      </c>
      <c r="T14" s="354">
        <v>13.973134328358208</v>
      </c>
      <c r="U14" s="354">
        <v>4.4776119402985079E-2</v>
      </c>
      <c r="V14" s="354">
        <v>99.507462686567166</v>
      </c>
    </row>
    <row r="15" spans="1:22" x14ac:dyDescent="0.2">
      <c r="A15" s="30" t="s">
        <v>388</v>
      </c>
      <c r="B15" s="354">
        <v>0.94891304347826089</v>
      </c>
      <c r="C15" s="354">
        <v>47.413043478260875</v>
      </c>
      <c r="D15" s="354">
        <v>252.48152173913047</v>
      </c>
      <c r="E15" s="354">
        <v>6.3043478260869576E-2</v>
      </c>
      <c r="F15" s="354">
        <v>1.2880434782608696</v>
      </c>
      <c r="G15" s="354">
        <v>35.879347826086956</v>
      </c>
      <c r="H15" s="354">
        <v>5.8913043478260878</v>
      </c>
      <c r="I15" s="354">
        <v>160.75</v>
      </c>
      <c r="J15" s="354">
        <v>3.9760869565217396</v>
      </c>
      <c r="K15" s="354">
        <v>0</v>
      </c>
      <c r="L15" s="354">
        <v>12.581521739130434</v>
      </c>
      <c r="M15" s="354">
        <v>0.375</v>
      </c>
      <c r="N15" s="354">
        <v>2.6793478260869565</v>
      </c>
      <c r="O15" s="354">
        <v>1.6771739130434782</v>
      </c>
      <c r="P15" s="354">
        <v>15.832608695652175</v>
      </c>
      <c r="Q15" s="354">
        <v>0.43913043478260871</v>
      </c>
      <c r="R15" s="354">
        <v>0.10326086956521738</v>
      </c>
      <c r="S15" s="354">
        <v>0.27173913043478259</v>
      </c>
      <c r="T15" s="354">
        <v>9.0739130434782602</v>
      </c>
      <c r="U15" s="354">
        <v>0.53260869565217395</v>
      </c>
      <c r="V15" s="354">
        <v>30.114130434782606</v>
      </c>
    </row>
    <row r="16" spans="1:22" x14ac:dyDescent="0.2">
      <c r="A16" s="30" t="s">
        <v>390</v>
      </c>
      <c r="B16" s="354">
        <v>1.447970479704797</v>
      </c>
      <c r="C16" s="354">
        <v>5.1896678966789676</v>
      </c>
      <c r="D16" s="354">
        <v>283.63173431734322</v>
      </c>
      <c r="E16" s="354">
        <v>6.8634686346863469E-2</v>
      </c>
      <c r="F16" s="354">
        <v>2.2129151291512916</v>
      </c>
      <c r="G16" s="354">
        <v>11.893726937269374</v>
      </c>
      <c r="H16" s="354">
        <v>10.58856088560886</v>
      </c>
      <c r="I16" s="354">
        <v>126.58118081180811</v>
      </c>
      <c r="J16" s="354">
        <v>4.0859778597785983</v>
      </c>
      <c r="K16" s="354">
        <v>0</v>
      </c>
      <c r="L16" s="354">
        <v>0.83579335793357945</v>
      </c>
      <c r="M16" s="354">
        <v>8.856088560885611E-2</v>
      </c>
      <c r="N16" s="354">
        <v>2.0446494464944656</v>
      </c>
      <c r="O16" s="354">
        <v>1.2476014760147602</v>
      </c>
      <c r="P16" s="354">
        <v>2.622509225092251</v>
      </c>
      <c r="Q16" s="354">
        <v>0.47380073800738015</v>
      </c>
      <c r="R16" s="354">
        <v>6.8634686346863483E-2</v>
      </c>
      <c r="S16" s="354">
        <v>7.1955719557195569E-2</v>
      </c>
      <c r="T16" s="354">
        <v>14.805166051660517</v>
      </c>
      <c r="U16" s="354">
        <v>5.5350553505535069E-2</v>
      </c>
      <c r="V16" s="354">
        <v>37.400369003690031</v>
      </c>
    </row>
    <row r="17" spans="1:22" x14ac:dyDescent="0.2">
      <c r="A17" s="30" t="s">
        <v>389</v>
      </c>
      <c r="B17" s="354">
        <v>0.12448979591836737</v>
      </c>
      <c r="C17" s="354">
        <v>3.3775510204081636</v>
      </c>
      <c r="D17" s="354">
        <v>248.61632653061227</v>
      </c>
      <c r="E17" s="354">
        <v>0</v>
      </c>
      <c r="F17" s="354">
        <v>5.1020408163265307E-2</v>
      </c>
      <c r="G17" s="354">
        <v>1.3285714285714285</v>
      </c>
      <c r="H17" s="354">
        <v>0.1326530612244898</v>
      </c>
      <c r="I17" s="354">
        <v>101.74081632653062</v>
      </c>
      <c r="J17" s="354">
        <v>53.37755102040817</v>
      </c>
      <c r="K17" s="354">
        <v>3.2612244897959188</v>
      </c>
      <c r="L17" s="354">
        <v>0.15306122448979592</v>
      </c>
      <c r="M17" s="354">
        <v>0.23469387755102045</v>
      </c>
      <c r="N17" s="354">
        <v>1.1326530612244898</v>
      </c>
      <c r="O17" s="354">
        <v>0.14285714285714288</v>
      </c>
      <c r="P17" s="354">
        <v>1.4183673469387756</v>
      </c>
      <c r="Q17" s="354">
        <v>0</v>
      </c>
      <c r="R17" s="354">
        <v>0.11224489795918369</v>
      </c>
      <c r="S17" s="354">
        <v>0</v>
      </c>
      <c r="T17" s="354">
        <v>34.191836734693879</v>
      </c>
      <c r="U17" s="354">
        <v>1.0204081632653062E-2</v>
      </c>
      <c r="V17" s="354">
        <v>19.622448979591837</v>
      </c>
    </row>
    <row r="18" spans="1:22" x14ac:dyDescent="0.2">
      <c r="A18" s="30" t="s">
        <v>391</v>
      </c>
      <c r="B18" s="354">
        <v>1.6356673960612691</v>
      </c>
      <c r="C18" s="354">
        <v>55.317286652078785</v>
      </c>
      <c r="D18" s="354">
        <v>531.64660831509855</v>
      </c>
      <c r="E18" s="354">
        <v>0.32275711159737419</v>
      </c>
      <c r="F18" s="354">
        <v>7.1115973741794319E-2</v>
      </c>
      <c r="G18" s="354">
        <v>70.028446389496708</v>
      </c>
      <c r="H18" s="354">
        <v>4.6608315098468269</v>
      </c>
      <c r="I18" s="354">
        <v>92.32822757111596</v>
      </c>
      <c r="J18" s="354">
        <v>12.810722100656456</v>
      </c>
      <c r="K18" s="354">
        <v>55.689277899343544</v>
      </c>
      <c r="L18" s="354">
        <v>5.9956236323851204</v>
      </c>
      <c r="M18" s="354">
        <v>0.31728665207877471</v>
      </c>
      <c r="N18" s="354">
        <v>1.2450765864332605</v>
      </c>
      <c r="O18" s="354">
        <v>2.0809628008752736</v>
      </c>
      <c r="P18" s="354">
        <v>23.741794310722103</v>
      </c>
      <c r="Q18" s="354">
        <v>0</v>
      </c>
      <c r="R18" s="354">
        <v>0.73194748358862149</v>
      </c>
      <c r="S18" s="354">
        <v>8.7527352297592995E-2</v>
      </c>
      <c r="T18" s="354">
        <v>30.240700218818379</v>
      </c>
      <c r="U18" s="354">
        <v>0.37199124726477018</v>
      </c>
      <c r="V18" s="354">
        <v>12.871991247264772</v>
      </c>
    </row>
    <row r="19" spans="1:22" ht="14" thickBot="1" x14ac:dyDescent="0.25">
      <c r="A19" s="217" t="s">
        <v>392</v>
      </c>
      <c r="B19" s="354">
        <v>0.3208791208791209</v>
      </c>
      <c r="C19" s="354">
        <v>68.549450549450555</v>
      </c>
      <c r="D19" s="354">
        <v>492.41758241758242</v>
      </c>
      <c r="E19" s="354">
        <v>0</v>
      </c>
      <c r="F19" s="354">
        <v>3.2967032967032975E-2</v>
      </c>
      <c r="G19" s="354">
        <v>52.909890109890107</v>
      </c>
      <c r="H19" s="354">
        <v>17.296703296703299</v>
      </c>
      <c r="I19" s="354">
        <v>100.03516483516485</v>
      </c>
      <c r="J19" s="354">
        <v>10.760439560439561</v>
      </c>
      <c r="K19" s="354">
        <v>67.786813186813191</v>
      </c>
      <c r="L19" s="354">
        <v>5.2527472527472527</v>
      </c>
      <c r="M19" s="354">
        <v>0.20879120879120883</v>
      </c>
      <c r="N19" s="354">
        <v>1.7692307692307694</v>
      </c>
      <c r="O19" s="354">
        <v>2.1824175824175822</v>
      </c>
      <c r="P19" s="354">
        <v>30.505494505494507</v>
      </c>
      <c r="Q19" s="354">
        <v>1.2307692307692308</v>
      </c>
      <c r="R19" s="354">
        <v>0.46813186813186813</v>
      </c>
      <c r="S19" s="354">
        <v>0.4285714285714286</v>
      </c>
      <c r="T19" s="354">
        <v>21.015384615384619</v>
      </c>
      <c r="U19" s="354">
        <v>8.7912087912087905E-2</v>
      </c>
      <c r="V19" s="354">
        <v>13.505494505494504</v>
      </c>
    </row>
    <row r="20" spans="1:22" ht="14" thickBot="1" x14ac:dyDescent="0.25">
      <c r="B20" s="354"/>
      <c r="C20" s="354"/>
      <c r="D20" s="354"/>
      <c r="E20" s="354"/>
      <c r="F20" s="354"/>
      <c r="G20" s="354"/>
      <c r="H20" s="354"/>
      <c r="I20" s="354"/>
      <c r="J20" s="354"/>
      <c r="K20" s="354"/>
      <c r="L20" s="354"/>
      <c r="M20" s="354"/>
      <c r="N20" s="354"/>
      <c r="O20" s="354"/>
      <c r="P20" s="354"/>
      <c r="Q20" s="354"/>
      <c r="R20" s="354"/>
      <c r="S20" s="354"/>
      <c r="T20" s="354"/>
      <c r="U20" s="354"/>
      <c r="V20" s="354"/>
    </row>
    <row r="21" spans="1:22" s="9" customFormat="1" ht="43" thickBot="1" x14ac:dyDescent="0.25">
      <c r="A21" s="357" t="s">
        <v>241</v>
      </c>
      <c r="B21" s="360" t="s">
        <v>86</v>
      </c>
      <c r="C21" s="360" t="s">
        <v>177</v>
      </c>
      <c r="D21" s="360" t="s">
        <v>88</v>
      </c>
      <c r="E21" s="360" t="s">
        <v>89</v>
      </c>
      <c r="F21" s="360" t="s">
        <v>90</v>
      </c>
      <c r="G21" s="360" t="s">
        <v>91</v>
      </c>
      <c r="H21" s="360" t="s">
        <v>92</v>
      </c>
      <c r="I21" s="360" t="s">
        <v>93</v>
      </c>
      <c r="J21" s="360" t="s">
        <v>94</v>
      </c>
      <c r="K21" s="360" t="s">
        <v>409</v>
      </c>
      <c r="L21" s="360" t="s">
        <v>205</v>
      </c>
      <c r="M21" s="360" t="s">
        <v>87</v>
      </c>
      <c r="N21" s="360" t="s">
        <v>180</v>
      </c>
      <c r="O21" s="360" t="s">
        <v>406</v>
      </c>
      <c r="P21" s="360" t="s">
        <v>407</v>
      </c>
      <c r="Q21" s="360" t="s">
        <v>220</v>
      </c>
      <c r="R21" s="360" t="s">
        <v>218</v>
      </c>
      <c r="S21" s="360" t="s">
        <v>105</v>
      </c>
      <c r="T21" s="360" t="s">
        <v>408</v>
      </c>
      <c r="U21" s="360" t="s">
        <v>405</v>
      </c>
      <c r="V21" s="360" t="s">
        <v>110</v>
      </c>
    </row>
    <row r="22" spans="1:22" s="9" customFormat="1" ht="14" thickBot="1" x14ac:dyDescent="0.25">
      <c r="A22" s="357"/>
      <c r="B22" s="358" t="s">
        <v>454</v>
      </c>
      <c r="C22" s="358" t="s">
        <v>454</v>
      </c>
      <c r="D22" s="358" t="s">
        <v>454</v>
      </c>
      <c r="E22" s="358" t="s">
        <v>454</v>
      </c>
      <c r="F22" s="358" t="s">
        <v>454</v>
      </c>
      <c r="G22" s="358" t="s">
        <v>454</v>
      </c>
      <c r="H22" s="358" t="s">
        <v>454</v>
      </c>
      <c r="I22" s="358" t="s">
        <v>454</v>
      </c>
      <c r="J22" s="358" t="s">
        <v>454</v>
      </c>
      <c r="K22" s="358" t="s">
        <v>454</v>
      </c>
      <c r="L22" s="358" t="s">
        <v>454</v>
      </c>
      <c r="M22" s="358" t="s">
        <v>454</v>
      </c>
      <c r="N22" s="358" t="s">
        <v>454</v>
      </c>
      <c r="O22" s="358" t="s">
        <v>454</v>
      </c>
      <c r="P22" s="358" t="s">
        <v>454</v>
      </c>
      <c r="Q22" s="358" t="s">
        <v>454</v>
      </c>
      <c r="R22" s="358" t="s">
        <v>454</v>
      </c>
      <c r="S22" s="358" t="s">
        <v>454</v>
      </c>
      <c r="T22" s="358" t="s">
        <v>454</v>
      </c>
      <c r="U22" s="358" t="s">
        <v>454</v>
      </c>
      <c r="V22" s="358" t="s">
        <v>454</v>
      </c>
    </row>
    <row r="23" spans="1:22" x14ac:dyDescent="0.2">
      <c r="A23" s="30" t="s">
        <v>387</v>
      </c>
      <c r="B23" s="354">
        <v>0.99033816425120769</v>
      </c>
      <c r="C23" s="354">
        <v>115.09661835748794</v>
      </c>
      <c r="D23" s="354">
        <v>917.90338164251216</v>
      </c>
      <c r="E23" s="354">
        <v>0.64251207729468607</v>
      </c>
      <c r="F23" s="354">
        <v>0.89855072463768126</v>
      </c>
      <c r="G23" s="354">
        <v>3.5845410628019323</v>
      </c>
      <c r="H23" s="354">
        <v>7.5458937198067639</v>
      </c>
      <c r="I23" s="354">
        <v>34.193236714975846</v>
      </c>
      <c r="J23" s="354">
        <v>14.140096618357491</v>
      </c>
      <c r="K23" s="354">
        <v>0</v>
      </c>
      <c r="L23" s="354">
        <v>6.57487922705314</v>
      </c>
      <c r="M23" s="354">
        <v>0.58454106280193241</v>
      </c>
      <c r="N23" s="354">
        <v>3.2512077294685997</v>
      </c>
      <c r="O23" s="354">
        <v>0.55072463768115953</v>
      </c>
      <c r="P23" s="354">
        <v>2.091787439613527</v>
      </c>
      <c r="Q23" s="354">
        <v>0</v>
      </c>
      <c r="R23" s="354">
        <v>0.12077294685990339</v>
      </c>
      <c r="S23" s="354">
        <v>0.58454106280193241</v>
      </c>
      <c r="T23" s="354">
        <v>26.376811594202898</v>
      </c>
      <c r="U23" s="354">
        <v>9.6618357487922718E-2</v>
      </c>
      <c r="V23" s="354">
        <v>128.72946859903382</v>
      </c>
    </row>
    <row r="24" spans="1:22" x14ac:dyDescent="0.2">
      <c r="A24" s="30" t="s">
        <v>386</v>
      </c>
      <c r="B24" s="354">
        <v>1.4925373134328357</v>
      </c>
      <c r="C24" s="354">
        <v>159.08955223880596</v>
      </c>
      <c r="D24" s="354">
        <v>762.50746268656712</v>
      </c>
      <c r="E24" s="354">
        <v>0.10447761194029852</v>
      </c>
      <c r="F24" s="354">
        <v>0.62686567164179097</v>
      </c>
      <c r="G24" s="354">
        <v>2.9253731343283578</v>
      </c>
      <c r="H24" s="354">
        <v>11.134328358208954</v>
      </c>
      <c r="I24" s="354">
        <v>32.910447761194028</v>
      </c>
      <c r="J24" s="354">
        <v>14.64179104477612</v>
      </c>
      <c r="K24" s="354">
        <v>0</v>
      </c>
      <c r="L24" s="354">
        <v>5.3582089552238799</v>
      </c>
      <c r="M24" s="354">
        <v>0.47761194029850745</v>
      </c>
      <c r="N24" s="354">
        <v>2.9253731343283578</v>
      </c>
      <c r="O24" s="354">
        <v>0.5074626865671642</v>
      </c>
      <c r="P24" s="354">
        <v>1.7462686567164176</v>
      </c>
      <c r="Q24" s="354">
        <v>0</v>
      </c>
      <c r="R24" s="354">
        <v>0.11940298507462686</v>
      </c>
      <c r="S24" s="354">
        <v>0.53731343283582089</v>
      </c>
      <c r="T24" s="354">
        <v>26.089552238805968</v>
      </c>
      <c r="U24" s="354">
        <v>4.4776119402985072E-2</v>
      </c>
      <c r="V24" s="354">
        <v>99.507462686567166</v>
      </c>
    </row>
    <row r="25" spans="1:22" x14ac:dyDescent="0.2">
      <c r="A25" s="30" t="s">
        <v>388</v>
      </c>
      <c r="B25" s="354">
        <v>1.1141304347826086</v>
      </c>
      <c r="C25" s="354">
        <v>80.217391304347814</v>
      </c>
      <c r="D25" s="354">
        <v>421.00543478260875</v>
      </c>
      <c r="E25" s="354">
        <v>0.31521739130434784</v>
      </c>
      <c r="F25" s="354">
        <v>1.2880434782608696</v>
      </c>
      <c r="G25" s="354">
        <v>9.3967391304347814</v>
      </c>
      <c r="H25" s="354">
        <v>5.8913043478260869</v>
      </c>
      <c r="I25" s="354">
        <v>36.385869565217391</v>
      </c>
      <c r="J25" s="354">
        <v>5.766304347826086</v>
      </c>
      <c r="K25" s="354">
        <v>0</v>
      </c>
      <c r="L25" s="354">
        <v>12.581521739130434</v>
      </c>
      <c r="M25" s="354">
        <v>0.37499999999999994</v>
      </c>
      <c r="N25" s="354">
        <v>2.7989130434782608</v>
      </c>
      <c r="O25" s="354">
        <v>0.95108695652173914</v>
      </c>
      <c r="P25" s="354">
        <v>19.418478260869566</v>
      </c>
      <c r="Q25" s="354">
        <v>0</v>
      </c>
      <c r="R25" s="354">
        <v>0.12499999999999999</v>
      </c>
      <c r="S25" s="354">
        <v>0.57608695652173914</v>
      </c>
      <c r="T25" s="354">
        <v>18.059782608695652</v>
      </c>
      <c r="U25" s="354">
        <v>0.53260869565217395</v>
      </c>
      <c r="V25" s="354">
        <v>30.114130434782606</v>
      </c>
    </row>
    <row r="26" spans="1:22" x14ac:dyDescent="0.2">
      <c r="A26" s="30" t="s">
        <v>390</v>
      </c>
      <c r="B26" s="354">
        <v>1.8819188191881919</v>
      </c>
      <c r="C26" s="354">
        <v>25.948339483394836</v>
      </c>
      <c r="D26" s="354">
        <v>458.9280442804428</v>
      </c>
      <c r="E26" s="354">
        <v>0.34317343173431736</v>
      </c>
      <c r="F26" s="354">
        <v>2.0313653136531364</v>
      </c>
      <c r="G26" s="354">
        <v>5.5350553505535062E-2</v>
      </c>
      <c r="H26" s="354">
        <v>10.588560885608858</v>
      </c>
      <c r="I26" s="354">
        <v>11.474169741697418</v>
      </c>
      <c r="J26" s="354">
        <v>5.0369003690036909</v>
      </c>
      <c r="K26" s="354">
        <v>0</v>
      </c>
      <c r="L26" s="354">
        <v>0.83579335793357934</v>
      </c>
      <c r="M26" s="354">
        <v>8.8560885608856096E-2</v>
      </c>
      <c r="N26" s="354">
        <v>2.2416974169741701</v>
      </c>
      <c r="O26" s="354">
        <v>0.33763837638376382</v>
      </c>
      <c r="P26" s="354">
        <v>0.94095940959409596</v>
      </c>
      <c r="Q26" s="354">
        <v>0</v>
      </c>
      <c r="R26" s="354">
        <v>9.9630996309963096E-2</v>
      </c>
      <c r="S26" s="354">
        <v>7.1955719557195569E-2</v>
      </c>
      <c r="T26" s="354">
        <v>21.896678966789668</v>
      </c>
      <c r="U26" s="354">
        <v>5.5350553505535062E-2</v>
      </c>
      <c r="V26" s="354">
        <v>37.400369003690031</v>
      </c>
    </row>
    <row r="27" spans="1:22" x14ac:dyDescent="0.2">
      <c r="A27" s="30" t="s">
        <v>389</v>
      </c>
      <c r="B27" s="354">
        <v>0.14285714285714288</v>
      </c>
      <c r="C27" s="354">
        <v>3.3775510204081636</v>
      </c>
      <c r="D27" s="354">
        <v>747.65306122448987</v>
      </c>
      <c r="E27" s="354">
        <v>0</v>
      </c>
      <c r="F27" s="354">
        <v>5.1020408163265307E-2</v>
      </c>
      <c r="G27" s="354">
        <v>0.39795918367346939</v>
      </c>
      <c r="H27" s="354">
        <v>0.1326530612244898</v>
      </c>
      <c r="I27" s="354">
        <v>5.704081632653061</v>
      </c>
      <c r="J27" s="354">
        <v>53.326530612244895</v>
      </c>
      <c r="K27" s="354">
        <v>16.306122448979593</v>
      </c>
      <c r="L27" s="354">
        <v>0.15306122448979592</v>
      </c>
      <c r="M27" s="354">
        <v>0.23469387755102042</v>
      </c>
      <c r="N27" s="354">
        <v>1.1326530612244898</v>
      </c>
      <c r="O27" s="354">
        <v>0.14285714285714288</v>
      </c>
      <c r="P27" s="354">
        <v>2.0408163265306124E-2</v>
      </c>
      <c r="Q27" s="354">
        <v>0</v>
      </c>
      <c r="R27" s="354">
        <v>0.11224489795918367</v>
      </c>
      <c r="S27" s="354">
        <v>0</v>
      </c>
      <c r="T27" s="354">
        <v>75.540816326530617</v>
      </c>
      <c r="U27" s="354">
        <v>1.0204081632653062E-2</v>
      </c>
      <c r="V27" s="354">
        <v>19.622448979591837</v>
      </c>
    </row>
    <row r="28" spans="1:22" x14ac:dyDescent="0.2">
      <c r="A28" s="30" t="s">
        <v>391</v>
      </c>
      <c r="B28" s="354">
        <v>0.38840262582056889</v>
      </c>
      <c r="C28" s="354">
        <v>55.317286652078778</v>
      </c>
      <c r="D28" s="354">
        <v>501.90371991247264</v>
      </c>
      <c r="E28" s="354">
        <v>0.32275711159737414</v>
      </c>
      <c r="F28" s="354">
        <v>7.1115973741794306E-2</v>
      </c>
      <c r="G28" s="354">
        <v>9.9288840262582045</v>
      </c>
      <c r="H28" s="354">
        <v>4.6608315098468269</v>
      </c>
      <c r="I28" s="354">
        <v>101.46061269146608</v>
      </c>
      <c r="J28" s="354">
        <v>10.880743982494529</v>
      </c>
      <c r="K28" s="354">
        <v>238.79102844638948</v>
      </c>
      <c r="L28" s="354">
        <v>5.9956236323851204</v>
      </c>
      <c r="M28" s="354">
        <v>0.31728665207877466</v>
      </c>
      <c r="N28" s="354">
        <v>1.334792122538293</v>
      </c>
      <c r="O28" s="354">
        <v>1.7997811816192559</v>
      </c>
      <c r="P28" s="354">
        <v>0.96280087527352298</v>
      </c>
      <c r="Q28" s="354">
        <v>0</v>
      </c>
      <c r="R28" s="354">
        <v>0.73851203501094098</v>
      </c>
      <c r="S28" s="354">
        <v>8.7527352297592995E-2</v>
      </c>
      <c r="T28" s="354">
        <v>52.844638949671776</v>
      </c>
      <c r="U28" s="354">
        <v>0.37199124726477018</v>
      </c>
      <c r="V28" s="354">
        <v>12.87199124726477</v>
      </c>
    </row>
    <row r="29" spans="1:22" ht="14" thickBot="1" x14ac:dyDescent="0.25">
      <c r="A29" s="217" t="s">
        <v>392</v>
      </c>
      <c r="B29" s="354">
        <v>0.51648351648351642</v>
      </c>
      <c r="C29" s="354">
        <v>68.549450549450555</v>
      </c>
      <c r="D29" s="354">
        <v>404.65934065934067</v>
      </c>
      <c r="E29" s="354">
        <v>0</v>
      </c>
      <c r="F29" s="354">
        <v>3.2967032967032968E-2</v>
      </c>
      <c r="G29" s="354">
        <v>9.5604395604395584</v>
      </c>
      <c r="H29" s="354">
        <v>17.296703296703296</v>
      </c>
      <c r="I29" s="354">
        <v>69.241758241758234</v>
      </c>
      <c r="J29" s="354">
        <v>9.2417582417582409</v>
      </c>
      <c r="K29" s="354">
        <v>294.17582417582418</v>
      </c>
      <c r="L29" s="354">
        <v>5.2527472527472527</v>
      </c>
      <c r="M29" s="354">
        <v>0.2087912087912088</v>
      </c>
      <c r="N29" s="354">
        <v>1.7912087912087911</v>
      </c>
      <c r="O29" s="354">
        <v>2</v>
      </c>
      <c r="P29" s="354">
        <v>2.2747252747252746</v>
      </c>
      <c r="Q29" s="354">
        <v>1.2307692307692308</v>
      </c>
      <c r="R29" s="354">
        <v>0.49450549450549453</v>
      </c>
      <c r="S29" s="354">
        <v>0.42857142857142855</v>
      </c>
      <c r="T29" s="354">
        <v>19.35164835164835</v>
      </c>
      <c r="U29" s="354">
        <v>8.7912087912087905E-2</v>
      </c>
      <c r="V29" s="354">
        <v>13.505494505494504</v>
      </c>
    </row>
    <row r="31" spans="1:22" ht="14" thickBot="1" x14ac:dyDescent="0.25"/>
    <row r="32" spans="1:22" ht="57" thickBot="1" x14ac:dyDescent="0.25">
      <c r="A32" s="355" t="s">
        <v>574</v>
      </c>
      <c r="B32" s="356" t="s">
        <v>86</v>
      </c>
      <c r="C32" s="356" t="s">
        <v>177</v>
      </c>
      <c r="D32" s="356" t="s">
        <v>88</v>
      </c>
      <c r="E32" s="356" t="s">
        <v>89</v>
      </c>
      <c r="F32" s="356" t="s">
        <v>90</v>
      </c>
      <c r="G32" s="356" t="s">
        <v>91</v>
      </c>
      <c r="H32" s="356" t="s">
        <v>92</v>
      </c>
      <c r="I32" s="356" t="s">
        <v>93</v>
      </c>
      <c r="J32" s="356" t="s">
        <v>94</v>
      </c>
      <c r="K32" s="356" t="s">
        <v>409</v>
      </c>
      <c r="L32" s="356" t="s">
        <v>205</v>
      </c>
      <c r="M32" s="356" t="s">
        <v>87</v>
      </c>
      <c r="N32" s="356" t="s">
        <v>180</v>
      </c>
      <c r="O32" s="356" t="s">
        <v>406</v>
      </c>
      <c r="P32" s="356" t="s">
        <v>407</v>
      </c>
      <c r="Q32" s="356" t="s">
        <v>220</v>
      </c>
      <c r="R32" s="356" t="s">
        <v>218</v>
      </c>
      <c r="S32" s="356" t="s">
        <v>105</v>
      </c>
      <c r="T32" s="356" t="s">
        <v>408</v>
      </c>
      <c r="U32" s="356" t="s">
        <v>405</v>
      </c>
      <c r="V32" s="356" t="s">
        <v>110</v>
      </c>
    </row>
    <row r="33" spans="1:22" ht="14" thickBot="1" x14ac:dyDescent="0.25">
      <c r="A33" s="357"/>
      <c r="B33" s="358" t="s">
        <v>454</v>
      </c>
      <c r="C33" s="358" t="s">
        <v>454</v>
      </c>
      <c r="D33" s="358" t="s">
        <v>454</v>
      </c>
      <c r="E33" s="358" t="s">
        <v>454</v>
      </c>
      <c r="F33" s="358" t="s">
        <v>454</v>
      </c>
      <c r="G33" s="358" t="s">
        <v>454</v>
      </c>
      <c r="H33" s="358" t="s">
        <v>454</v>
      </c>
      <c r="I33" s="358" t="s">
        <v>454</v>
      </c>
      <c r="J33" s="358" t="s">
        <v>454</v>
      </c>
      <c r="K33" s="358" t="s">
        <v>454</v>
      </c>
      <c r="L33" s="358" t="s">
        <v>454</v>
      </c>
      <c r="M33" s="358" t="s">
        <v>454</v>
      </c>
      <c r="N33" s="358" t="s">
        <v>454</v>
      </c>
      <c r="O33" s="358" t="s">
        <v>454</v>
      </c>
      <c r="P33" s="358" t="s">
        <v>454</v>
      </c>
      <c r="Q33" s="358" t="s">
        <v>454</v>
      </c>
      <c r="R33" s="358" t="s">
        <v>454</v>
      </c>
      <c r="S33" s="358" t="s">
        <v>454</v>
      </c>
      <c r="T33" s="358" t="s">
        <v>454</v>
      </c>
      <c r="U33" s="358" t="s">
        <v>454</v>
      </c>
      <c r="V33" s="358" t="s">
        <v>454</v>
      </c>
    </row>
    <row r="34" spans="1:22" x14ac:dyDescent="0.2">
      <c r="A34" s="30" t="s">
        <v>387</v>
      </c>
      <c r="B34" s="354">
        <v>1.1980676328502415</v>
      </c>
      <c r="C34" s="354">
        <v>179.96618357487924</v>
      </c>
      <c r="D34" s="354">
        <v>1662.6231884057972</v>
      </c>
      <c r="E34" s="354">
        <v>0.64251207729468607</v>
      </c>
      <c r="F34" s="354">
        <v>0.89855072463768126</v>
      </c>
      <c r="G34" s="354">
        <v>13.54106280193237</v>
      </c>
      <c r="H34" s="354">
        <v>7.5458937198067639</v>
      </c>
      <c r="I34" s="354">
        <v>24.90338164251208</v>
      </c>
      <c r="J34" s="354">
        <v>26.415458937198071</v>
      </c>
      <c r="K34" s="354">
        <v>0</v>
      </c>
      <c r="L34" s="354">
        <v>6.57487922705314</v>
      </c>
      <c r="M34" s="354">
        <v>0.58454106280193241</v>
      </c>
      <c r="N34" s="354">
        <v>2.8743961352657008</v>
      </c>
      <c r="O34" s="354">
        <v>0.7874396135265701</v>
      </c>
      <c r="P34" s="354">
        <v>63.603864734299513</v>
      </c>
      <c r="Q34" s="354">
        <v>0</v>
      </c>
      <c r="R34" s="354">
        <v>0.12077294685990339</v>
      </c>
      <c r="S34" s="354">
        <v>0.58454106280193241</v>
      </c>
      <c r="T34" s="354">
        <v>29.855072463768114</v>
      </c>
      <c r="U34" s="354">
        <v>9.6618357487922718E-2</v>
      </c>
      <c r="V34" s="354">
        <v>128.72946859903382</v>
      </c>
    </row>
    <row r="35" spans="1:22" x14ac:dyDescent="0.2">
      <c r="A35" s="30" t="s">
        <v>386</v>
      </c>
      <c r="B35" s="354">
        <v>1.8059701492537312</v>
      </c>
      <c r="C35" s="354">
        <v>218.41791044776119</v>
      </c>
      <c r="D35" s="354">
        <v>1190.3880597014925</v>
      </c>
      <c r="E35" s="354">
        <v>0.10447761194029852</v>
      </c>
      <c r="F35" s="354">
        <v>0.62686567164179097</v>
      </c>
      <c r="G35" s="354">
        <v>15.820895522388058</v>
      </c>
      <c r="H35" s="354">
        <v>11.134328358208954</v>
      </c>
      <c r="I35" s="354">
        <v>34.328358208955223</v>
      </c>
      <c r="J35" s="354">
        <v>34.104477611940297</v>
      </c>
      <c r="K35" s="354">
        <v>0</v>
      </c>
      <c r="L35" s="354">
        <v>5.3582089552238799</v>
      </c>
      <c r="M35" s="354">
        <v>0.47761194029850745</v>
      </c>
      <c r="N35" s="354">
        <v>2.4029850746268657</v>
      </c>
      <c r="O35" s="354">
        <v>0.9253731343283581</v>
      </c>
      <c r="P35" s="354">
        <v>82.910447761194021</v>
      </c>
      <c r="Q35" s="354">
        <v>0</v>
      </c>
      <c r="R35" s="354">
        <v>0.11940298507462686</v>
      </c>
      <c r="S35" s="354">
        <v>1.3731343283582089</v>
      </c>
      <c r="T35" s="354">
        <v>25.686567164179102</v>
      </c>
      <c r="U35" s="354">
        <v>4.4776119402985072E-2</v>
      </c>
      <c r="V35" s="354">
        <v>99.507462686567166</v>
      </c>
    </row>
    <row r="36" spans="1:22" s="316" customFormat="1" x14ac:dyDescent="0.2">
      <c r="A36" s="541" t="s">
        <v>388</v>
      </c>
      <c r="B36" s="542">
        <v>1.5489130434782608</v>
      </c>
      <c r="C36" s="542">
        <v>237.06521739130437</v>
      </c>
      <c r="D36" s="542">
        <v>1107.9076086956522</v>
      </c>
      <c r="E36" s="542">
        <v>0.31521739130434784</v>
      </c>
      <c r="F36" s="542">
        <v>1.2880434782608696</v>
      </c>
      <c r="G36" s="542">
        <v>30.874999999999996</v>
      </c>
      <c r="H36" s="542">
        <v>5.8913043478260869</v>
      </c>
      <c r="I36" s="542">
        <v>2.206521739130435</v>
      </c>
      <c r="J36" s="542">
        <v>7.7065217391304346</v>
      </c>
      <c r="K36" s="542">
        <v>0</v>
      </c>
      <c r="L36" s="542">
        <v>12.581521739130434</v>
      </c>
      <c r="M36" s="542">
        <v>0.37499999999999994</v>
      </c>
      <c r="N36" s="542">
        <v>2.5054347826086953</v>
      </c>
      <c r="O36" s="542">
        <v>0.99456521739130421</v>
      </c>
      <c r="P36" s="542">
        <v>61.532608695652172</v>
      </c>
      <c r="Q36" s="542">
        <v>0</v>
      </c>
      <c r="R36" s="542">
        <v>0.12499999999999999</v>
      </c>
      <c r="S36" s="542">
        <v>0.27173913043478259</v>
      </c>
      <c r="T36" s="542">
        <v>21.673913043478258</v>
      </c>
      <c r="U36" s="542">
        <v>0.53260869565217395</v>
      </c>
      <c r="V36" s="542">
        <v>30.114130434782606</v>
      </c>
    </row>
    <row r="37" spans="1:22" x14ac:dyDescent="0.2">
      <c r="A37" s="30" t="s">
        <v>390</v>
      </c>
      <c r="B37" s="354">
        <v>2.457564575645756</v>
      </c>
      <c r="C37" s="354">
        <v>25.948339483394836</v>
      </c>
      <c r="D37" s="354">
        <v>1084.5276752767529</v>
      </c>
      <c r="E37" s="354">
        <v>0.34317343173431736</v>
      </c>
      <c r="F37" s="354">
        <v>2.0313653136531364</v>
      </c>
      <c r="G37" s="354">
        <v>8.2361623616236166</v>
      </c>
      <c r="H37" s="354">
        <v>10.588560885608858</v>
      </c>
      <c r="I37" s="354">
        <v>1.3118081180811809</v>
      </c>
      <c r="J37" s="354">
        <v>7.2564575645756459</v>
      </c>
      <c r="K37" s="354">
        <v>0</v>
      </c>
      <c r="L37" s="354">
        <v>0.83579335793357934</v>
      </c>
      <c r="M37" s="354">
        <v>8.8560885608856096E-2</v>
      </c>
      <c r="N37" s="354">
        <v>2.0535055350553506</v>
      </c>
      <c r="O37" s="354">
        <v>0.4151291512915129</v>
      </c>
      <c r="P37" s="354">
        <v>12.160516605166052</v>
      </c>
      <c r="Q37" s="354">
        <v>0</v>
      </c>
      <c r="R37" s="354">
        <v>9.9630996309963096E-2</v>
      </c>
      <c r="S37" s="354">
        <v>7.1955719557195569E-2</v>
      </c>
      <c r="T37" s="354">
        <v>29.14760147601476</v>
      </c>
      <c r="U37" s="354">
        <v>5.5350553505535062E-2</v>
      </c>
      <c r="V37" s="354">
        <v>37.400369003690031</v>
      </c>
    </row>
    <row r="38" spans="1:22" x14ac:dyDescent="0.2">
      <c r="A38" s="30" t="s">
        <v>389</v>
      </c>
      <c r="B38" s="354">
        <v>0.17346938775510207</v>
      </c>
      <c r="C38" s="354">
        <v>3.3775510204081636</v>
      </c>
      <c r="D38" s="354">
        <v>802.38775510204084</v>
      </c>
      <c r="E38" s="354">
        <v>0</v>
      </c>
      <c r="F38" s="354">
        <v>5.1020408163265307E-2</v>
      </c>
      <c r="G38" s="354">
        <v>0.43877551020408162</v>
      </c>
      <c r="H38" s="354">
        <v>0.1326530612244898</v>
      </c>
      <c r="I38" s="354">
        <v>3.8469387755102042</v>
      </c>
      <c r="J38" s="354">
        <v>53.336734693877553</v>
      </c>
      <c r="K38" s="354">
        <v>16.306122448979593</v>
      </c>
      <c r="L38" s="354">
        <v>0.15306122448979592</v>
      </c>
      <c r="M38" s="354">
        <v>0.23469387755102042</v>
      </c>
      <c r="N38" s="354">
        <v>1.1326530612244898</v>
      </c>
      <c r="O38" s="354">
        <v>0.14285714285714288</v>
      </c>
      <c r="P38" s="354">
        <v>1.4183673469387754</v>
      </c>
      <c r="Q38" s="354">
        <v>0</v>
      </c>
      <c r="R38" s="354">
        <v>0.11224489795918367</v>
      </c>
      <c r="S38" s="354">
        <v>0</v>
      </c>
      <c r="T38" s="354">
        <v>77.938775510204081</v>
      </c>
      <c r="U38" s="354">
        <v>1.0204081632653062E-2</v>
      </c>
      <c r="V38" s="354">
        <v>19.622448979591837</v>
      </c>
    </row>
    <row r="39" spans="1:22" x14ac:dyDescent="0.2">
      <c r="A39" s="30" t="s">
        <v>391</v>
      </c>
      <c r="B39" s="354">
        <v>8.0032822757111592</v>
      </c>
      <c r="C39" s="354">
        <v>55.317286652078778</v>
      </c>
      <c r="D39" s="354">
        <v>1266.723194748359</v>
      </c>
      <c r="E39" s="354">
        <v>0.32275711159737414</v>
      </c>
      <c r="F39" s="354">
        <v>7.1115973741794306E-2</v>
      </c>
      <c r="G39" s="354">
        <v>18.544857768052516</v>
      </c>
      <c r="H39" s="354">
        <v>4.6608315098468269</v>
      </c>
      <c r="I39" s="354">
        <v>8.774617067833697</v>
      </c>
      <c r="J39" s="354">
        <v>11.559080962800873</v>
      </c>
      <c r="K39" s="354">
        <v>278.4463894967177</v>
      </c>
      <c r="L39" s="354">
        <v>5.9956236323851204</v>
      </c>
      <c r="M39" s="354">
        <v>0.31728665207877466</v>
      </c>
      <c r="N39" s="354">
        <v>1.3457330415754922</v>
      </c>
      <c r="O39" s="354">
        <v>2.9431072210065645</v>
      </c>
      <c r="P39" s="354">
        <v>23.741794310722103</v>
      </c>
      <c r="Q39" s="354">
        <v>0</v>
      </c>
      <c r="R39" s="354">
        <v>0.74945295404814005</v>
      </c>
      <c r="S39" s="354">
        <v>8.7527352297592995E-2</v>
      </c>
      <c r="T39" s="354">
        <v>83.391684901531718</v>
      </c>
      <c r="U39" s="354">
        <v>0.37199124726477018</v>
      </c>
      <c r="V39" s="354">
        <v>12.87199124726477</v>
      </c>
    </row>
    <row r="40" spans="1:22" ht="14" thickBot="1" x14ac:dyDescent="0.25">
      <c r="A40" s="217" t="s">
        <v>392</v>
      </c>
      <c r="B40" s="354">
        <v>1.4725274725274726</v>
      </c>
      <c r="C40" s="354">
        <v>68.549450549450555</v>
      </c>
      <c r="D40" s="354">
        <v>1178.131868131868</v>
      </c>
      <c r="E40" s="354">
        <v>0</v>
      </c>
      <c r="F40" s="354">
        <v>3.2967032967032968E-2</v>
      </c>
      <c r="G40" s="354">
        <v>10.791208791208792</v>
      </c>
      <c r="H40" s="354">
        <v>17.296703296703296</v>
      </c>
      <c r="I40" s="354">
        <v>16</v>
      </c>
      <c r="J40" s="354">
        <v>9.1868131868131861</v>
      </c>
      <c r="K40" s="354">
        <v>338.93406593406593</v>
      </c>
      <c r="L40" s="354">
        <v>5.2527472527472527</v>
      </c>
      <c r="M40" s="354">
        <v>0.2087912087912088</v>
      </c>
      <c r="N40" s="354">
        <v>1.813186813186813</v>
      </c>
      <c r="O40" s="354">
        <v>2.6483516483516483</v>
      </c>
      <c r="P40" s="354">
        <v>30.505494505494507</v>
      </c>
      <c r="Q40" s="354">
        <v>1.2307692307692308</v>
      </c>
      <c r="R40" s="354">
        <v>0.49450549450549453</v>
      </c>
      <c r="S40" s="354">
        <v>0.42857142857142855</v>
      </c>
      <c r="T40" s="354">
        <v>48.065934065934066</v>
      </c>
      <c r="U40" s="354">
        <v>8.7912087912087905E-2</v>
      </c>
      <c r="V40" s="354">
        <v>13.505494505494504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E678-A17A-478A-82CD-142549B25FC8}">
  <sheetPr>
    <tabColor theme="7" tint="0.79998168889431442"/>
  </sheetPr>
  <dimension ref="A1:L8"/>
  <sheetViews>
    <sheetView workbookViewId="0">
      <selection activeCell="F22" sqref="F22"/>
    </sheetView>
  </sheetViews>
  <sheetFormatPr baseColWidth="10" defaultColWidth="8.83203125" defaultRowHeight="15" x14ac:dyDescent="0.2"/>
  <cols>
    <col min="1" max="1" width="12.83203125" customWidth="1"/>
    <col min="2" max="2" width="11.5" customWidth="1"/>
  </cols>
  <sheetData>
    <row r="1" spans="1:12" s="3" customFormat="1" ht="58.25" customHeight="1" thickBot="1" x14ac:dyDescent="0.25">
      <c r="C1" s="386" t="s">
        <v>199</v>
      </c>
      <c r="D1" s="418" t="s">
        <v>503</v>
      </c>
      <c r="E1" s="418" t="s">
        <v>237</v>
      </c>
      <c r="F1" s="418" t="s">
        <v>504</v>
      </c>
      <c r="G1" s="418" t="s">
        <v>505</v>
      </c>
      <c r="H1" s="419" t="s">
        <v>506</v>
      </c>
    </row>
    <row r="2" spans="1:12" ht="16" thickBot="1" x14ac:dyDescent="0.25">
      <c r="A2" s="421" t="s">
        <v>507</v>
      </c>
      <c r="B2" s="420"/>
      <c r="C2" s="409">
        <v>0.37</v>
      </c>
      <c r="D2" s="410">
        <v>0.27</v>
      </c>
      <c r="E2" s="410">
        <v>0.22</v>
      </c>
      <c r="F2" s="410">
        <v>0.08</v>
      </c>
      <c r="G2" s="410">
        <v>0.06</v>
      </c>
      <c r="H2" s="411"/>
      <c r="I2" t="s">
        <v>544</v>
      </c>
    </row>
    <row r="3" spans="1:12" x14ac:dyDescent="0.2">
      <c r="A3" s="545" t="s">
        <v>508</v>
      </c>
      <c r="B3" s="47" t="s">
        <v>378</v>
      </c>
      <c r="C3" s="412">
        <v>0.37</v>
      </c>
      <c r="D3" s="413">
        <v>0.27</v>
      </c>
      <c r="E3" s="413">
        <v>0.22</v>
      </c>
      <c r="F3" s="413">
        <v>0.08</v>
      </c>
      <c r="G3" s="413">
        <v>0.06</v>
      </c>
      <c r="H3" s="414"/>
      <c r="I3" s="548" t="s">
        <v>509</v>
      </c>
      <c r="J3" s="549"/>
      <c r="K3" s="549"/>
      <c r="L3" s="549"/>
    </row>
    <row r="4" spans="1:12" x14ac:dyDescent="0.2">
      <c r="A4" s="546"/>
      <c r="B4" s="47" t="s">
        <v>241</v>
      </c>
      <c r="C4" s="412">
        <v>0.37</v>
      </c>
      <c r="D4" s="413"/>
      <c r="E4" s="413">
        <v>0.3</v>
      </c>
      <c r="F4" s="413"/>
      <c r="G4" s="413"/>
      <c r="H4" s="414">
        <v>0.33</v>
      </c>
      <c r="I4" s="548"/>
      <c r="J4" s="549"/>
      <c r="K4" s="549"/>
      <c r="L4" s="549"/>
    </row>
    <row r="5" spans="1:12" ht="16" thickBot="1" x14ac:dyDescent="0.25">
      <c r="A5" s="547"/>
      <c r="B5" s="384" t="s">
        <v>236</v>
      </c>
      <c r="C5" s="415">
        <v>0.37</v>
      </c>
      <c r="D5" s="416"/>
      <c r="E5" s="416">
        <v>0.22</v>
      </c>
      <c r="F5" s="416"/>
      <c r="G5" s="416"/>
      <c r="H5" s="417">
        <f>0.14+0.27</f>
        <v>0.41000000000000003</v>
      </c>
      <c r="I5" s="548"/>
      <c r="J5" s="549"/>
      <c r="K5" s="549"/>
      <c r="L5" s="549"/>
    </row>
    <row r="8" spans="1:12" ht="73" customHeight="1" x14ac:dyDescent="0.2">
      <c r="A8" s="550" t="s">
        <v>545</v>
      </c>
      <c r="B8" s="550"/>
      <c r="C8" s="550"/>
      <c r="D8" s="550"/>
      <c r="E8" s="550"/>
      <c r="F8" s="550"/>
      <c r="G8" s="550"/>
    </row>
  </sheetData>
  <mergeCells count="3">
    <mergeCell ref="A3:A5"/>
    <mergeCell ref="I3:L5"/>
    <mergeCell ref="A8:G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2E00-43F9-4D2D-8655-A1669D3CE29C}">
  <sheetPr>
    <tabColor theme="7" tint="0.39997558519241921"/>
  </sheetPr>
  <dimension ref="A1:R55"/>
  <sheetViews>
    <sheetView zoomScale="90" zoomScaleNormal="85" workbookViewId="0">
      <selection activeCell="A5" sqref="A5"/>
    </sheetView>
  </sheetViews>
  <sheetFormatPr baseColWidth="10" defaultColWidth="8.83203125" defaultRowHeight="15" x14ac:dyDescent="0.2"/>
  <cols>
    <col min="1" max="1" width="29.5" style="3" customWidth="1"/>
    <col min="2" max="2" width="36.83203125" style="3" customWidth="1"/>
    <col min="5" max="5" width="16.1640625" style="3" customWidth="1"/>
    <col min="6" max="6" width="20.5" style="3" customWidth="1"/>
    <col min="8" max="8" width="18.1640625" customWidth="1"/>
    <col min="9" max="9" width="13.6640625" style="47" customWidth="1"/>
    <col min="11" max="11" width="47.83203125" style="3" customWidth="1"/>
    <col min="12" max="12" width="23" customWidth="1"/>
  </cols>
  <sheetData>
    <row r="1" spans="1:18" s="34" customFormat="1" ht="78.5" customHeight="1" thickBot="1" x14ac:dyDescent="0.25">
      <c r="A1" s="33"/>
      <c r="B1" s="31" t="s">
        <v>6</v>
      </c>
      <c r="C1" s="32" t="s">
        <v>7</v>
      </c>
      <c r="D1" s="32" t="s">
        <v>8</v>
      </c>
      <c r="E1" s="32" t="s">
        <v>9</v>
      </c>
      <c r="F1" s="32" t="s">
        <v>10</v>
      </c>
      <c r="G1" s="32" t="s">
        <v>11</v>
      </c>
      <c r="H1" s="35" t="s">
        <v>12</v>
      </c>
      <c r="I1" s="40" t="s">
        <v>13</v>
      </c>
      <c r="J1" s="45" t="s">
        <v>39</v>
      </c>
      <c r="K1" s="557" t="s">
        <v>17</v>
      </c>
      <c r="L1" s="557"/>
    </row>
    <row r="2" spans="1:18" s="46" customFormat="1" ht="43" thickBot="1" x14ac:dyDescent="0.25">
      <c r="A2" s="21" t="s">
        <v>86</v>
      </c>
      <c r="B2" s="14" t="s">
        <v>113</v>
      </c>
      <c r="C2" s="9">
        <v>1</v>
      </c>
      <c r="D2" s="9" t="s">
        <v>1</v>
      </c>
      <c r="E2" s="14" t="s">
        <v>114</v>
      </c>
      <c r="F2" s="14" t="s">
        <v>115</v>
      </c>
      <c r="G2" s="9" t="s">
        <v>29</v>
      </c>
      <c r="H2" s="9" t="s">
        <v>5</v>
      </c>
      <c r="I2" s="15">
        <v>20.97411263191076</v>
      </c>
      <c r="J2" s="9"/>
      <c r="K2" s="14"/>
      <c r="L2" s="9"/>
    </row>
    <row r="3" spans="1:18" s="46" customFormat="1" ht="29" thickBot="1" x14ac:dyDescent="0.25">
      <c r="A3" s="21" t="s">
        <v>177</v>
      </c>
      <c r="B3" s="14" t="s">
        <v>116</v>
      </c>
      <c r="C3" s="9">
        <v>1</v>
      </c>
      <c r="D3" s="9" t="s">
        <v>1</v>
      </c>
      <c r="E3" s="14" t="s">
        <v>19</v>
      </c>
      <c r="F3" s="14" t="s">
        <v>117</v>
      </c>
      <c r="G3" s="9" t="s">
        <v>4</v>
      </c>
      <c r="H3" s="9" t="s">
        <v>5</v>
      </c>
      <c r="I3" s="15">
        <v>0.24253743092470459</v>
      </c>
      <c r="J3" s="9"/>
      <c r="K3" s="14"/>
      <c r="L3" s="9"/>
    </row>
    <row r="4" spans="1:18" s="46" customFormat="1" ht="43" thickBot="1" x14ac:dyDescent="0.25">
      <c r="A4" s="21" t="s">
        <v>88</v>
      </c>
      <c r="B4" s="14" t="s">
        <v>118</v>
      </c>
      <c r="C4" s="9">
        <v>4.3177899999999997E-4</v>
      </c>
      <c r="D4" s="9" t="s">
        <v>26</v>
      </c>
      <c r="E4" s="14" t="s">
        <v>27</v>
      </c>
      <c r="F4" s="14" t="s">
        <v>119</v>
      </c>
      <c r="G4" s="9" t="s">
        <v>29</v>
      </c>
      <c r="H4" s="9" t="s">
        <v>5</v>
      </c>
      <c r="I4" s="15">
        <v>0.11748738381164731</v>
      </c>
      <c r="J4" s="9"/>
      <c r="K4" s="50" t="s">
        <v>185</v>
      </c>
      <c r="L4" s="9"/>
    </row>
    <row r="5" spans="1:18" s="46" customFormat="1" ht="29" thickBot="1" x14ac:dyDescent="0.25">
      <c r="A5" s="21" t="s">
        <v>89</v>
      </c>
      <c r="B5" s="14" t="s">
        <v>120</v>
      </c>
      <c r="C5" s="9">
        <v>1</v>
      </c>
      <c r="D5" s="9" t="s">
        <v>1</v>
      </c>
      <c r="E5" s="14" t="s">
        <v>32</v>
      </c>
      <c r="F5" s="14" t="s">
        <v>121</v>
      </c>
      <c r="G5" s="9" t="s">
        <v>4</v>
      </c>
      <c r="H5" s="9" t="s">
        <v>5</v>
      </c>
      <c r="I5" s="15">
        <v>1.0763387585450801</v>
      </c>
      <c r="J5" s="9"/>
      <c r="K5" s="14"/>
      <c r="L5" s="9"/>
    </row>
    <row r="6" spans="1:18" s="42" customFormat="1" ht="56" x14ac:dyDescent="0.2">
      <c r="A6" s="551" t="s">
        <v>90</v>
      </c>
      <c r="B6" s="12" t="s">
        <v>122</v>
      </c>
      <c r="C6" s="4">
        <v>1</v>
      </c>
      <c r="D6" s="4" t="s">
        <v>1</v>
      </c>
      <c r="E6" s="12" t="s">
        <v>41</v>
      </c>
      <c r="F6" s="12" t="s">
        <v>123</v>
      </c>
      <c r="G6" s="4" t="s">
        <v>77</v>
      </c>
      <c r="H6" s="4" t="s">
        <v>5</v>
      </c>
      <c r="I6" s="16">
        <v>6.7357283667796786</v>
      </c>
      <c r="J6" s="18">
        <v>0.5</v>
      </c>
      <c r="K6" s="12"/>
      <c r="L6" s="4"/>
    </row>
    <row r="7" spans="1:18" s="44" customFormat="1" ht="57" thickBot="1" x14ac:dyDescent="0.25">
      <c r="A7" s="552"/>
      <c r="B7" s="13" t="s">
        <v>124</v>
      </c>
      <c r="C7" s="5">
        <v>1</v>
      </c>
      <c r="D7" s="5" t="s">
        <v>1</v>
      </c>
      <c r="E7" s="13" t="s">
        <v>44</v>
      </c>
      <c r="F7" s="13" t="s">
        <v>125</v>
      </c>
      <c r="G7" s="5" t="s">
        <v>4</v>
      </c>
      <c r="H7" s="5" t="s">
        <v>5</v>
      </c>
      <c r="I7" s="17">
        <v>1.8975039811543559</v>
      </c>
      <c r="J7" s="19">
        <v>0.5</v>
      </c>
      <c r="K7" s="13"/>
      <c r="L7" s="5"/>
    </row>
    <row r="8" spans="1:18" s="46" customFormat="1" ht="43" thickBot="1" x14ac:dyDescent="0.25">
      <c r="A8" s="21" t="s">
        <v>91</v>
      </c>
      <c r="B8" s="14" t="s">
        <v>126</v>
      </c>
      <c r="C8" s="9">
        <v>1</v>
      </c>
      <c r="D8" s="9" t="s">
        <v>1</v>
      </c>
      <c r="E8" s="14" t="s">
        <v>52</v>
      </c>
      <c r="F8" s="14" t="s">
        <v>127</v>
      </c>
      <c r="G8" s="9" t="s">
        <v>29</v>
      </c>
      <c r="H8" s="9" t="s">
        <v>5</v>
      </c>
      <c r="I8" s="15">
        <v>0.27401065869645941</v>
      </c>
      <c r="J8" s="9"/>
      <c r="K8" s="14"/>
      <c r="L8" s="9"/>
    </row>
    <row r="9" spans="1:18" s="42" customFormat="1" ht="43" thickBot="1" x14ac:dyDescent="0.25">
      <c r="A9" s="240" t="s">
        <v>92</v>
      </c>
      <c r="B9" s="12" t="s">
        <v>128</v>
      </c>
      <c r="C9" s="4">
        <v>1</v>
      </c>
      <c r="D9" s="4" t="s">
        <v>1</v>
      </c>
      <c r="E9" s="12" t="s">
        <v>56</v>
      </c>
      <c r="F9" s="12" t="s">
        <v>129</v>
      </c>
      <c r="G9" s="4" t="s">
        <v>4</v>
      </c>
      <c r="H9" s="4" t="s">
        <v>5</v>
      </c>
      <c r="I9" s="16">
        <v>0.96429253414894633</v>
      </c>
      <c r="J9" s="4"/>
      <c r="K9" s="12"/>
      <c r="L9" s="4"/>
      <c r="M9" s="4"/>
      <c r="N9" s="4"/>
      <c r="O9" s="4"/>
      <c r="P9" s="4"/>
      <c r="Q9" s="4"/>
      <c r="R9" s="4"/>
    </row>
    <row r="10" spans="1:18" s="42" customFormat="1" ht="56" x14ac:dyDescent="0.2">
      <c r="A10" s="554" t="s">
        <v>167</v>
      </c>
      <c r="B10" s="12" t="s">
        <v>130</v>
      </c>
      <c r="C10" s="4">
        <v>2.1929824561403508E-3</v>
      </c>
      <c r="D10" s="4" t="s">
        <v>26</v>
      </c>
      <c r="E10" s="12" t="s">
        <v>131</v>
      </c>
      <c r="F10" s="12" t="s">
        <v>132</v>
      </c>
      <c r="G10" s="4" t="s">
        <v>24</v>
      </c>
      <c r="H10" s="4" t="s">
        <v>5</v>
      </c>
      <c r="I10" s="16">
        <v>0.12557561056091618</v>
      </c>
      <c r="J10" s="43">
        <f>0.53/(0.53+0.29)</f>
        <v>0.64634146341463417</v>
      </c>
      <c r="K10" s="12" t="s">
        <v>183</v>
      </c>
      <c r="L10" s="4" t="s">
        <v>365</v>
      </c>
      <c r="M10" s="79">
        <f>1/450</f>
        <v>2.2222222222222222E-3</v>
      </c>
      <c r="N10" s="79"/>
      <c r="O10" s="79"/>
      <c r="P10" s="79"/>
      <c r="R10" s="79"/>
    </row>
    <row r="11" spans="1:18" ht="56" x14ac:dyDescent="0.2">
      <c r="A11" s="555"/>
      <c r="B11" s="2" t="s">
        <v>133</v>
      </c>
      <c r="C11" s="1">
        <v>1.2804097311139564E-3</v>
      </c>
      <c r="D11" s="1" t="s">
        <v>26</v>
      </c>
      <c r="E11" s="2" t="s">
        <v>134</v>
      </c>
      <c r="F11" s="2" t="s">
        <v>135</v>
      </c>
      <c r="G11" s="1" t="s">
        <v>24</v>
      </c>
      <c r="H11" s="1" t="s">
        <v>5</v>
      </c>
      <c r="I11" s="38">
        <v>6.5173906346921606E-2</v>
      </c>
      <c r="J11" s="41">
        <f>0.29/(0.53+0.29)</f>
        <v>0.35365853658536578</v>
      </c>
      <c r="K11" s="2" t="s">
        <v>184</v>
      </c>
      <c r="L11" s="1" t="s">
        <v>364</v>
      </c>
      <c r="M11" s="57">
        <f>1/650</f>
        <v>1.5384615384615385E-3</v>
      </c>
      <c r="N11" s="57"/>
      <c r="O11" s="57"/>
      <c r="P11" s="57"/>
      <c r="R11" s="57"/>
    </row>
    <row r="12" spans="1:18" ht="56" x14ac:dyDescent="0.2">
      <c r="A12" s="555"/>
      <c r="B12" s="2" t="s">
        <v>136</v>
      </c>
      <c r="C12" s="1">
        <v>1.2804097311139564E-3</v>
      </c>
      <c r="D12" s="1" t="s">
        <v>26</v>
      </c>
      <c r="E12" s="2" t="s">
        <v>137</v>
      </c>
      <c r="F12" s="2" t="s">
        <v>138</v>
      </c>
      <c r="G12" s="1" t="s">
        <v>24</v>
      </c>
      <c r="H12" s="1" t="s">
        <v>5</v>
      </c>
      <c r="I12" s="38">
        <v>8.3101444498223723E-2</v>
      </c>
      <c r="J12" s="1"/>
      <c r="K12" s="2"/>
      <c r="L12" s="2" t="s">
        <v>363</v>
      </c>
      <c r="M12" s="57"/>
      <c r="N12" s="57"/>
    </row>
    <row r="13" spans="1:18" s="44" customFormat="1" ht="43" thickBot="1" x14ac:dyDescent="0.25">
      <c r="A13" s="556"/>
      <c r="B13" s="13" t="s">
        <v>338</v>
      </c>
      <c r="C13" s="13">
        <v>1</v>
      </c>
      <c r="D13" s="5" t="s">
        <v>26</v>
      </c>
      <c r="E13" s="5" t="s">
        <v>339</v>
      </c>
      <c r="F13" s="13" t="s">
        <v>340</v>
      </c>
      <c r="G13" s="5" t="s">
        <v>4</v>
      </c>
      <c r="H13" s="5" t="s">
        <v>5</v>
      </c>
      <c r="I13" s="17">
        <v>0.29640801415808976</v>
      </c>
      <c r="J13" s="242">
        <v>0.46629999999999999</v>
      </c>
      <c r="K13" s="13" t="s">
        <v>343</v>
      </c>
      <c r="L13" s="13" t="s">
        <v>342</v>
      </c>
      <c r="M13" s="68">
        <f>1/490</f>
        <v>2.0408163265306124E-3</v>
      </c>
      <c r="N13" s="68"/>
    </row>
    <row r="14" spans="1:18" ht="28" x14ac:dyDescent="0.2">
      <c r="A14" s="551" t="s">
        <v>94</v>
      </c>
      <c r="B14" s="2" t="s">
        <v>139</v>
      </c>
      <c r="C14" s="1">
        <v>1</v>
      </c>
      <c r="D14" s="1" t="s">
        <v>1</v>
      </c>
      <c r="E14" s="2" t="s">
        <v>140</v>
      </c>
      <c r="F14" s="2" t="s">
        <v>141</v>
      </c>
      <c r="G14" s="1" t="s">
        <v>29</v>
      </c>
      <c r="H14" s="1" t="s">
        <v>5</v>
      </c>
      <c r="I14" s="38">
        <v>1.305296357625241</v>
      </c>
      <c r="J14" s="157">
        <v>0.22</v>
      </c>
      <c r="K14" s="2"/>
      <c r="L14" s="1"/>
    </row>
    <row r="15" spans="1:18" ht="28" x14ac:dyDescent="0.2">
      <c r="A15" s="553"/>
      <c r="B15" s="2" t="s">
        <v>142</v>
      </c>
      <c r="C15" s="1">
        <v>1</v>
      </c>
      <c r="D15" s="1" t="s">
        <v>1</v>
      </c>
      <c r="E15" s="2" t="s">
        <v>143</v>
      </c>
      <c r="F15" s="2" t="s">
        <v>144</v>
      </c>
      <c r="G15" s="1" t="s">
        <v>29</v>
      </c>
      <c r="H15" s="1" t="s">
        <v>5</v>
      </c>
      <c r="I15" s="38">
        <v>2.672247951506455</v>
      </c>
      <c r="J15" s="157">
        <v>0.37</v>
      </c>
      <c r="K15" s="233"/>
      <c r="L15" s="1"/>
    </row>
    <row r="16" spans="1:18" ht="42" x14ac:dyDescent="0.2">
      <c r="A16" s="553"/>
      <c r="B16" s="2" t="s">
        <v>145</v>
      </c>
      <c r="C16" s="1">
        <v>1</v>
      </c>
      <c r="D16" s="1" t="s">
        <v>1</v>
      </c>
      <c r="E16" s="2" t="s">
        <v>146</v>
      </c>
      <c r="F16" s="2" t="s">
        <v>147</v>
      </c>
      <c r="G16" s="1" t="s">
        <v>4</v>
      </c>
      <c r="H16" s="1" t="s">
        <v>5</v>
      </c>
      <c r="I16" s="38">
        <v>4.6140345023003153</v>
      </c>
      <c r="J16" s="157">
        <v>0.08</v>
      </c>
      <c r="K16" s="2" t="s">
        <v>181</v>
      </c>
      <c r="L16" s="1"/>
    </row>
    <row r="17" spans="1:12" ht="42" x14ac:dyDescent="0.2">
      <c r="A17" s="553"/>
      <c r="B17" s="2" t="s">
        <v>148</v>
      </c>
      <c r="C17" s="1">
        <v>1</v>
      </c>
      <c r="D17" s="1" t="s">
        <v>1</v>
      </c>
      <c r="E17" s="2" t="s">
        <v>149</v>
      </c>
      <c r="F17" s="2" t="s">
        <v>150</v>
      </c>
      <c r="G17" s="1" t="s">
        <v>29</v>
      </c>
      <c r="H17" s="1" t="s">
        <v>5</v>
      </c>
      <c r="I17" s="38">
        <v>4.273411421612102</v>
      </c>
      <c r="J17" s="157">
        <v>0.06</v>
      </c>
      <c r="K17" s="2" t="s">
        <v>182</v>
      </c>
      <c r="L17" s="1"/>
    </row>
    <row r="18" spans="1:12" ht="42" x14ac:dyDescent="0.2">
      <c r="A18" s="553"/>
      <c r="B18" s="2" t="s">
        <v>151</v>
      </c>
      <c r="C18" s="1">
        <v>1</v>
      </c>
      <c r="D18" s="1" t="s">
        <v>1</v>
      </c>
      <c r="E18" s="2" t="s">
        <v>152</v>
      </c>
      <c r="F18" s="2" t="s">
        <v>153</v>
      </c>
      <c r="G18" s="1" t="s">
        <v>4</v>
      </c>
      <c r="H18" s="1" t="s">
        <v>5</v>
      </c>
      <c r="I18" s="38">
        <v>3.5415257721180882</v>
      </c>
      <c r="J18" s="157">
        <v>0.27</v>
      </c>
      <c r="K18" s="2" t="s">
        <v>182</v>
      </c>
      <c r="L18" s="1"/>
    </row>
    <row r="19" spans="1:12" s="53" customFormat="1" ht="57" thickBot="1" x14ac:dyDescent="0.25">
      <c r="A19" s="552"/>
      <c r="B19" s="20" t="s">
        <v>154</v>
      </c>
      <c r="C19" s="51">
        <v>1</v>
      </c>
      <c r="D19" s="51" t="s">
        <v>187</v>
      </c>
      <c r="E19" s="20" t="s">
        <v>155</v>
      </c>
      <c r="F19" s="20" t="s">
        <v>156</v>
      </c>
      <c r="G19" s="51" t="s">
        <v>24</v>
      </c>
      <c r="H19" s="51" t="s">
        <v>5</v>
      </c>
      <c r="I19" s="52">
        <f>26.9621632999221/300</f>
        <v>8.9873877666407004E-2</v>
      </c>
      <c r="J19" s="51"/>
      <c r="K19" s="20" t="s">
        <v>186</v>
      </c>
      <c r="L19" s="20">
        <f>1/300</f>
        <v>3.3333333333333335E-3</v>
      </c>
    </row>
    <row r="20" spans="1:12" s="46" customFormat="1" ht="29" thickBot="1" x14ac:dyDescent="0.25">
      <c r="A20" s="21" t="s">
        <v>173</v>
      </c>
      <c r="B20" s="14" t="s">
        <v>157</v>
      </c>
      <c r="C20" s="9">
        <v>1</v>
      </c>
      <c r="D20" s="9" t="s">
        <v>1</v>
      </c>
      <c r="E20" s="14" t="s">
        <v>158</v>
      </c>
      <c r="F20" s="14" t="s">
        <v>159</v>
      </c>
      <c r="G20" s="9" t="s">
        <v>160</v>
      </c>
      <c r="H20" s="9" t="s">
        <v>5</v>
      </c>
      <c r="I20" s="15">
        <v>0.14945709426287571</v>
      </c>
      <c r="J20" s="9"/>
      <c r="K20" s="14"/>
      <c r="L20" s="9"/>
    </row>
    <row r="21" spans="1:12" ht="29" thickBot="1" x14ac:dyDescent="0.25">
      <c r="A21" s="49" t="s">
        <v>178</v>
      </c>
      <c r="B21" s="2" t="s">
        <v>161</v>
      </c>
      <c r="C21" s="1">
        <v>1</v>
      </c>
      <c r="D21" s="1" t="s">
        <v>1</v>
      </c>
      <c r="E21" s="2" t="s">
        <v>162</v>
      </c>
      <c r="F21" s="2" t="s">
        <v>163</v>
      </c>
      <c r="G21" s="1" t="s">
        <v>29</v>
      </c>
      <c r="H21" s="1" t="s">
        <v>5</v>
      </c>
      <c r="I21" s="38">
        <v>0.72968191911153002</v>
      </c>
      <c r="J21" s="1"/>
      <c r="K21" s="2"/>
      <c r="L21" s="1"/>
    </row>
    <row r="22" spans="1:12" s="46" customFormat="1" ht="57" thickBot="1" x14ac:dyDescent="0.25">
      <c r="A22" s="21" t="s">
        <v>87</v>
      </c>
      <c r="B22" s="14" t="s">
        <v>122</v>
      </c>
      <c r="C22" s="9">
        <v>1</v>
      </c>
      <c r="D22" s="9" t="s">
        <v>1</v>
      </c>
      <c r="E22" s="14" t="s">
        <v>41</v>
      </c>
      <c r="F22" s="14" t="s">
        <v>123</v>
      </c>
      <c r="G22" s="9" t="s">
        <v>77</v>
      </c>
      <c r="H22" s="9" t="s">
        <v>5</v>
      </c>
      <c r="I22" s="15">
        <v>6.7357283667796786</v>
      </c>
      <c r="J22" s="9"/>
      <c r="K22" s="14"/>
      <c r="L22" s="9"/>
    </row>
    <row r="23" spans="1:12" ht="57" thickBot="1" x14ac:dyDescent="0.25">
      <c r="A23" s="49" t="s">
        <v>179</v>
      </c>
      <c r="B23" s="2" t="s">
        <v>164</v>
      </c>
      <c r="C23" s="1">
        <v>1</v>
      </c>
      <c r="D23" s="1" t="s">
        <v>1</v>
      </c>
      <c r="E23" s="2" t="s">
        <v>165</v>
      </c>
      <c r="F23" s="2" t="s">
        <v>166</v>
      </c>
      <c r="G23" s="1" t="s">
        <v>29</v>
      </c>
      <c r="H23" s="1" t="s">
        <v>5</v>
      </c>
      <c r="I23" s="38">
        <v>6.6237906174076633</v>
      </c>
      <c r="J23" s="1"/>
      <c r="K23" s="2"/>
      <c r="L23" s="1"/>
    </row>
    <row r="24" spans="1:12" s="46" customFormat="1" ht="43" thickBot="1" x14ac:dyDescent="0.25">
      <c r="A24" s="21" t="s">
        <v>170</v>
      </c>
      <c r="B24" s="14" t="s">
        <v>168</v>
      </c>
      <c r="C24" s="9">
        <v>1</v>
      </c>
      <c r="D24" s="9" t="s">
        <v>1</v>
      </c>
      <c r="E24" s="14" t="s">
        <v>96</v>
      </c>
      <c r="F24" s="14" t="s">
        <v>169</v>
      </c>
      <c r="G24" s="9" t="s">
        <v>4</v>
      </c>
      <c r="H24" s="9" t="s">
        <v>5</v>
      </c>
      <c r="I24" s="15">
        <v>2.1587681075216958</v>
      </c>
      <c r="J24" s="9"/>
      <c r="K24" s="14"/>
      <c r="L24" s="9"/>
    </row>
    <row r="25" spans="1:12" ht="43" thickBot="1" x14ac:dyDescent="0.25">
      <c r="A25" s="49" t="s">
        <v>105</v>
      </c>
      <c r="B25" s="2" t="s">
        <v>171</v>
      </c>
      <c r="C25" s="1">
        <v>1</v>
      </c>
      <c r="D25" s="1" t="s">
        <v>1</v>
      </c>
      <c r="E25" s="2" t="s">
        <v>101</v>
      </c>
      <c r="F25" s="2" t="s">
        <v>172</v>
      </c>
      <c r="G25" s="1" t="s">
        <v>4</v>
      </c>
      <c r="H25" s="1" t="s">
        <v>5</v>
      </c>
      <c r="I25" s="38">
        <v>1.050298940725966</v>
      </c>
      <c r="J25" s="1"/>
      <c r="K25" s="2"/>
      <c r="L25" s="1"/>
    </row>
    <row r="26" spans="1:12" s="46" customFormat="1" ht="29" thickBot="1" x14ac:dyDescent="0.25">
      <c r="A26" s="21" t="s">
        <v>110</v>
      </c>
      <c r="B26" s="14" t="s">
        <v>174</v>
      </c>
      <c r="C26" s="9">
        <v>1</v>
      </c>
      <c r="D26" s="9" t="s">
        <v>1</v>
      </c>
      <c r="E26" s="14" t="s">
        <v>175</v>
      </c>
      <c r="F26" s="14" t="s">
        <v>176</v>
      </c>
      <c r="G26" s="9" t="s">
        <v>29</v>
      </c>
      <c r="H26" s="9" t="s">
        <v>5</v>
      </c>
      <c r="I26" s="15">
        <v>4.1984598788799366E-3</v>
      </c>
      <c r="J26" s="9"/>
      <c r="K26" s="14"/>
      <c r="L26" s="9"/>
    </row>
    <row r="27" spans="1:12" s="46" customFormat="1" ht="57" thickBot="1" x14ac:dyDescent="0.25">
      <c r="A27" s="21" t="s">
        <v>180</v>
      </c>
      <c r="B27" s="14" t="s">
        <v>124</v>
      </c>
      <c r="C27" s="9">
        <v>1</v>
      </c>
      <c r="D27" s="9" t="s">
        <v>1</v>
      </c>
      <c r="E27" s="14" t="s">
        <v>44</v>
      </c>
      <c r="F27" s="14" t="s">
        <v>125</v>
      </c>
      <c r="G27" s="9" t="s">
        <v>4</v>
      </c>
      <c r="H27" s="9" t="s">
        <v>5</v>
      </c>
      <c r="I27" s="15">
        <v>1.8975039811543559</v>
      </c>
      <c r="J27" s="9"/>
      <c r="K27" s="14"/>
      <c r="L27" s="9"/>
    </row>
    <row r="29" spans="1:12" ht="16" x14ac:dyDescent="0.2">
      <c r="A29" s="371" t="s">
        <v>457</v>
      </c>
    </row>
    <row r="30" spans="1:12" x14ac:dyDescent="0.2">
      <c r="A30" s="369" t="s">
        <v>460</v>
      </c>
      <c r="C30" s="3"/>
    </row>
    <row r="31" spans="1:12" x14ac:dyDescent="0.2">
      <c r="C31" s="3"/>
    </row>
    <row r="32" spans="1:12" ht="28" customHeight="1" x14ac:dyDescent="0.2">
      <c r="C32" s="3"/>
    </row>
    <row r="33" spans="3:3" x14ac:dyDescent="0.2">
      <c r="C33" s="3"/>
    </row>
    <row r="34" spans="3:3" x14ac:dyDescent="0.2">
      <c r="C34" s="3"/>
    </row>
    <row r="35" spans="3:3" x14ac:dyDescent="0.2">
      <c r="C35" s="3"/>
    </row>
    <row r="36" spans="3:3" x14ac:dyDescent="0.2">
      <c r="C36" s="3"/>
    </row>
    <row r="37" spans="3:3" x14ac:dyDescent="0.2">
      <c r="C37" s="3"/>
    </row>
    <row r="38" spans="3:3" x14ac:dyDescent="0.2">
      <c r="C38" s="3"/>
    </row>
    <row r="39" spans="3:3" ht="14.75" customHeight="1" x14ac:dyDescent="0.2">
      <c r="C39" s="3"/>
    </row>
    <row r="40" spans="3:3" ht="12.75" customHeight="1" x14ac:dyDescent="0.2">
      <c r="C40" s="3"/>
    </row>
    <row r="41" spans="3:3" ht="14.25" customHeight="1" x14ac:dyDescent="0.2">
      <c r="C41" s="3"/>
    </row>
    <row r="42" spans="3:3" ht="16.75" customHeight="1" x14ac:dyDescent="0.2">
      <c r="C42" s="3"/>
    </row>
    <row r="43" spans="3:3" ht="13.25" customHeight="1" x14ac:dyDescent="0.2">
      <c r="C43" s="3"/>
    </row>
    <row r="44" spans="3:3" x14ac:dyDescent="0.2">
      <c r="C44" s="3"/>
    </row>
    <row r="45" spans="3:3" x14ac:dyDescent="0.2">
      <c r="C45" s="3"/>
    </row>
    <row r="46" spans="3:3" x14ac:dyDescent="0.2">
      <c r="C46" s="3"/>
    </row>
    <row r="47" spans="3:3" x14ac:dyDescent="0.2">
      <c r="C47" s="3"/>
    </row>
    <row r="48" spans="3:3" x14ac:dyDescent="0.2">
      <c r="C48" s="3"/>
    </row>
    <row r="49" spans="3:3" x14ac:dyDescent="0.2">
      <c r="C49" s="3"/>
    </row>
    <row r="50" spans="3:3" x14ac:dyDescent="0.2">
      <c r="C50" s="3"/>
    </row>
    <row r="51" spans="3:3" x14ac:dyDescent="0.2">
      <c r="C51" s="3"/>
    </row>
    <row r="52" spans="3:3" x14ac:dyDescent="0.2">
      <c r="C52" s="3"/>
    </row>
    <row r="53" spans="3:3" x14ac:dyDescent="0.2">
      <c r="C53" s="3"/>
    </row>
    <row r="54" spans="3:3" x14ac:dyDescent="0.2">
      <c r="C54" s="3"/>
    </row>
    <row r="55" spans="3:3" x14ac:dyDescent="0.2">
      <c r="C55" s="3"/>
    </row>
  </sheetData>
  <mergeCells count="4">
    <mergeCell ref="A6:A7"/>
    <mergeCell ref="A14:A19"/>
    <mergeCell ref="A10:A13"/>
    <mergeCell ref="K1:L1"/>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639B-D6A5-4911-A7CE-57686AB21F28}">
  <sheetPr>
    <tabColor theme="7" tint="0.39997558519241921"/>
  </sheetPr>
  <dimension ref="A1:L39"/>
  <sheetViews>
    <sheetView zoomScaleNormal="100" workbookViewId="0"/>
  </sheetViews>
  <sheetFormatPr baseColWidth="10" defaultColWidth="8.83203125" defaultRowHeight="13" x14ac:dyDescent="0.2"/>
  <cols>
    <col min="1" max="1" width="15.33203125" style="30" customWidth="1"/>
    <col min="2" max="2" width="35.6640625" style="2" customWidth="1"/>
    <col min="3" max="4" width="8.83203125" style="1"/>
    <col min="5" max="5" width="23.1640625" style="2" customWidth="1"/>
    <col min="6" max="7" width="8.83203125" style="1"/>
    <col min="8" max="8" width="18.1640625" style="1" customWidth="1"/>
    <col min="9" max="9" width="14.5" style="38" customWidth="1"/>
    <col min="10" max="10" width="16.83203125" style="8" customWidth="1"/>
    <col min="11" max="11" width="45.6640625" style="367" customWidth="1"/>
    <col min="12" max="12" width="30.5" style="1" customWidth="1"/>
    <col min="13" max="16384" width="8.83203125" style="1"/>
  </cols>
  <sheetData>
    <row r="1" spans="1:12" s="34" customFormat="1" ht="58.5" customHeight="1" thickBot="1" x14ac:dyDescent="0.25">
      <c r="A1" s="33"/>
      <c r="B1" s="31" t="s">
        <v>6</v>
      </c>
      <c r="C1" s="32" t="s">
        <v>7</v>
      </c>
      <c r="D1" s="32" t="s">
        <v>8</v>
      </c>
      <c r="E1" s="32" t="s">
        <v>9</v>
      </c>
      <c r="F1" s="32" t="s">
        <v>10</v>
      </c>
      <c r="G1" s="32" t="s">
        <v>11</v>
      </c>
      <c r="H1" s="35" t="s">
        <v>12</v>
      </c>
      <c r="I1" s="40" t="s">
        <v>13</v>
      </c>
      <c r="J1" s="36" t="s">
        <v>39</v>
      </c>
      <c r="K1" s="361" t="s">
        <v>17</v>
      </c>
      <c r="L1" s="86" t="s">
        <v>249</v>
      </c>
    </row>
    <row r="2" spans="1:12" s="4" customFormat="1" ht="56" x14ac:dyDescent="0.2">
      <c r="A2" s="563" t="s">
        <v>86</v>
      </c>
      <c r="B2" s="12" t="s">
        <v>0</v>
      </c>
      <c r="C2" s="4">
        <v>1</v>
      </c>
      <c r="D2" s="4" t="s">
        <v>1</v>
      </c>
      <c r="E2" s="12" t="s">
        <v>2</v>
      </c>
      <c r="F2" s="4" t="s">
        <v>3</v>
      </c>
      <c r="G2" s="4" t="s">
        <v>4</v>
      </c>
      <c r="H2" s="4" t="s">
        <v>5</v>
      </c>
      <c r="I2" s="16">
        <v>0.77382136029453297</v>
      </c>
      <c r="J2" s="6">
        <v>0.61</v>
      </c>
      <c r="K2" s="362" t="s">
        <v>458</v>
      </c>
      <c r="L2" s="99">
        <v>1</v>
      </c>
    </row>
    <row r="3" spans="1:12" s="5" customFormat="1" ht="52.75" customHeight="1" thickBot="1" x14ac:dyDescent="0.25">
      <c r="A3" s="564"/>
      <c r="B3" s="13" t="s">
        <v>14</v>
      </c>
      <c r="C3" s="5">
        <v>1</v>
      </c>
      <c r="D3" s="5" t="s">
        <v>1</v>
      </c>
      <c r="E3" s="13" t="s">
        <v>15</v>
      </c>
      <c r="F3" s="5" t="s">
        <v>16</v>
      </c>
      <c r="G3" s="5" t="s">
        <v>4</v>
      </c>
      <c r="H3" s="5" t="s">
        <v>5</v>
      </c>
      <c r="I3" s="17">
        <v>0.86749392907738354</v>
      </c>
      <c r="J3" s="7">
        <v>0.39</v>
      </c>
      <c r="K3" s="363"/>
      <c r="L3" s="100">
        <v>1</v>
      </c>
    </row>
    <row r="4" spans="1:12" ht="28" x14ac:dyDescent="0.2">
      <c r="A4" s="563" t="s">
        <v>106</v>
      </c>
      <c r="B4" s="2" t="s">
        <v>18</v>
      </c>
      <c r="C4" s="1">
        <v>1</v>
      </c>
      <c r="D4" s="1" t="s">
        <v>1</v>
      </c>
      <c r="E4" s="2" t="s">
        <v>19</v>
      </c>
      <c r="F4" s="1" t="s">
        <v>20</v>
      </c>
      <c r="G4" s="1" t="s">
        <v>4</v>
      </c>
      <c r="H4" s="1" t="s">
        <v>5</v>
      </c>
      <c r="I4" s="38">
        <v>0.22468701600360719</v>
      </c>
      <c r="K4" s="362" t="s">
        <v>456</v>
      </c>
      <c r="L4" s="101">
        <v>1</v>
      </c>
    </row>
    <row r="5" spans="1:12" ht="62" thickBot="1" x14ac:dyDescent="0.25">
      <c r="A5" s="564"/>
      <c r="B5" s="2" t="s">
        <v>21</v>
      </c>
      <c r="C5" s="1">
        <v>1</v>
      </c>
      <c r="D5" s="1" t="s">
        <v>1</v>
      </c>
      <c r="E5" s="2" t="s">
        <v>22</v>
      </c>
      <c r="F5" s="1" t="s">
        <v>23</v>
      </c>
      <c r="G5" s="1" t="s">
        <v>24</v>
      </c>
      <c r="H5" s="1" t="s">
        <v>5</v>
      </c>
      <c r="I5" s="38">
        <v>8.2310004145026913E-3</v>
      </c>
      <c r="K5" s="364" t="s">
        <v>459</v>
      </c>
      <c r="L5" s="101">
        <v>1</v>
      </c>
    </row>
    <row r="6" spans="1:12" s="9" customFormat="1" ht="57" thickBot="1" x14ac:dyDescent="0.25">
      <c r="A6" s="26" t="s">
        <v>88</v>
      </c>
      <c r="B6" s="14" t="s">
        <v>25</v>
      </c>
      <c r="C6" s="9">
        <v>4.3177899999999997E-4</v>
      </c>
      <c r="D6" s="9" t="s">
        <v>26</v>
      </c>
      <c r="E6" s="14" t="s">
        <v>27</v>
      </c>
      <c r="F6" s="9" t="s">
        <v>28</v>
      </c>
      <c r="G6" s="9" t="s">
        <v>29</v>
      </c>
      <c r="H6" s="9" t="s">
        <v>5</v>
      </c>
      <c r="I6" s="15">
        <v>0.12620658092958209</v>
      </c>
      <c r="J6" s="25"/>
      <c r="K6" s="365" t="s">
        <v>30</v>
      </c>
      <c r="L6" s="102">
        <v>0.37</v>
      </c>
    </row>
    <row r="7" spans="1:12" s="4" customFormat="1" ht="42" x14ac:dyDescent="0.2">
      <c r="A7" s="558" t="s">
        <v>89</v>
      </c>
      <c r="B7" s="12" t="s">
        <v>31</v>
      </c>
      <c r="C7" s="4">
        <v>1</v>
      </c>
      <c r="D7" s="4" t="s">
        <v>1</v>
      </c>
      <c r="E7" s="12" t="s">
        <v>32</v>
      </c>
      <c r="F7" s="4" t="s">
        <v>33</v>
      </c>
      <c r="G7" s="4" t="s">
        <v>4</v>
      </c>
      <c r="H7" s="4" t="s">
        <v>5</v>
      </c>
      <c r="I7" s="16">
        <v>0.1216169567998909</v>
      </c>
      <c r="J7" s="22"/>
      <c r="K7" s="362" t="s">
        <v>37</v>
      </c>
      <c r="L7" s="99">
        <v>1</v>
      </c>
    </row>
    <row r="8" spans="1:12" s="5" customFormat="1" ht="52.75" customHeight="1" thickBot="1" x14ac:dyDescent="0.25">
      <c r="A8" s="560"/>
      <c r="B8" s="13" t="s">
        <v>34</v>
      </c>
      <c r="C8" s="5">
        <v>1</v>
      </c>
      <c r="D8" s="5" t="s">
        <v>1</v>
      </c>
      <c r="E8" s="13" t="s">
        <v>35</v>
      </c>
      <c r="F8" s="5" t="s">
        <v>36</v>
      </c>
      <c r="G8" s="5" t="s">
        <v>24</v>
      </c>
      <c r="H8" s="5" t="s">
        <v>5</v>
      </c>
      <c r="I8" s="17">
        <v>8.8491789503065427E-3</v>
      </c>
      <c r="J8" s="23"/>
      <c r="K8" s="364" t="s">
        <v>38</v>
      </c>
      <c r="L8" s="100">
        <v>1</v>
      </c>
    </row>
    <row r="9" spans="1:12" s="4" customFormat="1" ht="56" x14ac:dyDescent="0.2">
      <c r="A9" s="561" t="s">
        <v>90</v>
      </c>
      <c r="B9" s="12" t="s">
        <v>40</v>
      </c>
      <c r="C9" s="4">
        <v>1</v>
      </c>
      <c r="D9" s="4" t="s">
        <v>1</v>
      </c>
      <c r="E9" s="12" t="s">
        <v>41</v>
      </c>
      <c r="F9" s="4" t="s">
        <v>42</v>
      </c>
      <c r="G9" s="4" t="s">
        <v>29</v>
      </c>
      <c r="H9" s="4" t="s">
        <v>5</v>
      </c>
      <c r="I9" s="16">
        <v>0.30538772579394741</v>
      </c>
      <c r="J9" s="6">
        <v>0.5</v>
      </c>
      <c r="K9" s="366"/>
      <c r="L9" s="99">
        <v>1</v>
      </c>
    </row>
    <row r="10" spans="1:12" s="5" customFormat="1" ht="52.75" customHeight="1" thickBot="1" x14ac:dyDescent="0.25">
      <c r="A10" s="565"/>
      <c r="B10" s="13" t="s">
        <v>43</v>
      </c>
      <c r="C10" s="5">
        <v>1</v>
      </c>
      <c r="D10" s="5" t="s">
        <v>1</v>
      </c>
      <c r="E10" s="13" t="s">
        <v>44</v>
      </c>
      <c r="F10" s="5" t="s">
        <v>45</v>
      </c>
      <c r="G10" s="5" t="s">
        <v>4</v>
      </c>
      <c r="H10" s="5" t="s">
        <v>5</v>
      </c>
      <c r="I10" s="17">
        <v>1.1430133936292699</v>
      </c>
      <c r="J10" s="7">
        <v>0.5</v>
      </c>
      <c r="K10" s="364" t="s">
        <v>46</v>
      </c>
      <c r="L10" s="100">
        <v>1</v>
      </c>
    </row>
    <row r="11" spans="1:12" s="4" customFormat="1" ht="42" x14ac:dyDescent="0.2">
      <c r="A11" s="558" t="s">
        <v>91</v>
      </c>
      <c r="B11" s="12" t="s">
        <v>47</v>
      </c>
      <c r="C11" s="4">
        <v>1</v>
      </c>
      <c r="D11" s="4" t="s">
        <v>1</v>
      </c>
      <c r="E11" s="12" t="s">
        <v>48</v>
      </c>
      <c r="F11" s="4" t="s">
        <v>49</v>
      </c>
      <c r="G11" s="4" t="s">
        <v>50</v>
      </c>
      <c r="H11" s="4" t="s">
        <v>5</v>
      </c>
      <c r="I11" s="16">
        <v>1.145739724718256E-2</v>
      </c>
      <c r="J11" s="22"/>
      <c r="K11" s="366"/>
      <c r="L11" s="99">
        <v>1</v>
      </c>
    </row>
    <row r="12" spans="1:12" s="5" customFormat="1" ht="52.75" customHeight="1" thickBot="1" x14ac:dyDescent="0.25">
      <c r="A12" s="560"/>
      <c r="B12" s="13" t="s">
        <v>51</v>
      </c>
      <c r="C12" s="5">
        <v>1</v>
      </c>
      <c r="D12" s="5" t="s">
        <v>1</v>
      </c>
      <c r="E12" s="13" t="s">
        <v>52</v>
      </c>
      <c r="F12" s="5" t="s">
        <v>53</v>
      </c>
      <c r="G12" s="5" t="s">
        <v>29</v>
      </c>
      <c r="H12" s="5" t="s">
        <v>5</v>
      </c>
      <c r="I12" s="17">
        <v>0.18813414705654299</v>
      </c>
      <c r="J12" s="23"/>
      <c r="K12" s="364" t="s">
        <v>54</v>
      </c>
      <c r="L12" s="100">
        <v>1</v>
      </c>
    </row>
    <row r="13" spans="1:12" s="4" customFormat="1" ht="42" x14ac:dyDescent="0.2">
      <c r="A13" s="558" t="s">
        <v>92</v>
      </c>
      <c r="B13" s="12" t="s">
        <v>55</v>
      </c>
      <c r="C13" s="4">
        <v>1</v>
      </c>
      <c r="D13" s="4" t="s">
        <v>1</v>
      </c>
      <c r="E13" s="12" t="s">
        <v>56</v>
      </c>
      <c r="F13" s="4" t="s">
        <v>57</v>
      </c>
      <c r="G13" s="4" t="s">
        <v>4</v>
      </c>
      <c r="H13" s="4" t="s">
        <v>5</v>
      </c>
      <c r="I13" s="16">
        <v>0.81945735135686315</v>
      </c>
      <c r="J13" s="6">
        <v>7.0000000000000007E-2</v>
      </c>
      <c r="K13" s="362" t="s">
        <v>462</v>
      </c>
      <c r="L13" s="103">
        <v>1</v>
      </c>
    </row>
    <row r="14" spans="1:12" ht="39.5" customHeight="1" x14ac:dyDescent="0.2">
      <c r="A14" s="559"/>
      <c r="B14" s="2" t="s">
        <v>58</v>
      </c>
      <c r="C14" s="1">
        <v>1</v>
      </c>
      <c r="D14" s="1" t="s">
        <v>1</v>
      </c>
      <c r="E14" s="2" t="s">
        <v>59</v>
      </c>
      <c r="F14" s="1" t="s">
        <v>60</v>
      </c>
      <c r="G14" s="1" t="s">
        <v>24</v>
      </c>
      <c r="H14" s="1" t="s">
        <v>5</v>
      </c>
      <c r="I14" s="38">
        <v>4.7833109324546437E-3</v>
      </c>
      <c r="J14" s="24">
        <v>7.0000000000000007E-2</v>
      </c>
      <c r="L14" s="104">
        <v>1</v>
      </c>
    </row>
    <row r="15" spans="1:12" s="5" customFormat="1" ht="14.75" customHeight="1" thickBot="1" x14ac:dyDescent="0.25">
      <c r="A15" s="560"/>
      <c r="B15" s="13" t="s">
        <v>61</v>
      </c>
      <c r="C15" s="5">
        <v>1</v>
      </c>
      <c r="D15" s="5" t="s">
        <v>1</v>
      </c>
      <c r="E15" s="13" t="s">
        <v>62</v>
      </c>
      <c r="F15" s="5" t="s">
        <v>63</v>
      </c>
      <c r="G15" s="5" t="s">
        <v>50</v>
      </c>
      <c r="H15" s="5" t="s">
        <v>5</v>
      </c>
      <c r="I15" s="17">
        <v>0.60506758853016762</v>
      </c>
      <c r="J15" s="7">
        <v>0.41</v>
      </c>
      <c r="K15" s="363" t="s">
        <v>64</v>
      </c>
      <c r="L15" s="100">
        <v>0.77</v>
      </c>
    </row>
    <row r="16" spans="1:12" s="4" customFormat="1" ht="56" x14ac:dyDescent="0.2">
      <c r="A16" s="558" t="s">
        <v>93</v>
      </c>
      <c r="B16" s="12" t="s">
        <v>65</v>
      </c>
      <c r="C16" s="4">
        <v>3.333E-3</v>
      </c>
      <c r="D16" s="4" t="s">
        <v>26</v>
      </c>
      <c r="E16" s="12" t="s">
        <v>66</v>
      </c>
      <c r="F16" s="4" t="s">
        <v>67</v>
      </c>
      <c r="G16" s="4" t="s">
        <v>24</v>
      </c>
      <c r="H16" s="4" t="s">
        <v>5</v>
      </c>
      <c r="I16" s="16">
        <v>3.9228199872015687E-2</v>
      </c>
      <c r="J16" s="6">
        <v>0.25</v>
      </c>
      <c r="K16" s="362" t="s">
        <v>71</v>
      </c>
      <c r="L16" s="99">
        <v>1</v>
      </c>
    </row>
    <row r="17" spans="1:12" ht="35.75" customHeight="1" x14ac:dyDescent="0.2">
      <c r="A17" s="559"/>
      <c r="B17" s="2" t="s">
        <v>68</v>
      </c>
      <c r="C17" s="1">
        <v>4.13E-3</v>
      </c>
      <c r="D17" s="1" t="s">
        <v>26</v>
      </c>
      <c r="E17" s="2" t="s">
        <v>69</v>
      </c>
      <c r="F17" s="1" t="s">
        <v>70</v>
      </c>
      <c r="G17" s="1" t="s">
        <v>29</v>
      </c>
      <c r="H17" s="1" t="s">
        <v>5</v>
      </c>
      <c r="I17" s="38">
        <v>1.4261090697748</v>
      </c>
      <c r="J17" s="24">
        <v>0.08</v>
      </c>
      <c r="K17" s="365" t="s">
        <v>72</v>
      </c>
      <c r="L17" s="104">
        <v>1</v>
      </c>
    </row>
    <row r="18" spans="1:12" s="5" customFormat="1" ht="24.5" customHeight="1" thickBot="1" x14ac:dyDescent="0.25">
      <c r="A18" s="560"/>
      <c r="B18" s="13" t="s">
        <v>47</v>
      </c>
      <c r="C18" s="5">
        <v>1</v>
      </c>
      <c r="D18" s="5" t="s">
        <v>1</v>
      </c>
      <c r="E18" s="13" t="s">
        <v>48</v>
      </c>
      <c r="F18" s="5" t="s">
        <v>49</v>
      </c>
      <c r="G18" s="5" t="s">
        <v>50</v>
      </c>
      <c r="H18" s="5" t="s">
        <v>5</v>
      </c>
      <c r="I18" s="17">
        <v>1.145739724718256E-2</v>
      </c>
      <c r="J18" s="23"/>
      <c r="K18" s="364" t="s">
        <v>73</v>
      </c>
      <c r="L18" s="100">
        <v>1</v>
      </c>
    </row>
    <row r="19" spans="1:12" s="4" customFormat="1" ht="42" x14ac:dyDescent="0.2">
      <c r="A19" s="558" t="s">
        <v>94</v>
      </c>
      <c r="B19" s="12" t="s">
        <v>74</v>
      </c>
      <c r="C19" s="4">
        <v>1</v>
      </c>
      <c r="D19" s="4" t="s">
        <v>1</v>
      </c>
      <c r="E19" s="12" t="s">
        <v>75</v>
      </c>
      <c r="F19" s="4" t="s">
        <v>76</v>
      </c>
      <c r="G19" s="4" t="s">
        <v>77</v>
      </c>
      <c r="H19" s="4" t="s">
        <v>5</v>
      </c>
      <c r="I19" s="16">
        <v>0.6727863836130259</v>
      </c>
      <c r="J19" s="22"/>
      <c r="K19" s="366"/>
      <c r="L19" s="99">
        <v>0.5</v>
      </c>
    </row>
    <row r="20" spans="1:12" ht="40" customHeight="1" x14ac:dyDescent="0.2">
      <c r="A20" s="559"/>
      <c r="B20" s="2" t="s">
        <v>78</v>
      </c>
      <c r="C20" s="1">
        <v>1</v>
      </c>
      <c r="D20" s="1" t="s">
        <v>1</v>
      </c>
      <c r="E20" s="2" t="s">
        <v>79</v>
      </c>
      <c r="F20" s="1" t="s">
        <v>80</v>
      </c>
      <c r="G20" s="1" t="s">
        <v>77</v>
      </c>
      <c r="H20" s="1" t="s">
        <v>5</v>
      </c>
      <c r="I20" s="38">
        <v>3.9036842500418063E-2</v>
      </c>
      <c r="L20" s="104">
        <v>0.8</v>
      </c>
    </row>
    <row r="21" spans="1:12" ht="41" customHeight="1" thickBot="1" x14ac:dyDescent="0.25">
      <c r="A21" s="559"/>
      <c r="B21" s="2" t="s">
        <v>81</v>
      </c>
      <c r="C21" s="1">
        <v>1</v>
      </c>
      <c r="D21" s="1" t="s">
        <v>1</v>
      </c>
      <c r="E21" s="2" t="s">
        <v>82</v>
      </c>
      <c r="F21" s="1" t="s">
        <v>82</v>
      </c>
      <c r="G21" s="1" t="s">
        <v>77</v>
      </c>
      <c r="H21" s="1" t="s">
        <v>5</v>
      </c>
      <c r="I21" s="38">
        <v>3.2437947554085169</v>
      </c>
      <c r="K21" s="144"/>
      <c r="L21" s="104">
        <v>0.12</v>
      </c>
    </row>
    <row r="22" spans="1:12" s="5" customFormat="1" ht="40.75" customHeight="1" thickBot="1" x14ac:dyDescent="0.25">
      <c r="A22" s="560"/>
      <c r="B22" s="13" t="s">
        <v>83</v>
      </c>
      <c r="C22" s="5">
        <v>1</v>
      </c>
      <c r="D22" s="5" t="s">
        <v>1</v>
      </c>
      <c r="E22" s="13" t="s">
        <v>84</v>
      </c>
      <c r="F22" s="5" t="s">
        <v>85</v>
      </c>
      <c r="G22" s="5" t="s">
        <v>77</v>
      </c>
      <c r="H22" s="5" t="s">
        <v>5</v>
      </c>
      <c r="I22" s="158">
        <v>0.57929595528208699</v>
      </c>
      <c r="J22" s="23"/>
      <c r="K22" s="144"/>
      <c r="L22" s="100">
        <v>0.8</v>
      </c>
    </row>
    <row r="23" spans="1:12" ht="57" thickBot="1" x14ac:dyDescent="0.25">
      <c r="A23" s="27" t="s">
        <v>87</v>
      </c>
      <c r="B23" s="2" t="s">
        <v>40</v>
      </c>
      <c r="C23" s="1">
        <v>1</v>
      </c>
      <c r="D23" s="1" t="s">
        <v>1</v>
      </c>
      <c r="E23" s="2" t="s">
        <v>41</v>
      </c>
      <c r="F23" s="1" t="s">
        <v>42</v>
      </c>
      <c r="G23" s="1" t="s">
        <v>29</v>
      </c>
      <c r="H23" s="1" t="s">
        <v>5</v>
      </c>
      <c r="I23" s="38">
        <v>0.30538772579394741</v>
      </c>
      <c r="L23" s="101">
        <v>1</v>
      </c>
    </row>
    <row r="24" spans="1:12" s="9" customFormat="1" ht="57" thickBot="1" x14ac:dyDescent="0.25">
      <c r="A24" s="28" t="s">
        <v>99</v>
      </c>
      <c r="B24" s="14" t="s">
        <v>95</v>
      </c>
      <c r="C24" s="9">
        <v>1</v>
      </c>
      <c r="D24" s="9" t="s">
        <v>1</v>
      </c>
      <c r="E24" s="14" t="s">
        <v>96</v>
      </c>
      <c r="F24" s="9" t="s">
        <v>97</v>
      </c>
      <c r="G24" s="9" t="s">
        <v>98</v>
      </c>
      <c r="H24" s="9" t="s">
        <v>5</v>
      </c>
      <c r="I24" s="15">
        <v>0.54934530009507287</v>
      </c>
      <c r="J24" s="25"/>
      <c r="K24" s="368"/>
      <c r="L24" s="102">
        <v>1</v>
      </c>
    </row>
    <row r="25" spans="1:12" ht="56" x14ac:dyDescent="0.2">
      <c r="A25" s="561" t="s">
        <v>105</v>
      </c>
      <c r="B25" s="2" t="s">
        <v>100</v>
      </c>
      <c r="C25" s="1">
        <v>1</v>
      </c>
      <c r="D25" s="1" t="s">
        <v>1</v>
      </c>
      <c r="E25" s="2" t="s">
        <v>101</v>
      </c>
      <c r="F25" s="1" t="s">
        <v>102</v>
      </c>
      <c r="G25" s="1" t="s">
        <v>4</v>
      </c>
      <c r="H25" s="1" t="s">
        <v>5</v>
      </c>
      <c r="I25" s="38">
        <v>0.63209566702231845</v>
      </c>
      <c r="K25" s="362" t="s">
        <v>103</v>
      </c>
      <c r="L25" s="101">
        <v>1</v>
      </c>
    </row>
    <row r="26" spans="1:12" ht="43" thickBot="1" x14ac:dyDescent="0.25">
      <c r="A26" s="562"/>
      <c r="B26" s="2" t="s">
        <v>47</v>
      </c>
      <c r="C26" s="1">
        <v>1</v>
      </c>
      <c r="D26" s="1" t="s">
        <v>1</v>
      </c>
      <c r="E26" s="2" t="s">
        <v>48</v>
      </c>
      <c r="F26" s="1" t="s">
        <v>49</v>
      </c>
      <c r="G26" s="1" t="s">
        <v>50</v>
      </c>
      <c r="H26" s="1" t="s">
        <v>5</v>
      </c>
      <c r="I26" s="38">
        <v>1.145739724718256E-2</v>
      </c>
      <c r="K26" s="365" t="s">
        <v>104</v>
      </c>
      <c r="L26" s="101">
        <v>1</v>
      </c>
    </row>
    <row r="27" spans="1:12" s="9" customFormat="1" ht="43" thickBot="1" x14ac:dyDescent="0.25">
      <c r="A27" s="26" t="s">
        <v>110</v>
      </c>
      <c r="B27" s="14" t="s">
        <v>107</v>
      </c>
      <c r="C27" s="9">
        <v>1</v>
      </c>
      <c r="D27" s="9" t="s">
        <v>1</v>
      </c>
      <c r="E27" s="14" t="s">
        <v>108</v>
      </c>
      <c r="F27" s="9" t="s">
        <v>109</v>
      </c>
      <c r="G27" s="9" t="s">
        <v>50</v>
      </c>
      <c r="H27" s="9" t="s">
        <v>5</v>
      </c>
      <c r="I27" s="15">
        <v>5.9008884419505863E-3</v>
      </c>
      <c r="J27" s="25"/>
      <c r="K27" s="368" t="s">
        <v>111</v>
      </c>
      <c r="L27" s="102">
        <v>1</v>
      </c>
    </row>
    <row r="28" spans="1:12" ht="56" x14ac:dyDescent="0.2">
      <c r="A28" s="29" t="s">
        <v>112</v>
      </c>
      <c r="B28" s="2" t="s">
        <v>43</v>
      </c>
      <c r="C28" s="1">
        <v>1</v>
      </c>
      <c r="D28" s="1" t="s">
        <v>1</v>
      </c>
      <c r="E28" s="2" t="s">
        <v>44</v>
      </c>
      <c r="F28" s="1" t="s">
        <v>45</v>
      </c>
      <c r="G28" s="1" t="s">
        <v>4</v>
      </c>
      <c r="H28" s="1" t="s">
        <v>5</v>
      </c>
      <c r="I28" s="38">
        <v>1.1430133936292699</v>
      </c>
      <c r="L28" s="101">
        <v>1</v>
      </c>
    </row>
    <row r="31" spans="1:12" x14ac:dyDescent="0.2">
      <c r="A31" s="370" t="s">
        <v>457</v>
      </c>
    </row>
    <row r="32" spans="1:12" x14ac:dyDescent="0.2">
      <c r="A32" s="1" t="s">
        <v>225</v>
      </c>
    </row>
    <row r="33" spans="1:1" x14ac:dyDescent="0.2">
      <c r="A33" s="1" t="s">
        <v>230</v>
      </c>
    </row>
    <row r="34" spans="1:1" x14ac:dyDescent="0.2">
      <c r="A34" s="369" t="s">
        <v>460</v>
      </c>
    </row>
    <row r="35" spans="1:1" x14ac:dyDescent="0.2">
      <c r="A35" s="11" t="s">
        <v>231</v>
      </c>
    </row>
    <row r="36" spans="1:1" x14ac:dyDescent="0.2">
      <c r="A36" s="369" t="s">
        <v>461</v>
      </c>
    </row>
    <row r="37" spans="1:1" x14ac:dyDescent="0.2">
      <c r="A37" s="11"/>
    </row>
    <row r="39" spans="1:1" x14ac:dyDescent="0.2">
      <c r="A39" s="1"/>
    </row>
  </sheetData>
  <mergeCells count="9">
    <mergeCell ref="A13:A15"/>
    <mergeCell ref="A16:A18"/>
    <mergeCell ref="A19:A22"/>
    <mergeCell ref="A25:A26"/>
    <mergeCell ref="A2:A3"/>
    <mergeCell ref="A4:A5"/>
    <mergeCell ref="A7:A8"/>
    <mergeCell ref="A9:A10"/>
    <mergeCell ref="A11:A12"/>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C846A-19A6-4ECA-A102-C192191B1470}">
  <sheetPr>
    <tabColor theme="7" tint="0.39997558519241921"/>
  </sheetPr>
  <dimension ref="A1:X12"/>
  <sheetViews>
    <sheetView zoomScale="85" zoomScaleNormal="85" workbookViewId="0">
      <selection activeCell="E3" sqref="E3"/>
    </sheetView>
  </sheetViews>
  <sheetFormatPr baseColWidth="10" defaultColWidth="8.83203125" defaultRowHeight="14" x14ac:dyDescent="0.2"/>
  <cols>
    <col min="1" max="21" width="8.83203125" style="57"/>
    <col min="22" max="22" width="10.1640625" style="57" bestFit="1" customWidth="1"/>
    <col min="23" max="16384" width="8.83203125" style="57"/>
  </cols>
  <sheetData>
    <row r="1" spans="1:24" ht="57" thickBot="1" x14ac:dyDescent="0.25">
      <c r="A1" s="87" t="s">
        <v>245</v>
      </c>
      <c r="B1" s="182"/>
      <c r="C1" s="89" t="s">
        <v>242</v>
      </c>
      <c r="D1" s="90" t="s">
        <v>88</v>
      </c>
      <c r="E1" s="91" t="s">
        <v>177</v>
      </c>
      <c r="F1" s="91" t="s">
        <v>191</v>
      </c>
      <c r="G1" s="91" t="s">
        <v>193</v>
      </c>
      <c r="H1" s="91" t="s">
        <v>237</v>
      </c>
      <c r="I1" s="91" t="s">
        <v>199</v>
      </c>
      <c r="J1" s="91" t="s">
        <v>197</v>
      </c>
      <c r="K1" s="91" t="s">
        <v>196</v>
      </c>
      <c r="L1" s="91" t="s">
        <v>194</v>
      </c>
      <c r="M1" s="91" t="s">
        <v>246</v>
      </c>
      <c r="N1" s="91" t="s">
        <v>205</v>
      </c>
      <c r="O1" s="91" t="s">
        <v>92</v>
      </c>
      <c r="P1" s="91" t="s">
        <v>247</v>
      </c>
      <c r="Q1" s="91" t="s">
        <v>239</v>
      </c>
      <c r="R1" s="91" t="s">
        <v>240</v>
      </c>
      <c r="S1" s="91" t="s">
        <v>214</v>
      </c>
      <c r="T1" s="91" t="s">
        <v>180</v>
      </c>
      <c r="U1" s="91" t="s">
        <v>86</v>
      </c>
      <c r="V1" s="91" t="s">
        <v>87</v>
      </c>
      <c r="W1" s="91" t="s">
        <v>218</v>
      </c>
      <c r="X1" s="92" t="s">
        <v>220</v>
      </c>
    </row>
    <row r="2" spans="1:24" x14ac:dyDescent="0.2">
      <c r="A2" s="94"/>
      <c r="B2" s="183"/>
      <c r="C2" s="79" t="s">
        <v>291</v>
      </c>
      <c r="D2" s="80">
        <f>GHG_Primary_production!I4</f>
        <v>0.11748738381164731</v>
      </c>
      <c r="E2" s="78">
        <f>GHG_Primary_production!I3</f>
        <v>0.24253743092470459</v>
      </c>
      <c r="F2" s="78">
        <f>((GHG_Primary_production!I5+GHG_Primary_production!I8+GHG_Primary_production!I20+GHG_Primary_production!I26)/4)</f>
        <v>0.37600124284582381</v>
      </c>
      <c r="G2" s="78">
        <f>GHG_Primary_production!I24</f>
        <v>2.1587681075216958</v>
      </c>
      <c r="H2" s="78">
        <f>GHG_Primary_production!I14</f>
        <v>1.305296357625241</v>
      </c>
      <c r="I2" s="78">
        <f>GHG_Primary_production!I15</f>
        <v>2.672247951506455</v>
      </c>
      <c r="J2" s="78">
        <f>GHG_Primary_production!I18</f>
        <v>3.5415257721180882</v>
      </c>
      <c r="K2" s="78">
        <f>GHG_Primary_production!I17</f>
        <v>4.273411421612102</v>
      </c>
      <c r="L2" s="78">
        <f>GHG_Primary_production!I16</f>
        <v>4.6140345023003153</v>
      </c>
      <c r="M2" s="78">
        <f>GHG_Primary_production!I19</f>
        <v>8.9873877666407004E-2</v>
      </c>
      <c r="N2" s="78">
        <f>GHG_Primary_production!I21</f>
        <v>0.72968191911153002</v>
      </c>
      <c r="O2" s="78">
        <f>GHG_Primary_production!I9</f>
        <v>0.96429253414894633</v>
      </c>
      <c r="P2" s="78">
        <v>0</v>
      </c>
      <c r="Q2" s="78">
        <f>(GHG_Primary_production!I10*GHG_Primary_production!J10+GHG_Primary_production!I11*GHG_Primary_production!J11)</f>
        <v>0.10421403224133273</v>
      </c>
      <c r="R2" s="78">
        <f>GHG_Primary_production!I12</f>
        <v>8.3101444498223723E-2</v>
      </c>
      <c r="S2" s="78">
        <f>((GHG_Primary_production!I6*0.5+GHG_Primary_production!I7*0.5+GHG_Primary_production!I23+GHG_Primary_production!I25)/3)</f>
        <v>3.9969019107002155</v>
      </c>
      <c r="T2" s="78">
        <f>GHG_Primary_production!I27</f>
        <v>1.8975039811543559</v>
      </c>
      <c r="U2" s="78">
        <f>GHG_Primary_production!I2</f>
        <v>20.97411263191076</v>
      </c>
      <c r="V2" s="78">
        <f>GHG_Primary_production!I22</f>
        <v>6.7357283667796786</v>
      </c>
      <c r="W2" s="78">
        <f>GHG_Primary_production!I24</f>
        <v>2.1587681075216958</v>
      </c>
      <c r="X2" s="81">
        <f>GHG_Primary_production!I12</f>
        <v>8.3101444498223723E-2</v>
      </c>
    </row>
    <row r="3" spans="1:24" s="198" customFormat="1" ht="15" thickBot="1" x14ac:dyDescent="0.25">
      <c r="A3" s="193"/>
      <c r="B3" s="194"/>
      <c r="C3" s="195" t="s">
        <v>292</v>
      </c>
      <c r="D3" s="196">
        <f>GHG_Secondary_production!I6</f>
        <v>0.12620658092958209</v>
      </c>
      <c r="E3" s="185">
        <f>(GHG_Secondary_production!I4+GHG_Secondary_production!I5)</f>
        <v>0.23291801641810989</v>
      </c>
      <c r="F3" s="185">
        <f>(((GHG_Secondary_production!I7+GHG_Secondary_production!I8)+(GHG_Secondary_production!I11+GHG_Secondary_production!I12)+(GHG_Secondary_production!I4+GHG_Secondary_production!I5))/3)</f>
        <v>0.18765856549067764</v>
      </c>
      <c r="G3" s="185">
        <f>GHG_Secondary_production!I24</f>
        <v>0.54934530009507287</v>
      </c>
      <c r="H3" s="185">
        <f>GHG_Secondary_production!I19</f>
        <v>0.6727863836130259</v>
      </c>
      <c r="I3" s="185">
        <f>GHG_Secondary_production!I22</f>
        <v>0.57929595528208699</v>
      </c>
      <c r="J3" s="185">
        <f>GHG_Secondary_production!I21</f>
        <v>3.2437947554085169</v>
      </c>
      <c r="K3" s="185"/>
      <c r="L3" s="185"/>
      <c r="M3" s="185">
        <f>GHG_Secondary_production!I20</f>
        <v>3.9036842500418063E-2</v>
      </c>
      <c r="N3" s="185">
        <f>(GHG_Secondary_production!I4+GHG_Secondary_production!I5)</f>
        <v>0.23291801641810989</v>
      </c>
      <c r="O3" s="185">
        <f>(GHG_Secondary_production!I13+GHG_Secondary_production!I14)</f>
        <v>0.8242406622893178</v>
      </c>
      <c r="P3" s="185">
        <f>GHG_Secondary_production!I15</f>
        <v>0.60506758853016762</v>
      </c>
      <c r="Q3" s="185">
        <f>(GHG_Secondary_production!I16+GHG_Secondary_production!I18)</f>
        <v>5.0685597119198247E-2</v>
      </c>
      <c r="R3" s="185">
        <f>(GHG_Secondary_production!I17+GHG_Secondary_production!I18)</f>
        <v>1.4375664670219825</v>
      </c>
      <c r="S3" s="185">
        <f>((GHG_Secondary_production!I26+GHG_Secondary_production!I25+(GHG_Secondary_production!I23+GHG_Secondary_production!I28)/2)/2)</f>
        <v>0.68387681199055483</v>
      </c>
      <c r="T3" s="185">
        <f>GHG_Secondary_production!I28</f>
        <v>1.1430133936292699</v>
      </c>
      <c r="U3" s="185">
        <f>(GHG_Secondary_production!I2+GHG_Secondary_production!I3)</f>
        <v>1.6413152893719165</v>
      </c>
      <c r="V3" s="185">
        <f>GHG_Secondary_production!I23</f>
        <v>0.30538772579394741</v>
      </c>
      <c r="W3" s="185">
        <f>GHG_Secondary_production!I24</f>
        <v>0.54934530009507287</v>
      </c>
      <c r="X3" s="197">
        <f>Q3*0.5+R3*0.5</f>
        <v>0.74412603207059036</v>
      </c>
    </row>
    <row r="6" spans="1:24" x14ac:dyDescent="0.2">
      <c r="A6" s="136" t="s">
        <v>295</v>
      </c>
      <c r="B6" s="136"/>
      <c r="C6" s="136"/>
    </row>
    <row r="7" spans="1:24" s="130" customFormat="1" ht="11" x14ac:dyDescent="0.15">
      <c r="A7" s="566" t="s">
        <v>292</v>
      </c>
      <c r="B7" s="130" t="s">
        <v>293</v>
      </c>
      <c r="D7" s="191" t="s">
        <v>248</v>
      </c>
      <c r="E7" s="191">
        <v>0.25</v>
      </c>
      <c r="F7" s="191">
        <v>0.37</v>
      </c>
      <c r="G7" s="191">
        <v>1</v>
      </c>
      <c r="H7" s="191" t="s">
        <v>248</v>
      </c>
      <c r="I7" s="191" t="s">
        <v>248</v>
      </c>
      <c r="J7" s="191" t="s">
        <v>248</v>
      </c>
      <c r="K7" s="191"/>
      <c r="L7" s="191"/>
      <c r="M7" s="191" t="s">
        <v>248</v>
      </c>
      <c r="N7" s="191">
        <v>0.25</v>
      </c>
      <c r="O7" s="191">
        <v>0.93300000000000005</v>
      </c>
      <c r="P7" s="191" t="s">
        <v>248</v>
      </c>
      <c r="Q7" s="191">
        <v>1</v>
      </c>
      <c r="R7" s="191">
        <v>1</v>
      </c>
      <c r="S7" s="191"/>
      <c r="T7" s="191">
        <v>0.5</v>
      </c>
      <c r="U7" s="191">
        <v>1</v>
      </c>
      <c r="V7" s="191">
        <v>1</v>
      </c>
      <c r="W7" s="191">
        <v>1</v>
      </c>
      <c r="X7" s="191">
        <v>1</v>
      </c>
    </row>
    <row r="8" spans="1:24" s="130" customFormat="1" ht="12" thickBot="1" x14ac:dyDescent="0.2">
      <c r="A8" s="566"/>
      <c r="B8" s="130" t="s">
        <v>294</v>
      </c>
      <c r="D8" s="192">
        <v>0.37</v>
      </c>
      <c r="E8" s="192"/>
      <c r="F8" s="192"/>
      <c r="G8" s="192"/>
      <c r="H8" s="192">
        <v>0.5</v>
      </c>
      <c r="I8" s="192">
        <v>0.8</v>
      </c>
      <c r="J8" s="192">
        <v>0.12</v>
      </c>
      <c r="K8" s="192"/>
      <c r="L8" s="192"/>
      <c r="M8" s="192">
        <v>0.8</v>
      </c>
      <c r="N8" s="192"/>
      <c r="O8" s="192"/>
      <c r="P8" s="192">
        <v>0.77</v>
      </c>
      <c r="Q8" s="192"/>
      <c r="R8" s="192"/>
      <c r="S8" s="192"/>
      <c r="T8" s="192"/>
      <c r="U8" s="192"/>
      <c r="V8" s="192"/>
      <c r="W8" s="192"/>
      <c r="X8" s="192"/>
    </row>
    <row r="9" spans="1:24" s="130" customFormat="1" ht="24" x14ac:dyDescent="0.15">
      <c r="C9" s="199" t="s">
        <v>291</v>
      </c>
      <c r="D9" s="142">
        <f>D2</f>
        <v>0.11748738381164731</v>
      </c>
      <c r="E9" s="142">
        <f t="shared" ref="E9:X9" si="0">E2</f>
        <v>0.24253743092470459</v>
      </c>
      <c r="F9" s="142">
        <f t="shared" si="0"/>
        <v>0.37600124284582381</v>
      </c>
      <c r="G9" s="142">
        <f t="shared" si="0"/>
        <v>2.1587681075216958</v>
      </c>
      <c r="H9" s="142">
        <f t="shared" si="0"/>
        <v>1.305296357625241</v>
      </c>
      <c r="I9" s="142">
        <f t="shared" si="0"/>
        <v>2.672247951506455</v>
      </c>
      <c r="J9" s="142">
        <f t="shared" si="0"/>
        <v>3.5415257721180882</v>
      </c>
      <c r="K9" s="142">
        <f t="shared" si="0"/>
        <v>4.273411421612102</v>
      </c>
      <c r="L9" s="142">
        <f t="shared" si="0"/>
        <v>4.6140345023003153</v>
      </c>
      <c r="M9" s="142">
        <f t="shared" si="0"/>
        <v>8.9873877666407004E-2</v>
      </c>
      <c r="N9" s="142">
        <f t="shared" si="0"/>
        <v>0.72968191911153002</v>
      </c>
      <c r="O9" s="142">
        <f t="shared" si="0"/>
        <v>0.96429253414894633</v>
      </c>
      <c r="P9" s="142">
        <f t="shared" si="0"/>
        <v>0</v>
      </c>
      <c r="Q9" s="142">
        <f t="shared" si="0"/>
        <v>0.10421403224133273</v>
      </c>
      <c r="R9" s="142">
        <f t="shared" si="0"/>
        <v>8.3101444498223723E-2</v>
      </c>
      <c r="S9" s="142">
        <f t="shared" si="0"/>
        <v>3.9969019107002155</v>
      </c>
      <c r="T9" s="142">
        <f t="shared" si="0"/>
        <v>1.8975039811543559</v>
      </c>
      <c r="U9" s="142">
        <f t="shared" si="0"/>
        <v>20.97411263191076</v>
      </c>
      <c r="V9" s="142">
        <f t="shared" si="0"/>
        <v>6.7357283667796786</v>
      </c>
      <c r="W9" s="142">
        <f t="shared" si="0"/>
        <v>2.1587681075216958</v>
      </c>
      <c r="X9" s="142">
        <f t="shared" si="0"/>
        <v>8.3101444498223723E-2</v>
      </c>
    </row>
    <row r="10" spans="1:24" s="130" customFormat="1" ht="25" thickBot="1" x14ac:dyDescent="0.2">
      <c r="C10" s="200" t="s">
        <v>292</v>
      </c>
      <c r="D10" s="142">
        <f>D3</f>
        <v>0.12620658092958209</v>
      </c>
      <c r="E10" s="142">
        <f>E3*0.25+E2*0.75</f>
        <v>0.24013257729805593</v>
      </c>
      <c r="F10" s="142">
        <f>F3*0.37+F2*0.63</f>
        <v>0.30631445222441972</v>
      </c>
      <c r="G10" s="142">
        <f>G3</f>
        <v>0.54934530009507287</v>
      </c>
      <c r="H10" s="142">
        <f t="shared" ref="H10:M10" si="1">H3</f>
        <v>0.6727863836130259</v>
      </c>
      <c r="I10" s="142">
        <f t="shared" si="1"/>
        <v>0.57929595528208699</v>
      </c>
      <c r="J10" s="142">
        <f t="shared" si="1"/>
        <v>3.2437947554085169</v>
      </c>
      <c r="K10" s="142">
        <f t="shared" si="1"/>
        <v>0</v>
      </c>
      <c r="L10" s="142">
        <f t="shared" si="1"/>
        <v>0</v>
      </c>
      <c r="M10" s="142">
        <f t="shared" si="1"/>
        <v>3.9036842500418063E-2</v>
      </c>
      <c r="N10" s="142">
        <f>N3*0.25+N2*0.75</f>
        <v>0.60549094343817489</v>
      </c>
      <c r="O10" s="142">
        <f>0.993*O3+(1-0.993)*O2</f>
        <v>0.82522102539233522</v>
      </c>
      <c r="P10" s="142">
        <f>P3</f>
        <v>0.60506758853016762</v>
      </c>
      <c r="Q10" s="142">
        <f t="shared" ref="Q10:S10" si="2">Q3</f>
        <v>5.0685597119198247E-2</v>
      </c>
      <c r="R10" s="142">
        <f t="shared" si="2"/>
        <v>1.4375664670219825</v>
      </c>
      <c r="S10" s="142">
        <f t="shared" si="2"/>
        <v>0.68387681199055483</v>
      </c>
      <c r="T10" s="142">
        <f>T2*0.5*T3*0.5</f>
        <v>0.54221811623107263</v>
      </c>
      <c r="U10" s="142">
        <f>U3</f>
        <v>1.6413152893719165</v>
      </c>
      <c r="V10" s="142">
        <f t="shared" ref="V10:X10" si="3">V3</f>
        <v>0.30538772579394741</v>
      </c>
      <c r="W10" s="142">
        <f t="shared" si="3"/>
        <v>0.54934530009507287</v>
      </c>
      <c r="X10" s="142">
        <f t="shared" si="3"/>
        <v>0.74412603207059036</v>
      </c>
    </row>
    <row r="12" spans="1:24" x14ac:dyDescent="0.2">
      <c r="V12" s="349"/>
    </row>
  </sheetData>
  <mergeCells count="1">
    <mergeCell ref="A7:A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2012-C526-49AC-BBB5-413BFD42E12E}">
  <sheetPr>
    <tabColor theme="3" tint="0.79998168889431442"/>
  </sheetPr>
  <dimension ref="A1:S52"/>
  <sheetViews>
    <sheetView zoomScale="115" zoomScaleNormal="115" workbookViewId="0">
      <selection activeCell="B2" sqref="B2"/>
    </sheetView>
  </sheetViews>
  <sheetFormatPr baseColWidth="10" defaultColWidth="8.83203125" defaultRowHeight="15" x14ac:dyDescent="0.2"/>
  <cols>
    <col min="1" max="1" width="20.1640625" customWidth="1"/>
    <col min="2" max="4" width="14.6640625" customWidth="1"/>
    <col min="5" max="5" width="13.83203125" customWidth="1"/>
    <col min="6" max="6" width="31.33203125" customWidth="1"/>
    <col min="7" max="7" width="54.83203125" customWidth="1"/>
    <col min="8" max="8" width="8.83203125" style="1"/>
    <col min="9" max="9" width="44.33203125" style="1" customWidth="1"/>
    <col min="10" max="10" width="13.6640625" style="1" customWidth="1"/>
    <col min="11" max="12" width="8.83203125" customWidth="1"/>
    <col min="14" max="14" width="18.33203125" customWidth="1"/>
    <col min="15" max="15" width="19.6640625" customWidth="1"/>
    <col min="16" max="16" width="23.5" customWidth="1"/>
    <col min="17" max="17" width="25.1640625" customWidth="1"/>
  </cols>
  <sheetData>
    <row r="1" spans="1:19" ht="46.75" customHeight="1" thickBot="1" x14ac:dyDescent="0.25">
      <c r="A1" s="258" t="s">
        <v>188</v>
      </c>
      <c r="B1" s="394" t="s">
        <v>498</v>
      </c>
      <c r="C1" s="89" t="s">
        <v>500</v>
      </c>
      <c r="D1" s="89" t="s">
        <v>497</v>
      </c>
      <c r="E1" s="89" t="s">
        <v>367</v>
      </c>
      <c r="F1" s="259" t="s">
        <v>189</v>
      </c>
      <c r="G1" s="54" t="s">
        <v>17</v>
      </c>
      <c r="H1" s="567"/>
      <c r="I1" s="567"/>
      <c r="J1" s="567"/>
      <c r="K1" s="567"/>
      <c r="L1" s="567"/>
      <c r="N1" s="16"/>
      <c r="O1" s="4" t="s">
        <v>290</v>
      </c>
      <c r="P1" s="4"/>
      <c r="Q1" s="4"/>
      <c r="R1" s="42"/>
      <c r="S1" s="188"/>
    </row>
    <row r="2" spans="1:19" s="269" customFormat="1" ht="19.5" customHeight="1" thickBot="1" x14ac:dyDescent="0.2">
      <c r="A2" s="260" t="s">
        <v>88</v>
      </c>
      <c r="B2" s="264">
        <v>0.28499999999999998</v>
      </c>
      <c r="C2" s="265">
        <f>0.53*0.85</f>
        <v>0.45050000000000001</v>
      </c>
      <c r="D2" s="266">
        <v>1</v>
      </c>
      <c r="E2" s="266">
        <v>0.37</v>
      </c>
      <c r="F2" s="267" t="s">
        <v>429</v>
      </c>
      <c r="G2" s="268" t="s">
        <v>366</v>
      </c>
      <c r="H2" s="270"/>
      <c r="I2" s="271"/>
      <c r="J2" s="271"/>
      <c r="N2" s="272"/>
      <c r="O2" s="273" t="s">
        <v>280</v>
      </c>
      <c r="P2" s="273" t="s">
        <v>281</v>
      </c>
      <c r="Q2" s="273" t="s">
        <v>282</v>
      </c>
      <c r="R2" s="273" t="s">
        <v>283</v>
      </c>
      <c r="S2" s="274" t="s">
        <v>285</v>
      </c>
    </row>
    <row r="3" spans="1:19" s="269" customFormat="1" ht="19.5" customHeight="1" thickBot="1" x14ac:dyDescent="0.2">
      <c r="A3" s="261" t="s">
        <v>190</v>
      </c>
      <c r="B3" s="264">
        <v>0.01</v>
      </c>
      <c r="C3" s="265">
        <v>0.95</v>
      </c>
      <c r="D3" s="266">
        <v>1</v>
      </c>
      <c r="E3" s="266">
        <v>0.25</v>
      </c>
      <c r="F3" s="275" t="s">
        <v>430</v>
      </c>
      <c r="G3" s="276"/>
      <c r="H3" s="270"/>
      <c r="I3" s="271"/>
      <c r="J3" s="271"/>
      <c r="N3" s="277" t="s">
        <v>197</v>
      </c>
      <c r="O3" s="271">
        <v>11642</v>
      </c>
      <c r="P3" s="271">
        <v>530</v>
      </c>
      <c r="Q3" s="271">
        <v>53</v>
      </c>
      <c r="R3" s="278">
        <f>Q3/O3</f>
        <v>4.5524823913416935E-3</v>
      </c>
      <c r="S3" s="279">
        <f>SUM(Q3:Q8)/SUM(O3:O8)</f>
        <v>1.4528631597813424E-2</v>
      </c>
    </row>
    <row r="4" spans="1:19" s="269" customFormat="1" ht="19.5" customHeight="1" thickBot="1" x14ac:dyDescent="0.2">
      <c r="A4" s="261" t="s">
        <v>191</v>
      </c>
      <c r="B4" s="264">
        <v>0.28499999999999998</v>
      </c>
      <c r="C4" s="265">
        <f>0.53*0.85</f>
        <v>0.45050000000000001</v>
      </c>
      <c r="D4" s="266">
        <v>1</v>
      </c>
      <c r="E4" s="266">
        <v>0.37</v>
      </c>
      <c r="F4" s="275" t="s">
        <v>192</v>
      </c>
      <c r="G4" s="276"/>
      <c r="H4" s="270"/>
      <c r="I4" s="271"/>
      <c r="J4" s="271"/>
      <c r="N4" s="280" t="s">
        <v>237</v>
      </c>
      <c r="O4" s="271">
        <v>42941</v>
      </c>
      <c r="P4" s="271">
        <v>15029</v>
      </c>
      <c r="Q4" s="271">
        <v>751</v>
      </c>
      <c r="R4" s="278">
        <f t="shared" ref="R4:R8" si="0">Q4/O4</f>
        <v>1.7489112968957405E-2</v>
      </c>
      <c r="S4" s="281"/>
    </row>
    <row r="5" spans="1:19" s="269" customFormat="1" ht="19.5" customHeight="1" thickBot="1" x14ac:dyDescent="0.2">
      <c r="A5" s="260" t="s">
        <v>193</v>
      </c>
      <c r="B5" s="264">
        <v>0.9</v>
      </c>
      <c r="C5" s="265">
        <v>0.95</v>
      </c>
      <c r="D5" s="265">
        <v>1</v>
      </c>
      <c r="E5" s="265">
        <v>1</v>
      </c>
      <c r="F5" s="267" t="s">
        <v>433</v>
      </c>
      <c r="G5" s="282"/>
      <c r="H5" s="270"/>
      <c r="I5" s="271"/>
      <c r="J5" s="271"/>
      <c r="N5" s="283" t="s">
        <v>196</v>
      </c>
      <c r="O5" s="271">
        <v>7800</v>
      </c>
      <c r="P5" s="271">
        <v>355</v>
      </c>
      <c r="Q5" s="271">
        <v>0</v>
      </c>
      <c r="R5" s="278">
        <f t="shared" si="0"/>
        <v>0</v>
      </c>
      <c r="S5" s="281"/>
    </row>
    <row r="6" spans="1:19" s="269" customFormat="1" ht="19.5" customHeight="1" thickBot="1" x14ac:dyDescent="0.2">
      <c r="A6" s="262" t="s">
        <v>194</v>
      </c>
      <c r="B6" s="264">
        <v>0</v>
      </c>
      <c r="C6" s="265">
        <v>0</v>
      </c>
      <c r="D6" s="265">
        <v>1</v>
      </c>
      <c r="E6" s="265">
        <v>0</v>
      </c>
      <c r="F6" s="267" t="s">
        <v>195</v>
      </c>
      <c r="G6" s="282"/>
      <c r="H6" s="270"/>
      <c r="I6" s="271"/>
      <c r="J6" s="271"/>
      <c r="N6" s="284" t="s">
        <v>194</v>
      </c>
      <c r="O6" s="271">
        <v>3185</v>
      </c>
      <c r="P6" s="271">
        <v>145</v>
      </c>
      <c r="Q6" s="271">
        <v>0</v>
      </c>
      <c r="R6" s="278">
        <f t="shared" si="0"/>
        <v>0</v>
      </c>
      <c r="S6" s="281"/>
    </row>
    <row r="7" spans="1:19" s="269" customFormat="1" ht="19.5" customHeight="1" thickBot="1" x14ac:dyDescent="0.2">
      <c r="A7" s="262" t="s">
        <v>196</v>
      </c>
      <c r="B7" s="264">
        <v>0</v>
      </c>
      <c r="C7" s="265">
        <v>0</v>
      </c>
      <c r="D7" s="265">
        <v>1</v>
      </c>
      <c r="E7" s="265">
        <v>0</v>
      </c>
      <c r="F7" s="267" t="s">
        <v>195</v>
      </c>
      <c r="G7" s="285"/>
      <c r="H7" s="270"/>
      <c r="I7" s="271"/>
      <c r="J7" s="271"/>
      <c r="N7" s="286" t="s">
        <v>199</v>
      </c>
      <c r="O7" s="271">
        <v>20071</v>
      </c>
      <c r="P7" s="271">
        <v>7025</v>
      </c>
      <c r="Q7" s="271">
        <v>476</v>
      </c>
      <c r="R7" s="278">
        <f t="shared" si="0"/>
        <v>2.371580887848139E-2</v>
      </c>
      <c r="S7" s="281"/>
    </row>
    <row r="8" spans="1:19" s="269" customFormat="1" ht="19.5" customHeight="1" thickBot="1" x14ac:dyDescent="0.2">
      <c r="A8" s="262" t="s">
        <v>197</v>
      </c>
      <c r="B8" s="264">
        <v>5.0000000000000001E-3</v>
      </c>
      <c r="C8" s="265">
        <f>0.75*0.9</f>
        <v>0.67500000000000004</v>
      </c>
      <c r="D8" s="265">
        <v>1</v>
      </c>
      <c r="E8" s="265">
        <v>0.12</v>
      </c>
      <c r="F8" s="267" t="s">
        <v>198</v>
      </c>
      <c r="G8" s="282"/>
      <c r="H8" s="270"/>
      <c r="I8" s="271"/>
      <c r="J8" s="271"/>
      <c r="N8" s="287" t="s">
        <v>284</v>
      </c>
      <c r="O8" s="288">
        <v>3633</v>
      </c>
      <c r="P8" s="288">
        <v>165</v>
      </c>
      <c r="Q8" s="288">
        <v>17</v>
      </c>
      <c r="R8" s="289">
        <f t="shared" si="0"/>
        <v>4.6793283787503444E-3</v>
      </c>
      <c r="S8" s="290"/>
    </row>
    <row r="9" spans="1:19" s="269" customFormat="1" ht="19.5" customHeight="1" thickBot="1" x14ac:dyDescent="0.2">
      <c r="A9" s="261" t="s">
        <v>199</v>
      </c>
      <c r="B9" s="264">
        <v>2.4E-2</v>
      </c>
      <c r="C9" s="265">
        <f>0.75*0.9</f>
        <v>0.67500000000000004</v>
      </c>
      <c r="D9" s="265">
        <v>1</v>
      </c>
      <c r="E9" s="265">
        <v>0.8</v>
      </c>
      <c r="F9" s="267" t="s">
        <v>200</v>
      </c>
      <c r="G9" s="285"/>
      <c r="H9" s="270"/>
      <c r="I9" s="271"/>
      <c r="J9" s="271"/>
    </row>
    <row r="10" spans="1:19" s="269" customFormat="1" ht="19.5" customHeight="1" thickBot="1" x14ac:dyDescent="0.2">
      <c r="A10" s="261" t="s">
        <v>201</v>
      </c>
      <c r="B10" s="264">
        <v>1.7000000000000001E-2</v>
      </c>
      <c r="C10" s="265">
        <f>0.75*0.9</f>
        <v>0.67500000000000004</v>
      </c>
      <c r="D10" s="265">
        <v>1</v>
      </c>
      <c r="E10" s="265">
        <v>0.5</v>
      </c>
      <c r="F10" s="275" t="s">
        <v>202</v>
      </c>
      <c r="G10" s="282"/>
      <c r="H10" s="270"/>
      <c r="I10" s="271"/>
      <c r="J10" s="271"/>
    </row>
    <row r="11" spans="1:19" s="269" customFormat="1" ht="19.5" customHeight="1" thickBot="1" x14ac:dyDescent="0.2">
      <c r="A11" s="261" t="s">
        <v>203</v>
      </c>
      <c r="B11" s="264">
        <v>5.0000000000000001E-3</v>
      </c>
      <c r="C11" s="265">
        <f>0.75*0.9</f>
        <v>0.67500000000000004</v>
      </c>
      <c r="D11" s="265">
        <v>1</v>
      </c>
      <c r="E11" s="265">
        <v>0.8</v>
      </c>
      <c r="F11" s="275" t="s">
        <v>195</v>
      </c>
      <c r="G11" s="282" t="s">
        <v>204</v>
      </c>
      <c r="H11" s="270"/>
      <c r="I11" s="271"/>
      <c r="J11" s="271"/>
    </row>
    <row r="12" spans="1:19" s="269" customFormat="1" ht="19.5" customHeight="1" thickBot="1" x14ac:dyDescent="0.2">
      <c r="A12" s="261" t="s">
        <v>205</v>
      </c>
      <c r="B12" s="264">
        <v>0.01</v>
      </c>
      <c r="C12" s="265">
        <v>0.95</v>
      </c>
      <c r="D12" s="265">
        <v>1</v>
      </c>
      <c r="E12" s="265">
        <v>0.25</v>
      </c>
      <c r="F12" s="275" t="s">
        <v>206</v>
      </c>
      <c r="G12" s="276"/>
      <c r="H12" s="270"/>
      <c r="I12" s="271"/>
      <c r="J12" s="271"/>
    </row>
    <row r="13" spans="1:19" s="269" customFormat="1" ht="19.5" customHeight="1" thickBot="1" x14ac:dyDescent="0.2">
      <c r="A13" s="261" t="s">
        <v>207</v>
      </c>
      <c r="B13" s="264">
        <f>0.073*0.95</f>
        <v>6.9349999999999995E-2</v>
      </c>
      <c r="C13" s="265">
        <v>0.95</v>
      </c>
      <c r="D13" s="265">
        <v>1</v>
      </c>
      <c r="E13" s="265">
        <v>0.93300000000000005</v>
      </c>
      <c r="F13" s="275" t="s">
        <v>208</v>
      </c>
      <c r="G13" s="282"/>
      <c r="H13" s="271"/>
      <c r="I13" s="271"/>
      <c r="J13" s="271"/>
    </row>
    <row r="14" spans="1:19" s="269" customFormat="1" ht="19.5" customHeight="1" thickBot="1" x14ac:dyDescent="0.2">
      <c r="A14" s="262" t="s">
        <v>209</v>
      </c>
      <c r="B14" s="264">
        <f>0.43*0.95</f>
        <v>0.40849999999999997</v>
      </c>
      <c r="C14" s="265">
        <v>0.95</v>
      </c>
      <c r="D14" s="265">
        <v>0</v>
      </c>
      <c r="E14" s="265">
        <v>0.77</v>
      </c>
      <c r="F14" s="275" t="s">
        <v>210</v>
      </c>
      <c r="G14" s="282"/>
      <c r="H14" s="271"/>
      <c r="I14" s="271"/>
      <c r="J14" s="271"/>
    </row>
    <row r="15" spans="1:19" s="269" customFormat="1" ht="19.5" customHeight="1" thickBot="1" x14ac:dyDescent="0.2">
      <c r="A15" s="262" t="s">
        <v>421</v>
      </c>
      <c r="B15" s="264">
        <f>0.25*0.95</f>
        <v>0.23749999999999999</v>
      </c>
      <c r="C15" s="265">
        <v>0.95</v>
      </c>
      <c r="D15" s="265">
        <v>1</v>
      </c>
      <c r="E15" s="265">
        <v>1</v>
      </c>
      <c r="F15" s="291" t="s">
        <v>211</v>
      </c>
      <c r="G15" s="285" t="s">
        <v>212</v>
      </c>
      <c r="H15" s="271"/>
      <c r="I15" s="271"/>
      <c r="J15" s="271"/>
    </row>
    <row r="16" spans="1:19" s="269" customFormat="1" ht="19.5" customHeight="1" thickBot="1" x14ac:dyDescent="0.2">
      <c r="A16" s="262" t="s">
        <v>422</v>
      </c>
      <c r="B16" s="264">
        <f>0.8*0.95</f>
        <v>0.76</v>
      </c>
      <c r="C16" s="265">
        <v>0.95</v>
      </c>
      <c r="D16" s="265">
        <v>1</v>
      </c>
      <c r="E16" s="265">
        <v>1</v>
      </c>
      <c r="F16" s="275" t="s">
        <v>211</v>
      </c>
      <c r="G16" s="282" t="s">
        <v>213</v>
      </c>
      <c r="H16" s="271"/>
      <c r="I16" s="271"/>
      <c r="J16" s="271"/>
    </row>
    <row r="17" spans="1:10" s="269" customFormat="1" ht="19.5" customHeight="1" thickBot="1" x14ac:dyDescent="0.2">
      <c r="A17" s="262" t="s">
        <v>214</v>
      </c>
      <c r="B17" s="264" t="s">
        <v>279</v>
      </c>
      <c r="C17" s="265" t="s">
        <v>279</v>
      </c>
      <c r="D17" s="265" t="s">
        <v>279</v>
      </c>
      <c r="E17" s="265" t="s">
        <v>279</v>
      </c>
      <c r="F17" s="291" t="s">
        <v>215</v>
      </c>
      <c r="G17" s="285" t="s">
        <v>216</v>
      </c>
      <c r="H17" s="271"/>
      <c r="I17" s="271"/>
      <c r="J17" s="271"/>
    </row>
    <row r="18" spans="1:10" s="269" customFormat="1" ht="19.5" customHeight="1" thickBot="1" x14ac:dyDescent="0.2">
      <c r="A18" s="262" t="s">
        <v>180</v>
      </c>
      <c r="B18" s="264">
        <v>0.25</v>
      </c>
      <c r="C18" s="265">
        <v>0.9</v>
      </c>
      <c r="D18" s="265">
        <v>1</v>
      </c>
      <c r="E18" s="265">
        <v>0.5</v>
      </c>
      <c r="F18" s="275" t="s">
        <v>286</v>
      </c>
      <c r="G18" s="282" t="s">
        <v>287</v>
      </c>
      <c r="H18" s="271"/>
      <c r="I18" s="271"/>
      <c r="J18" s="271"/>
    </row>
    <row r="19" spans="1:10" s="269" customFormat="1" ht="19.5" customHeight="1" thickBot="1" x14ac:dyDescent="0.2">
      <c r="A19" s="262" t="s">
        <v>86</v>
      </c>
      <c r="B19" s="264">
        <v>0.9</v>
      </c>
      <c r="C19" s="265">
        <v>0.95</v>
      </c>
      <c r="D19" s="265">
        <v>1</v>
      </c>
      <c r="E19" s="265">
        <v>1</v>
      </c>
      <c r="F19" s="291" t="s">
        <v>217</v>
      </c>
      <c r="G19" s="285"/>
      <c r="H19" s="271"/>
      <c r="I19" s="271"/>
      <c r="J19" s="271"/>
    </row>
    <row r="20" spans="1:10" s="269" customFormat="1" ht="19.5" customHeight="1" thickBot="1" x14ac:dyDescent="0.2">
      <c r="A20" s="262" t="s">
        <v>87</v>
      </c>
      <c r="B20" s="264">
        <v>0.8</v>
      </c>
      <c r="C20" s="265">
        <v>0.95</v>
      </c>
      <c r="D20" s="265">
        <v>1</v>
      </c>
      <c r="E20" s="265">
        <v>1</v>
      </c>
      <c r="F20" s="275" t="s">
        <v>217</v>
      </c>
      <c r="G20" s="292"/>
      <c r="H20" s="271"/>
      <c r="I20" s="271"/>
      <c r="J20" s="271"/>
    </row>
    <row r="21" spans="1:10" s="269" customFormat="1" ht="19.5" customHeight="1" thickBot="1" x14ac:dyDescent="0.2">
      <c r="A21" s="262" t="s">
        <v>218</v>
      </c>
      <c r="B21" s="264">
        <v>0.9</v>
      </c>
      <c r="C21" s="265">
        <v>0.95</v>
      </c>
      <c r="D21" s="265">
        <v>1</v>
      </c>
      <c r="E21" s="265">
        <v>1</v>
      </c>
      <c r="F21" s="293" t="s">
        <v>219</v>
      </c>
      <c r="G21" s="285"/>
      <c r="H21" s="271"/>
      <c r="I21" s="271"/>
      <c r="J21" s="271"/>
    </row>
    <row r="22" spans="1:10" s="269" customFormat="1" ht="19.5" customHeight="1" thickBot="1" x14ac:dyDescent="0.2">
      <c r="A22" s="263" t="s">
        <v>220</v>
      </c>
      <c r="B22" s="294">
        <f>(B15+B16)/2</f>
        <v>0.49875000000000003</v>
      </c>
      <c r="C22" s="295">
        <v>0.95</v>
      </c>
      <c r="D22" s="295">
        <v>1</v>
      </c>
      <c r="E22" s="295">
        <v>1</v>
      </c>
      <c r="F22" s="296" t="s">
        <v>221</v>
      </c>
      <c r="G22" s="282"/>
      <c r="H22" s="271"/>
      <c r="I22" s="271"/>
      <c r="J22" s="271"/>
    </row>
    <row r="23" spans="1:10" x14ac:dyDescent="0.2">
      <c r="B23" s="55"/>
      <c r="C23" s="55"/>
      <c r="D23" s="55"/>
      <c r="E23" s="55"/>
      <c r="F23" s="56"/>
    </row>
    <row r="24" spans="1:10" x14ac:dyDescent="0.2">
      <c r="A24" s="257"/>
    </row>
    <row r="25" spans="1:10" x14ac:dyDescent="0.2">
      <c r="A25" s="57" t="s">
        <v>289</v>
      </c>
    </row>
    <row r="26" spans="1:10" x14ac:dyDescent="0.2">
      <c r="A26" s="57" t="s">
        <v>423</v>
      </c>
    </row>
    <row r="27" spans="1:10" x14ac:dyDescent="0.2">
      <c r="A27" s="57"/>
    </row>
    <row r="28" spans="1:10" x14ac:dyDescent="0.2">
      <c r="A28" s="57"/>
    </row>
    <row r="29" spans="1:10" x14ac:dyDescent="0.2">
      <c r="A29" s="190" t="s">
        <v>420</v>
      </c>
    </row>
    <row r="30" spans="1:10" x14ac:dyDescent="0.2">
      <c r="A30" s="1" t="s">
        <v>424</v>
      </c>
      <c r="H30"/>
    </row>
    <row r="31" spans="1:10" x14ac:dyDescent="0.2">
      <c r="A31" s="1" t="s">
        <v>373</v>
      </c>
      <c r="H31"/>
    </row>
    <row r="32" spans="1:10" x14ac:dyDescent="0.2">
      <c r="A32" s="1" t="s">
        <v>425</v>
      </c>
      <c r="H32"/>
    </row>
    <row r="33" spans="1:8" x14ac:dyDescent="0.2">
      <c r="A33" s="1" t="s">
        <v>227</v>
      </c>
      <c r="H33"/>
    </row>
    <row r="34" spans="1:8" x14ac:dyDescent="0.2">
      <c r="A34" s="1" t="s">
        <v>426</v>
      </c>
      <c r="H34"/>
    </row>
    <row r="35" spans="1:8" x14ac:dyDescent="0.2">
      <c r="A35" s="1" t="s">
        <v>427</v>
      </c>
      <c r="H35"/>
    </row>
    <row r="36" spans="1:8" x14ac:dyDescent="0.2">
      <c r="A36" s="11" t="s">
        <v>432</v>
      </c>
    </row>
    <row r="37" spans="1:8" x14ac:dyDescent="0.2">
      <c r="A37" s="1" t="s">
        <v>431</v>
      </c>
    </row>
    <row r="38" spans="1:8" x14ac:dyDescent="0.2">
      <c r="A38" s="1" t="s">
        <v>232</v>
      </c>
    </row>
    <row r="39" spans="1:8" x14ac:dyDescent="0.2">
      <c r="A39" s="1" t="s">
        <v>428</v>
      </c>
    </row>
    <row r="40" spans="1:8" x14ac:dyDescent="0.2">
      <c r="A40" s="1" t="s">
        <v>225</v>
      </c>
    </row>
    <row r="41" spans="1:8" x14ac:dyDescent="0.2">
      <c r="A41" s="1" t="s">
        <v>288</v>
      </c>
    </row>
    <row r="42" spans="1:8" x14ac:dyDescent="0.2">
      <c r="A42" s="1" t="s">
        <v>222</v>
      </c>
    </row>
    <row r="43" spans="1:8" x14ac:dyDescent="0.2">
      <c r="A43" s="11" t="s">
        <v>229</v>
      </c>
    </row>
    <row r="44" spans="1:8" x14ac:dyDescent="0.2">
      <c r="A44" s="1" t="s">
        <v>228</v>
      </c>
    </row>
    <row r="45" spans="1:8" x14ac:dyDescent="0.2">
      <c r="A45" s="1" t="s">
        <v>224</v>
      </c>
    </row>
    <row r="46" spans="1:8" x14ac:dyDescent="0.2">
      <c r="A46" s="58" t="s">
        <v>223</v>
      </c>
    </row>
    <row r="47" spans="1:8" x14ac:dyDescent="0.2">
      <c r="A47" s="1" t="s">
        <v>230</v>
      </c>
    </row>
    <row r="48" spans="1:8" x14ac:dyDescent="0.2">
      <c r="A48" s="58" t="s">
        <v>434</v>
      </c>
    </row>
    <row r="49" spans="1:2" x14ac:dyDescent="0.2">
      <c r="A49" s="11" t="s">
        <v>231</v>
      </c>
    </row>
    <row r="50" spans="1:2" x14ac:dyDescent="0.2">
      <c r="A50" s="1" t="s">
        <v>226</v>
      </c>
    </row>
    <row r="52" spans="1:2" x14ac:dyDescent="0.2">
      <c r="A52" s="58"/>
      <c r="B52" s="1"/>
    </row>
  </sheetData>
  <mergeCells count="1">
    <mergeCell ref="H1:L1"/>
  </mergeCell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51DE-CA3A-4353-98EB-35B5D3953A88}">
  <sheetPr>
    <tabColor rgb="FF8DAEC9"/>
  </sheetPr>
  <dimension ref="A1:K26"/>
  <sheetViews>
    <sheetView zoomScale="55" zoomScaleNormal="55" workbookViewId="0">
      <selection activeCell="V60" sqref="V60"/>
    </sheetView>
  </sheetViews>
  <sheetFormatPr baseColWidth="10" defaultColWidth="8.83203125" defaultRowHeight="15" x14ac:dyDescent="0.2"/>
  <cols>
    <col min="1" max="1" width="11.1640625" customWidth="1"/>
    <col min="3" max="3" width="15.33203125" customWidth="1"/>
    <col min="4" max="5" width="13.1640625" bestFit="1" customWidth="1"/>
    <col min="6" max="6" width="11.83203125" bestFit="1" customWidth="1"/>
    <col min="7" max="7" width="13" bestFit="1" customWidth="1"/>
    <col min="8" max="8" width="11.83203125" bestFit="1" customWidth="1"/>
    <col min="9" max="9" width="13.1640625" bestFit="1" customWidth="1"/>
    <col min="10" max="10" width="11.83203125" bestFit="1" customWidth="1"/>
  </cols>
  <sheetData>
    <row r="1" spans="1:11" ht="31" thickBot="1" x14ac:dyDescent="0.25">
      <c r="A1" s="488" t="s">
        <v>540</v>
      </c>
      <c r="B1" s="79"/>
      <c r="C1" s="79"/>
      <c r="D1" s="486" t="s">
        <v>388</v>
      </c>
      <c r="E1" s="486" t="s">
        <v>387</v>
      </c>
      <c r="F1" s="486" t="s">
        <v>386</v>
      </c>
      <c r="G1" s="486" t="s">
        <v>392</v>
      </c>
      <c r="H1" s="486" t="s">
        <v>390</v>
      </c>
      <c r="I1" s="486" t="s">
        <v>391</v>
      </c>
      <c r="J1" s="487" t="s">
        <v>389</v>
      </c>
    </row>
    <row r="2" spans="1:11" x14ac:dyDescent="0.2">
      <c r="A2" s="478" t="s">
        <v>271</v>
      </c>
      <c r="B2" s="69" t="s">
        <v>369</v>
      </c>
      <c r="C2" s="70" t="s">
        <v>508</v>
      </c>
      <c r="D2" s="483">
        <v>159955482.89638111</v>
      </c>
      <c r="E2" s="479">
        <v>110727160.2614453</v>
      </c>
      <c r="F2" s="479">
        <v>19477043.637077078</v>
      </c>
      <c r="G2" s="479">
        <v>6756273.7191194994</v>
      </c>
      <c r="H2" s="479">
        <v>14754085.652307561</v>
      </c>
      <c r="I2" s="479">
        <v>13463501.826614421</v>
      </c>
      <c r="J2" s="480">
        <v>5095675.0844885828</v>
      </c>
    </row>
    <row r="3" spans="1:11" ht="16" thickBot="1" x14ac:dyDescent="0.25">
      <c r="A3" s="467"/>
      <c r="B3" s="66"/>
      <c r="C3" s="67" t="s">
        <v>537</v>
      </c>
      <c r="D3" s="484">
        <v>15672275.05405141</v>
      </c>
      <c r="E3" s="74">
        <v>29264611.144448452</v>
      </c>
      <c r="F3" s="74">
        <v>17775879.29863736</v>
      </c>
      <c r="G3" s="74">
        <v>771934.89104060526</v>
      </c>
      <c r="H3" s="74">
        <v>2512881.8291076841</v>
      </c>
      <c r="I3" s="74">
        <v>706943.28340477531</v>
      </c>
      <c r="J3" s="481">
        <v>942333.28004642739</v>
      </c>
    </row>
    <row r="4" spans="1:11" x14ac:dyDescent="0.2">
      <c r="A4" s="467"/>
      <c r="B4" s="57" t="s">
        <v>272</v>
      </c>
      <c r="C4" s="61" t="s">
        <v>508</v>
      </c>
      <c r="D4" s="484">
        <v>114777080.2571016</v>
      </c>
      <c r="E4" s="74">
        <v>122826600.53075691</v>
      </c>
      <c r="F4" s="74">
        <v>31344167.608761441</v>
      </c>
      <c r="G4" s="74">
        <v>6668874.1501455111</v>
      </c>
      <c r="H4" s="74">
        <v>15167690.693846921</v>
      </c>
      <c r="I4" s="74">
        <v>13011526.941609491</v>
      </c>
      <c r="J4" s="481">
        <v>5595324.3841417599</v>
      </c>
    </row>
    <row r="5" spans="1:11" ht="16" thickBot="1" x14ac:dyDescent="0.25">
      <c r="A5" s="467"/>
      <c r="B5" s="57"/>
      <c r="C5" s="61" t="s">
        <v>537</v>
      </c>
      <c r="D5" s="484">
        <v>13880358.77481959</v>
      </c>
      <c r="E5" s="74">
        <v>8659811.0064546615</v>
      </c>
      <c r="F5" s="74">
        <v>4733682.9774171747</v>
      </c>
      <c r="G5" s="74">
        <v>683848.729577702</v>
      </c>
      <c r="H5" s="74">
        <v>3000382.7020044359</v>
      </c>
      <c r="I5" s="74">
        <v>536132.83560979296</v>
      </c>
      <c r="J5" s="481">
        <v>1432215.365519857</v>
      </c>
    </row>
    <row r="6" spans="1:11" x14ac:dyDescent="0.2">
      <c r="A6" s="467"/>
      <c r="B6" s="69" t="s">
        <v>273</v>
      </c>
      <c r="C6" s="70" t="s">
        <v>508</v>
      </c>
      <c r="D6" s="484">
        <v>50484063.057899877</v>
      </c>
      <c r="E6" s="74">
        <v>146264500.0711087</v>
      </c>
      <c r="F6" s="74">
        <v>63151265.636485852</v>
      </c>
      <c r="G6" s="74">
        <v>6108306.6262866622</v>
      </c>
      <c r="H6" s="74">
        <v>12719468.344987661</v>
      </c>
      <c r="I6" s="74">
        <v>12917074.03684321</v>
      </c>
      <c r="J6" s="481">
        <v>4384581.8860594379</v>
      </c>
    </row>
    <row r="7" spans="1:11" ht="16" thickBot="1" x14ac:dyDescent="0.25">
      <c r="A7" s="467"/>
      <c r="B7" s="60"/>
      <c r="C7" s="61" t="s">
        <v>537</v>
      </c>
      <c r="D7" s="485">
        <v>19085.10941949781</v>
      </c>
      <c r="E7" s="385">
        <v>7880.160090430667</v>
      </c>
      <c r="F7" s="385">
        <v>169830.20316448121</v>
      </c>
      <c r="G7" s="385">
        <v>15954.790859343329</v>
      </c>
      <c r="H7" s="385">
        <v>104908.0060796152</v>
      </c>
      <c r="I7" s="385">
        <v>9800.0044421260645</v>
      </c>
      <c r="J7" s="482">
        <v>124044.191599132</v>
      </c>
    </row>
    <row r="8" spans="1:11" x14ac:dyDescent="0.2">
      <c r="A8" s="478" t="s">
        <v>274</v>
      </c>
      <c r="B8" s="79" t="s">
        <v>369</v>
      </c>
      <c r="C8" s="70" t="s">
        <v>508</v>
      </c>
      <c r="D8" s="479">
        <v>76575491.640554383</v>
      </c>
      <c r="E8" s="479">
        <v>43570496.2390806</v>
      </c>
      <c r="F8" s="479">
        <v>6244408.5037690829</v>
      </c>
      <c r="G8" s="479">
        <v>2085794.884026197</v>
      </c>
      <c r="H8" s="479">
        <v>1970218.996325237</v>
      </c>
      <c r="I8" s="479">
        <v>8200406.1413058266</v>
      </c>
      <c r="J8" s="480">
        <v>406264.67340727849</v>
      </c>
    </row>
    <row r="9" spans="1:11" ht="16" thickBot="1" x14ac:dyDescent="0.25">
      <c r="A9" s="467"/>
      <c r="B9" s="57"/>
      <c r="C9" s="61" t="s">
        <v>537</v>
      </c>
      <c r="D9" s="74">
        <v>6578330.1001975937</v>
      </c>
      <c r="E9" s="74">
        <v>14376321.602517391</v>
      </c>
      <c r="F9" s="74">
        <v>6961511.76611978</v>
      </c>
      <c r="G9" s="74">
        <v>247610.57449587929</v>
      </c>
      <c r="H9" s="74">
        <v>508650.55996573757</v>
      </c>
      <c r="I9" s="74">
        <v>291489.0883545368</v>
      </c>
      <c r="J9" s="481">
        <v>208133.67615869909</v>
      </c>
    </row>
    <row r="10" spans="1:11" x14ac:dyDescent="0.2">
      <c r="A10" s="467"/>
      <c r="B10" s="69" t="s">
        <v>272</v>
      </c>
      <c r="C10" s="70" t="s">
        <v>508</v>
      </c>
      <c r="D10" s="74">
        <v>64959131.391756937</v>
      </c>
      <c r="E10" s="74">
        <v>44962374.977514982</v>
      </c>
      <c r="F10" s="74">
        <v>9753978.2752310373</v>
      </c>
      <c r="G10" s="74">
        <v>2139933.87655521</v>
      </c>
      <c r="H10" s="74">
        <v>1888168.3224353499</v>
      </c>
      <c r="I10" s="74">
        <v>8093483.8032779973</v>
      </c>
      <c r="J10" s="481">
        <v>476990.9630019035</v>
      </c>
    </row>
    <row r="11" spans="1:11" ht="16" thickBot="1" x14ac:dyDescent="0.25">
      <c r="A11" s="467"/>
      <c r="B11" s="66"/>
      <c r="C11" s="67" t="s">
        <v>537</v>
      </c>
      <c r="D11" s="74">
        <v>8318804.3316262793</v>
      </c>
      <c r="E11" s="74">
        <v>6147009.8034645626</v>
      </c>
      <c r="F11" s="74">
        <v>2214280.5365400449</v>
      </c>
      <c r="G11" s="74">
        <v>260150.67723544501</v>
      </c>
      <c r="H11" s="74">
        <v>494130.55395376083</v>
      </c>
      <c r="I11" s="74">
        <v>273941.47097297909</v>
      </c>
      <c r="J11" s="481">
        <v>252590.78889212309</v>
      </c>
    </row>
    <row r="12" spans="1:11" x14ac:dyDescent="0.2">
      <c r="A12" s="467"/>
      <c r="B12" s="57" t="s">
        <v>273</v>
      </c>
      <c r="C12" s="61" t="s">
        <v>508</v>
      </c>
      <c r="D12" s="74">
        <v>26579195.718220621</v>
      </c>
      <c r="E12" s="74">
        <v>61836343.629002407</v>
      </c>
      <c r="F12" s="74">
        <v>23672040.47569276</v>
      </c>
      <c r="G12" s="74">
        <v>1868725.9275068301</v>
      </c>
      <c r="H12" s="74">
        <v>1665551.668518069</v>
      </c>
      <c r="I12" s="74">
        <v>8063115.3383341907</v>
      </c>
      <c r="J12" s="481">
        <v>355080.81340085098</v>
      </c>
    </row>
    <row r="13" spans="1:11" ht="16" thickBot="1" x14ac:dyDescent="0.25">
      <c r="A13" s="477"/>
      <c r="B13" s="68"/>
      <c r="C13" s="67" t="s">
        <v>537</v>
      </c>
      <c r="D13" s="385">
        <v>8116.6557301312541</v>
      </c>
      <c r="E13" s="385">
        <v>3758.2301969746259</v>
      </c>
      <c r="F13" s="385">
        <v>57627.776804127338</v>
      </c>
      <c r="G13" s="385">
        <v>7630.8359129281771</v>
      </c>
      <c r="H13" s="385">
        <v>23247.411908487251</v>
      </c>
      <c r="I13" s="385">
        <v>2106.8359718173369</v>
      </c>
      <c r="J13" s="482">
        <v>7789.7676576923059</v>
      </c>
    </row>
    <row r="14" spans="1:11" ht="16" thickBot="1" x14ac:dyDescent="0.25"/>
    <row r="15" spans="1:11" ht="16" thickBot="1" x14ac:dyDescent="0.25">
      <c r="A15" s="489" t="s">
        <v>541</v>
      </c>
      <c r="B15" s="490"/>
      <c r="C15" s="490"/>
      <c r="D15" s="490" t="s">
        <v>388</v>
      </c>
      <c r="E15" s="490" t="s">
        <v>387</v>
      </c>
      <c r="F15" s="490" t="s">
        <v>386</v>
      </c>
      <c r="G15" s="490" t="s">
        <v>538</v>
      </c>
      <c r="H15" s="490" t="s">
        <v>390</v>
      </c>
      <c r="I15" s="490" t="s">
        <v>391</v>
      </c>
      <c r="J15" s="490" t="s">
        <v>389</v>
      </c>
      <c r="K15" s="491" t="s">
        <v>539</v>
      </c>
    </row>
    <row r="16" spans="1:11" ht="16" thickBot="1" x14ac:dyDescent="0.25">
      <c r="A16" s="66"/>
      <c r="B16" s="68"/>
      <c r="C16" s="68">
        <v>2018</v>
      </c>
      <c r="D16" s="385">
        <v>295255417.48258269</v>
      </c>
      <c r="E16" s="385">
        <v>401943689.43229347</v>
      </c>
      <c r="F16" s="385">
        <v>320810589.52087599</v>
      </c>
      <c r="G16" s="385">
        <v>40232902.284969471</v>
      </c>
      <c r="H16" s="385">
        <v>106985235.8293452</v>
      </c>
      <c r="I16" s="385">
        <v>42556128.27965419</v>
      </c>
      <c r="J16" s="385">
        <v>194487440.01449049</v>
      </c>
      <c r="K16" s="482">
        <v>1402271402.8442116</v>
      </c>
    </row>
    <row r="17" spans="1:11" x14ac:dyDescent="0.2">
      <c r="A17" s="69" t="s">
        <v>271</v>
      </c>
      <c r="B17" s="79" t="s">
        <v>369</v>
      </c>
      <c r="C17" s="79">
        <v>2050</v>
      </c>
      <c r="D17" s="479">
        <v>439538625.32491243</v>
      </c>
      <c r="E17" s="479">
        <v>483406238.5492903</v>
      </c>
      <c r="F17" s="479">
        <v>322511753.85931575</v>
      </c>
      <c r="G17" s="479">
        <v>46217241.11304836</v>
      </c>
      <c r="H17" s="479">
        <v>119226439.65254506</v>
      </c>
      <c r="I17" s="479">
        <v>55312686.82286384</v>
      </c>
      <c r="J17" s="479">
        <v>198640781.81893262</v>
      </c>
      <c r="K17" s="480">
        <v>1664853767.1409082</v>
      </c>
    </row>
    <row r="18" spans="1:11" x14ac:dyDescent="0.2">
      <c r="A18" s="60"/>
      <c r="B18" s="57" t="s">
        <v>272</v>
      </c>
      <c r="C18" s="57">
        <v>2050</v>
      </c>
      <c r="D18" s="74">
        <v>396152138.96486467</v>
      </c>
      <c r="E18" s="74">
        <v>516110478.95659572</v>
      </c>
      <c r="F18" s="74">
        <v>347421074.15222025</v>
      </c>
      <c r="G18" s="74">
        <v>46217927.705537274</v>
      </c>
      <c r="H18" s="74">
        <v>119152543.82118769</v>
      </c>
      <c r="I18" s="74">
        <v>55031522.385653883</v>
      </c>
      <c r="J18" s="74">
        <v>198650549.03311241</v>
      </c>
      <c r="K18" s="481">
        <v>1678736235.0191722</v>
      </c>
    </row>
    <row r="19" spans="1:11" x14ac:dyDescent="0.2">
      <c r="A19" s="60"/>
      <c r="B19" s="57" t="s">
        <v>273</v>
      </c>
      <c r="C19" s="57">
        <v>2050</v>
      </c>
      <c r="D19" s="74">
        <v>345720395.43106306</v>
      </c>
      <c r="E19" s="74">
        <v>548200309.34331179</v>
      </c>
      <c r="F19" s="74">
        <v>383792024.95419741</v>
      </c>
      <c r="G19" s="74">
        <v>46325254.120396793</v>
      </c>
      <c r="H19" s="74">
        <v>119599796.16825324</v>
      </c>
      <c r="I19" s="74">
        <v>55463402.312055275</v>
      </c>
      <c r="J19" s="74">
        <v>198747977.70895079</v>
      </c>
      <c r="K19" s="481">
        <v>1697849160.0382285</v>
      </c>
    </row>
    <row r="20" spans="1:11" x14ac:dyDescent="0.2">
      <c r="A20" s="60" t="s">
        <v>274</v>
      </c>
      <c r="B20" s="57" t="s">
        <v>369</v>
      </c>
      <c r="C20" s="57">
        <v>2050</v>
      </c>
      <c r="D20" s="74">
        <v>365252579.02293944</v>
      </c>
      <c r="E20" s="74">
        <v>431137864.06885672</v>
      </c>
      <c r="F20" s="74">
        <v>320093486.25852531</v>
      </c>
      <c r="G20" s="74">
        <v>42071086.594499789</v>
      </c>
      <c r="H20" s="74">
        <v>108446804.26570469</v>
      </c>
      <c r="I20" s="74">
        <v>50465045.332605481</v>
      </c>
      <c r="J20" s="74">
        <v>194685571.01173908</v>
      </c>
      <c r="K20" s="481">
        <v>1512152436.5548704</v>
      </c>
    </row>
    <row r="21" spans="1:11" x14ac:dyDescent="0.2">
      <c r="A21" s="60"/>
      <c r="B21" s="57" t="s">
        <v>272</v>
      </c>
      <c r="C21" s="57">
        <v>2050</v>
      </c>
      <c r="D21" s="74">
        <v>351895744.54271334</v>
      </c>
      <c r="E21" s="74">
        <v>440759054.60634387</v>
      </c>
      <c r="F21" s="74">
        <v>328350287.25956702</v>
      </c>
      <c r="G21" s="74">
        <v>42112685.484289236</v>
      </c>
      <c r="H21" s="74">
        <v>108379273.59782678</v>
      </c>
      <c r="I21" s="74">
        <v>50375670.611959212</v>
      </c>
      <c r="J21" s="74">
        <v>194711840.18860027</v>
      </c>
      <c r="K21" s="481">
        <v>1516584556.2912996</v>
      </c>
    </row>
    <row r="22" spans="1:11" ht="16" thickBot="1" x14ac:dyDescent="0.25">
      <c r="A22" s="66"/>
      <c r="B22" s="68" t="s">
        <v>273</v>
      </c>
      <c r="C22" s="68">
        <v>2050</v>
      </c>
      <c r="D22" s="385">
        <v>321826496.54507315</v>
      </c>
      <c r="E22" s="385">
        <v>463776274.83109891</v>
      </c>
      <c r="F22" s="385">
        <v>344425002.21976459</v>
      </c>
      <c r="G22" s="385">
        <v>42093997.37656337</v>
      </c>
      <c r="H22" s="385">
        <v>108627540.08595477</v>
      </c>
      <c r="I22" s="385">
        <v>50617136.78201656</v>
      </c>
      <c r="J22" s="385">
        <v>194834731.06023365</v>
      </c>
      <c r="K22" s="482">
        <v>1526201178.9007049</v>
      </c>
    </row>
    <row r="23" spans="1:11" x14ac:dyDescent="0.2">
      <c r="C23" s="57"/>
    </row>
    <row r="24" spans="1:11" x14ac:dyDescent="0.2">
      <c r="C24" s="57"/>
    </row>
    <row r="25" spans="1:11" x14ac:dyDescent="0.2">
      <c r="C25" s="57"/>
    </row>
    <row r="26" spans="1:11" x14ac:dyDescent="0.2">
      <c r="C26" s="57"/>
    </row>
  </sheetData>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808C-D5C9-4E68-8E31-71DF3D032D79}">
  <sheetPr>
    <tabColor rgb="FF8DAEC9"/>
  </sheetPr>
  <dimension ref="A1:F31"/>
  <sheetViews>
    <sheetView workbookViewId="0">
      <selection activeCell="E7" sqref="E7"/>
    </sheetView>
  </sheetViews>
  <sheetFormatPr baseColWidth="10" defaultColWidth="8.83203125" defaultRowHeight="15" x14ac:dyDescent="0.2"/>
  <cols>
    <col min="1" max="1" width="14.33203125" customWidth="1"/>
    <col min="3" max="4" width="8.83203125" style="512"/>
    <col min="5" max="5" width="18.33203125" style="505" customWidth="1"/>
  </cols>
  <sheetData>
    <row r="1" spans="1:6" x14ac:dyDescent="0.2">
      <c r="A1" s="492" t="s">
        <v>395</v>
      </c>
      <c r="B1" s="493" t="s">
        <v>396</v>
      </c>
      <c r="C1" s="568"/>
      <c r="D1" s="569"/>
      <c r="E1" s="570"/>
      <c r="F1" s="494"/>
    </row>
    <row r="2" spans="1:6" ht="16" thickBot="1" x14ac:dyDescent="0.25">
      <c r="A2" s="495"/>
      <c r="B2" s="496"/>
      <c r="C2" s="513" t="s">
        <v>385</v>
      </c>
      <c r="D2" s="506" t="s">
        <v>250</v>
      </c>
      <c r="E2" s="499" t="s">
        <v>542</v>
      </c>
      <c r="F2" s="494"/>
    </row>
    <row r="3" spans="1:6" x14ac:dyDescent="0.2">
      <c r="A3" s="497" t="s">
        <v>398</v>
      </c>
      <c r="B3" s="498" t="s">
        <v>266</v>
      </c>
      <c r="C3" s="514">
        <f>Stock_2018!C2/MI_2018!C3</f>
        <v>92478.496999999974</v>
      </c>
      <c r="D3" s="507">
        <f>C3/SUM(C$3:C$6)</f>
        <v>0.28425676942771222</v>
      </c>
      <c r="E3" s="500">
        <f>SUM(C3:C6)*1000</f>
        <v>325334369.99999988</v>
      </c>
      <c r="F3" s="494"/>
    </row>
    <row r="4" spans="1:6" x14ac:dyDescent="0.2">
      <c r="A4" s="497"/>
      <c r="B4" s="498" t="s">
        <v>267</v>
      </c>
      <c r="C4" s="514">
        <f>Stock_2018!C3/MI_2018!C4</f>
        <v>64182.853999999963</v>
      </c>
      <c r="D4" s="508">
        <f t="shared" ref="D4:D6" si="0">C4/SUM(C$3:C$6)</f>
        <v>0.1972827340683371</v>
      </c>
      <c r="E4" s="501"/>
      <c r="F4" s="494"/>
    </row>
    <row r="5" spans="1:6" x14ac:dyDescent="0.2">
      <c r="A5" s="497"/>
      <c r="B5" s="498" t="s">
        <v>268</v>
      </c>
      <c r="C5" s="514">
        <f>Stock_2018!C4/MI_2018!C5</f>
        <v>114847.84999999996</v>
      </c>
      <c r="D5" s="508">
        <f t="shared" si="0"/>
        <v>0.35301480750404579</v>
      </c>
      <c r="E5" s="501"/>
      <c r="F5" s="494"/>
    </row>
    <row r="6" spans="1:6" x14ac:dyDescent="0.2">
      <c r="A6" s="497"/>
      <c r="B6" s="498" t="s">
        <v>455</v>
      </c>
      <c r="C6" s="514">
        <f>Stock_2018!C5/MI_2018!C6</f>
        <v>53825.168999999987</v>
      </c>
      <c r="D6" s="509">
        <f t="shared" si="0"/>
        <v>0.16544568899990494</v>
      </c>
      <c r="E6" s="501"/>
      <c r="F6" s="494"/>
    </row>
    <row r="7" spans="1:6" x14ac:dyDescent="0.2">
      <c r="A7" s="497" t="s">
        <v>399</v>
      </c>
      <c r="B7" s="498" t="s">
        <v>266</v>
      </c>
      <c r="C7" s="514">
        <f>Stock_2018!C6/MI_2018!C7</f>
        <v>62293.139000000003</v>
      </c>
      <c r="D7" s="507">
        <f>C7/SUM(C$7:C$10)</f>
        <v>0.15004485486422142</v>
      </c>
      <c r="E7" s="500">
        <f>SUM(C7:C10)*1000</f>
        <v>415163445.99999982</v>
      </c>
      <c r="F7" s="494"/>
    </row>
    <row r="8" spans="1:6" x14ac:dyDescent="0.2">
      <c r="A8" s="497"/>
      <c r="B8" s="498" t="s">
        <v>267</v>
      </c>
      <c r="C8" s="514">
        <f>Stock_2018!C7/MI_2018!C8</f>
        <v>80389.659000000014</v>
      </c>
      <c r="D8" s="508">
        <f t="shared" ref="D8:D10" si="1">C8/SUM(C$7:C$10)</f>
        <v>0.1936337598469593</v>
      </c>
      <c r="E8" s="501"/>
      <c r="F8" s="494"/>
    </row>
    <row r="9" spans="1:6" x14ac:dyDescent="0.2">
      <c r="A9" s="497"/>
      <c r="B9" s="498" t="s">
        <v>268</v>
      </c>
      <c r="C9" s="514">
        <f>Stock_2018!C8/MI_2018!C9</f>
        <v>208342.28699999984</v>
      </c>
      <c r="D9" s="508">
        <f t="shared" si="1"/>
        <v>0.5018319628265151</v>
      </c>
      <c r="E9" s="501"/>
      <c r="F9" s="494"/>
    </row>
    <row r="10" spans="1:6" x14ac:dyDescent="0.2">
      <c r="A10" s="497"/>
      <c r="B10" s="498" t="s">
        <v>455</v>
      </c>
      <c r="C10" s="514">
        <f>Stock_2018!C9/MI_2018!C10</f>
        <v>64138.360999999961</v>
      </c>
      <c r="D10" s="509">
        <f t="shared" si="1"/>
        <v>0.15448942246230413</v>
      </c>
      <c r="E10" s="502"/>
      <c r="F10" s="494"/>
    </row>
    <row r="11" spans="1:6" x14ac:dyDescent="0.2">
      <c r="A11" s="497" t="s">
        <v>400</v>
      </c>
      <c r="B11" s="498" t="s">
        <v>266</v>
      </c>
      <c r="C11" s="514">
        <f>Stock_2018!C26/MI_2018!C11</f>
        <v>1559.0289999999993</v>
      </c>
      <c r="D11" s="507">
        <f>C11/SUM(C$11:C$14)</f>
        <v>6.517587669538781E-2</v>
      </c>
      <c r="E11" s="501">
        <f>SUM(C11:C14)*1000</f>
        <v>23920337.999999996</v>
      </c>
      <c r="F11" s="494"/>
    </row>
    <row r="12" spans="1:6" x14ac:dyDescent="0.2">
      <c r="A12" s="497"/>
      <c r="B12" s="498" t="s">
        <v>267</v>
      </c>
      <c r="C12" s="514">
        <f>Stock_2018!C27/MI_2018!C12</f>
        <v>2701.4779999999996</v>
      </c>
      <c r="D12" s="508">
        <f t="shared" ref="D12:D14" si="2">C12/SUM(C$11:C$14)</f>
        <v>0.11293644763715295</v>
      </c>
      <c r="E12" s="501"/>
      <c r="F12" s="494"/>
    </row>
    <row r="13" spans="1:6" x14ac:dyDescent="0.2">
      <c r="A13" s="497"/>
      <c r="B13" s="498" t="s">
        <v>268</v>
      </c>
      <c r="C13" s="514">
        <f>Stock_2018!C28/MI_2018!C13</f>
        <v>12411.574999999997</v>
      </c>
      <c r="D13" s="508">
        <f t="shared" si="2"/>
        <v>0.51887122163574773</v>
      </c>
      <c r="E13" s="501"/>
      <c r="F13" s="494"/>
    </row>
    <row r="14" spans="1:6" x14ac:dyDescent="0.2">
      <c r="A14" s="497"/>
      <c r="B14" s="498" t="s">
        <v>455</v>
      </c>
      <c r="C14" s="514">
        <f>Stock_2018!C29/MI_2018!C14</f>
        <v>7248.2560000000012</v>
      </c>
      <c r="D14" s="509">
        <f t="shared" si="2"/>
        <v>0.30301645403171151</v>
      </c>
      <c r="E14" s="501"/>
      <c r="F14" s="494"/>
    </row>
    <row r="15" spans="1:6" x14ac:dyDescent="0.2">
      <c r="A15" s="497" t="s">
        <v>401</v>
      </c>
      <c r="B15" s="498" t="s">
        <v>266</v>
      </c>
      <c r="C15" s="514">
        <f>Stock_2018!C11/MI_2018!C15</f>
        <v>59287.271481281859</v>
      </c>
      <c r="D15" s="507">
        <f>C15/SUM(C$15:C$18)</f>
        <v>0.22356636001744076</v>
      </c>
      <c r="E15" s="500">
        <f>SUM(C15:C18)*1000</f>
        <v>265188695.99458867</v>
      </c>
      <c r="F15" s="494"/>
    </row>
    <row r="16" spans="1:6" x14ac:dyDescent="0.2">
      <c r="A16" s="497"/>
      <c r="B16" s="498" t="s">
        <v>267</v>
      </c>
      <c r="C16" s="514">
        <f>Stock_2018!C12/MI_2018!C16</f>
        <v>125270.08031453527</v>
      </c>
      <c r="D16" s="508">
        <f t="shared" ref="D16:D18" si="3">C16/SUM(C$15:C$18)</f>
        <v>0.47238092047894636</v>
      </c>
      <c r="E16" s="501"/>
      <c r="F16" s="494"/>
    </row>
    <row r="17" spans="1:6" x14ac:dyDescent="0.2">
      <c r="A17" s="497"/>
      <c r="B17" s="498" t="s">
        <v>268</v>
      </c>
      <c r="C17" s="514">
        <f>Stock_2018!C13/MI_2018!C17</f>
        <v>71994.182591910037</v>
      </c>
      <c r="D17" s="508">
        <f t="shared" si="3"/>
        <v>0.27148284855014754</v>
      </c>
      <c r="E17" s="501"/>
      <c r="F17" s="494"/>
    </row>
    <row r="18" spans="1:6" x14ac:dyDescent="0.2">
      <c r="A18" s="497"/>
      <c r="B18" s="498" t="s">
        <v>455</v>
      </c>
      <c r="C18" s="514">
        <f>Stock_2018!C14/MI_2018!C18</f>
        <v>8637.1616068614912</v>
      </c>
      <c r="D18" s="509">
        <f t="shared" si="3"/>
        <v>3.2569870953465294E-2</v>
      </c>
      <c r="E18" s="502"/>
      <c r="F18" s="494"/>
    </row>
    <row r="19" spans="1:6" x14ac:dyDescent="0.2">
      <c r="A19" s="497" t="s">
        <v>402</v>
      </c>
      <c r="B19" s="498" t="s">
        <v>266</v>
      </c>
      <c r="C19" s="514">
        <f>Stock_2018!C18/MI_2018!C19</f>
        <v>11112.999</v>
      </c>
      <c r="D19" s="507">
        <f>C19/SUM(C$19:C$22)</f>
        <v>0.10644386178671819</v>
      </c>
      <c r="E19" s="501">
        <f>SUM(C19:C22)*1000</f>
        <v>104402440.99999999</v>
      </c>
      <c r="F19" s="494"/>
    </row>
    <row r="20" spans="1:6" x14ac:dyDescent="0.2">
      <c r="A20" s="497"/>
      <c r="B20" s="498" t="s">
        <v>267</v>
      </c>
      <c r="C20" s="514">
        <f>Stock_2018!C19/MI_2018!C20</f>
        <v>12080.213999999987</v>
      </c>
      <c r="D20" s="508">
        <f t="shared" ref="D20:D22" si="4">C20/SUM(C$19:C$22)</f>
        <v>0.11570815667039805</v>
      </c>
      <c r="E20" s="501"/>
      <c r="F20" s="494"/>
    </row>
    <row r="21" spans="1:6" x14ac:dyDescent="0.2">
      <c r="A21" s="497"/>
      <c r="B21" s="498" t="s">
        <v>268</v>
      </c>
      <c r="C21" s="514">
        <f>Stock_2018!C20/MI_2018!C21</f>
        <v>45954.713000000003</v>
      </c>
      <c r="D21" s="508">
        <f t="shared" si="4"/>
        <v>0.44016895160525993</v>
      </c>
      <c r="E21" s="501"/>
      <c r="F21" s="494"/>
    </row>
    <row r="22" spans="1:6" x14ac:dyDescent="0.2">
      <c r="A22" s="497"/>
      <c r="B22" s="498" t="s">
        <v>455</v>
      </c>
      <c r="C22" s="514">
        <f>Stock_2018!C21/MI_2018!C22</f>
        <v>35254.515000000007</v>
      </c>
      <c r="D22" s="509">
        <f t="shared" si="4"/>
        <v>0.33767902993762389</v>
      </c>
      <c r="E22" s="501"/>
      <c r="F22" s="494"/>
    </row>
    <row r="23" spans="1:6" x14ac:dyDescent="0.2">
      <c r="A23" s="497" t="s">
        <v>403</v>
      </c>
      <c r="B23" s="498" t="s">
        <v>266</v>
      </c>
      <c r="C23" s="514">
        <f>Stock_2018!C14/MI_2018!C23</f>
        <v>7326.5530000000044</v>
      </c>
      <c r="D23" s="507">
        <f>C23/SUM(C$23:C$26)</f>
        <v>3.0963671054346113E-2</v>
      </c>
      <c r="E23" s="500">
        <f>SUM(C23:C26)*1000</f>
        <v>236617712</v>
      </c>
      <c r="F23" s="494"/>
    </row>
    <row r="24" spans="1:6" x14ac:dyDescent="0.2">
      <c r="A24" s="497"/>
      <c r="B24" s="498" t="s">
        <v>267</v>
      </c>
      <c r="C24" s="514">
        <f>Stock_2018!C15/MI_2018!C24</f>
        <v>28079.993000000013</v>
      </c>
      <c r="D24" s="508">
        <f t="shared" ref="D24:D26" si="5">C24/SUM(C$23:C$26)</f>
        <v>0.11867240521707019</v>
      </c>
      <c r="E24" s="501"/>
      <c r="F24" s="494"/>
    </row>
    <row r="25" spans="1:6" x14ac:dyDescent="0.2">
      <c r="A25" s="497"/>
      <c r="B25" s="498" t="s">
        <v>268</v>
      </c>
      <c r="C25" s="514">
        <f>Stock_2018!C16/MI_2018!C25</f>
        <v>115713.15000000004</v>
      </c>
      <c r="D25" s="508">
        <f t="shared" si="5"/>
        <v>0.48902995900830976</v>
      </c>
      <c r="E25" s="501"/>
      <c r="F25" s="494"/>
    </row>
    <row r="26" spans="1:6" x14ac:dyDescent="0.2">
      <c r="A26" s="497"/>
      <c r="B26" s="498" t="s">
        <v>455</v>
      </c>
      <c r="C26" s="514">
        <f>Stock_2018!C17/MI_2018!C26</f>
        <v>85498.015999999931</v>
      </c>
      <c r="D26" s="509">
        <f t="shared" si="5"/>
        <v>0.3613339647202739</v>
      </c>
      <c r="E26" s="502"/>
      <c r="F26" s="494"/>
    </row>
    <row r="27" spans="1:6" x14ac:dyDescent="0.2">
      <c r="A27" s="497" t="s">
        <v>404</v>
      </c>
      <c r="B27" s="498" t="s">
        <v>266</v>
      </c>
      <c r="C27" s="514">
        <f>Stock_2018!C22/MI_2018!C27</f>
        <v>5420.8989999999994</v>
      </c>
      <c r="D27" s="507">
        <f>C27/SUM(C$27:C$30)</f>
        <v>6.9278592827797802E-2</v>
      </c>
      <c r="E27" s="501">
        <f>SUM(C27:C30)*1000</f>
        <v>78247822</v>
      </c>
      <c r="F27" s="494"/>
    </row>
    <row r="28" spans="1:6" x14ac:dyDescent="0.2">
      <c r="A28" s="497"/>
      <c r="B28" s="498" t="s">
        <v>267</v>
      </c>
      <c r="C28" s="514">
        <f>Stock_2018!C23/MI_2018!C28</f>
        <v>14377.929000000004</v>
      </c>
      <c r="D28" s="508">
        <f t="shared" ref="D28:D30" si="6">C28/SUM(C$27:C$30)</f>
        <v>0.1837486160317664</v>
      </c>
      <c r="E28" s="503"/>
      <c r="F28" s="494"/>
    </row>
    <row r="29" spans="1:6" x14ac:dyDescent="0.2">
      <c r="A29" s="497"/>
      <c r="B29" s="498" t="s">
        <v>268</v>
      </c>
      <c r="C29" s="514">
        <f>Stock_2018!C24/MI_2018!C29</f>
        <v>36074.94200000001</v>
      </c>
      <c r="D29" s="508">
        <f t="shared" si="6"/>
        <v>0.46103445537436188</v>
      </c>
      <c r="E29" s="503"/>
      <c r="F29" s="494"/>
    </row>
    <row r="30" spans="1:6" ht="16" thickBot="1" x14ac:dyDescent="0.25">
      <c r="A30" s="495"/>
      <c r="B30" s="496" t="s">
        <v>455</v>
      </c>
      <c r="C30" s="515">
        <f>Stock_2018!C25/MI_2018!C30</f>
        <v>22374.051999999985</v>
      </c>
      <c r="D30" s="510">
        <f t="shared" si="6"/>
        <v>0.28593833576607391</v>
      </c>
      <c r="E30" s="504"/>
      <c r="F30" s="494"/>
    </row>
    <row r="31" spans="1:6" x14ac:dyDescent="0.2">
      <c r="D31" s="511"/>
    </row>
  </sheetData>
  <mergeCells count="1">
    <mergeCell ref="C1:E1"/>
  </mergeCells>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ED266-1B7F-4685-B863-6C081F955C48}">
  <sheetPr>
    <tabColor theme="4" tint="0.39997558519241921"/>
  </sheetPr>
  <dimension ref="A1:P32"/>
  <sheetViews>
    <sheetView zoomScale="70" zoomScaleNormal="70" workbookViewId="0">
      <selection activeCell="C12" sqref="C12"/>
    </sheetView>
  </sheetViews>
  <sheetFormatPr baseColWidth="10" defaultColWidth="8.83203125" defaultRowHeight="11" x14ac:dyDescent="0.15"/>
  <cols>
    <col min="1" max="2" width="8.83203125" style="130"/>
    <col min="3" max="3" width="11.83203125" style="130" bestFit="1" customWidth="1"/>
    <col min="4" max="6" width="9" style="130" bestFit="1" customWidth="1"/>
    <col min="7" max="7" width="11.83203125" style="130" bestFit="1" customWidth="1"/>
    <col min="8" max="9" width="13.1640625" style="130" bestFit="1" customWidth="1"/>
    <col min="10" max="10" width="11.83203125" style="130" bestFit="1" customWidth="1"/>
    <col min="11" max="15" width="9" style="130" bestFit="1" customWidth="1"/>
    <col min="16" max="16384" width="8.83203125" style="130"/>
  </cols>
  <sheetData>
    <row r="1" spans="1:16" ht="12" thickBot="1" x14ac:dyDescent="0.2">
      <c r="A1" s="312" t="s">
        <v>265</v>
      </c>
      <c r="B1" s="313"/>
      <c r="C1" s="314" t="s">
        <v>193</v>
      </c>
      <c r="D1" s="314" t="s">
        <v>87</v>
      </c>
      <c r="E1" s="314" t="s">
        <v>86</v>
      </c>
      <c r="F1" s="314" t="s">
        <v>218</v>
      </c>
      <c r="G1" s="314" t="s">
        <v>93</v>
      </c>
      <c r="H1" s="314" t="s">
        <v>88</v>
      </c>
      <c r="I1" s="314" t="s">
        <v>177</v>
      </c>
      <c r="J1" s="314" t="s">
        <v>191</v>
      </c>
      <c r="K1" s="314" t="s">
        <v>92</v>
      </c>
      <c r="L1" s="314" t="s">
        <v>205</v>
      </c>
      <c r="M1" s="314" t="s">
        <v>180</v>
      </c>
      <c r="N1" s="314" t="s">
        <v>94</v>
      </c>
      <c r="O1" s="313" t="s">
        <v>214</v>
      </c>
    </row>
    <row r="2" spans="1:16" x14ac:dyDescent="0.15">
      <c r="A2" s="132" t="s">
        <v>386</v>
      </c>
      <c r="B2" s="143" t="s">
        <v>266</v>
      </c>
      <c r="C2" s="315">
        <v>5968222.1011064705</v>
      </c>
      <c r="D2" s="315">
        <v>81740.930729537591</v>
      </c>
      <c r="E2" s="315">
        <v>13926.164149868</v>
      </c>
      <c r="F2" s="315">
        <v>244015.2107751921</v>
      </c>
      <c r="G2" s="315">
        <v>12446887.200668659</v>
      </c>
      <c r="H2" s="315">
        <v>127869509.6644053</v>
      </c>
      <c r="I2" s="315">
        <v>28312434.020747669</v>
      </c>
      <c r="J2" s="315">
        <v>33428766.499106202</v>
      </c>
      <c r="K2" s="315">
        <v>8348.5292702802635</v>
      </c>
      <c r="L2" s="315">
        <v>1713470.9878785319</v>
      </c>
      <c r="M2" s="315">
        <v>118549.29679163281</v>
      </c>
      <c r="N2" s="315">
        <v>1292579.2264586689</v>
      </c>
      <c r="O2" s="315">
        <v>146703.5289729347</v>
      </c>
      <c r="P2" s="142"/>
    </row>
    <row r="3" spans="1:16" x14ac:dyDescent="0.15">
      <c r="A3" s="132"/>
      <c r="B3" s="143" t="s">
        <v>267</v>
      </c>
      <c r="C3" s="315">
        <v>3792086.0963077303</v>
      </c>
      <c r="D3" s="315">
        <v>56730.660564671867</v>
      </c>
      <c r="E3" s="315">
        <v>15876.93257202329</v>
      </c>
      <c r="F3" s="315">
        <v>170796.74323465559</v>
      </c>
      <c r="G3" s="315">
        <v>4844764.6234758822</v>
      </c>
      <c r="H3" s="315">
        <v>92555388.275657684</v>
      </c>
      <c r="I3" s="315">
        <v>19649679.418322269</v>
      </c>
      <c r="J3" s="315">
        <v>25085749.993503682</v>
      </c>
      <c r="K3" s="315">
        <v>183603.94305668131</v>
      </c>
      <c r="L3" s="315">
        <v>1189200.3202457291</v>
      </c>
      <c r="M3" s="315">
        <v>100287.5637984488</v>
      </c>
      <c r="N3" s="315">
        <v>928101.51455330243</v>
      </c>
      <c r="O3" s="315">
        <v>123832.2194997067</v>
      </c>
    </row>
    <row r="4" spans="1:16" x14ac:dyDescent="0.15">
      <c r="A4" s="132"/>
      <c r="B4" s="143" t="s">
        <v>268</v>
      </c>
      <c r="C4" s="315">
        <v>6174535.92779285</v>
      </c>
      <c r="D4" s="315">
        <v>101513.0052479803</v>
      </c>
      <c r="E4" s="315">
        <v>25643.55591140264</v>
      </c>
      <c r="F4" s="315">
        <v>305621.16710332432</v>
      </c>
      <c r="G4" s="315">
        <v>3084344.7998839659</v>
      </c>
      <c r="H4" s="315">
        <v>166571546.8143957</v>
      </c>
      <c r="I4" s="315">
        <v>14064338.331913522</v>
      </c>
      <c r="J4" s="315">
        <v>87992797.419970959</v>
      </c>
      <c r="K4" s="315">
        <v>646708.4315548928</v>
      </c>
      <c r="L4" s="315">
        <v>325496.36365847744</v>
      </c>
      <c r="M4" s="315">
        <v>206784.78609684869</v>
      </c>
      <c r="N4" s="315">
        <v>1725099.240679112</v>
      </c>
      <c r="O4" s="315">
        <v>220402.87955134778</v>
      </c>
    </row>
    <row r="5" spans="1:16" x14ac:dyDescent="0.15">
      <c r="A5" s="132"/>
      <c r="B5" s="143" t="s">
        <v>269</v>
      </c>
      <c r="C5" s="315">
        <v>2892980.541449829</v>
      </c>
      <c r="D5" s="315">
        <v>47575.593824093579</v>
      </c>
      <c r="E5" s="315">
        <v>12018.23743929205</v>
      </c>
      <c r="F5" s="315">
        <v>143233.94795212679</v>
      </c>
      <c r="G5" s="315">
        <v>2101991.996654572</v>
      </c>
      <c r="H5" s="315">
        <v>78066255.988912791</v>
      </c>
      <c r="I5" s="315">
        <v>6591463.2932912754</v>
      </c>
      <c r="J5" s="315">
        <v>41239145.459951632</v>
      </c>
      <c r="K5" s="315">
        <v>303089.61484404805</v>
      </c>
      <c r="L5" s="315">
        <v>152548.7571844226</v>
      </c>
      <c r="M5" s="315">
        <v>96912.794260334253</v>
      </c>
      <c r="N5" s="315">
        <v>864509.61435397179</v>
      </c>
      <c r="O5" s="315">
        <v>108229.32908860011</v>
      </c>
    </row>
    <row r="6" spans="1:16" x14ac:dyDescent="0.15">
      <c r="A6" s="132" t="s">
        <v>387</v>
      </c>
      <c r="B6" s="143" t="s">
        <v>266</v>
      </c>
      <c r="C6" s="315">
        <v>3191676.8752633682</v>
      </c>
      <c r="D6" s="315">
        <v>21895.639953250138</v>
      </c>
      <c r="E6" s="315">
        <v>23581.034364882711</v>
      </c>
      <c r="F6" s="315">
        <v>91553.096686647696</v>
      </c>
      <c r="G6" s="315">
        <v>4034627.784694138</v>
      </c>
      <c r="H6" s="315">
        <v>71283115.916696161</v>
      </c>
      <c r="I6" s="315">
        <v>10145438.37848248</v>
      </c>
      <c r="J6" s="315">
        <v>18511534.212419659</v>
      </c>
      <c r="K6" s="315">
        <v>14354.469289834069</v>
      </c>
      <c r="L6" s="315">
        <v>172088.0791553655</v>
      </c>
      <c r="M6" s="315">
        <v>50972.603111941586</v>
      </c>
      <c r="N6" s="315">
        <v>823466.9005055523</v>
      </c>
      <c r="O6" s="315">
        <v>85598.59835845702</v>
      </c>
    </row>
    <row r="7" spans="1:16" x14ac:dyDescent="0.15">
      <c r="A7" s="132"/>
      <c r="B7" s="143" t="s">
        <v>267</v>
      </c>
      <c r="C7" s="315">
        <v>4275552.2200831957</v>
      </c>
      <c r="D7" s="315">
        <v>28256.450994202671</v>
      </c>
      <c r="E7" s="315">
        <v>38219.032267245821</v>
      </c>
      <c r="F7" s="315">
        <v>122215.79262608179</v>
      </c>
      <c r="G7" s="315">
        <v>3284808.6993065793</v>
      </c>
      <c r="H7" s="315">
        <v>98529731.897481412</v>
      </c>
      <c r="I7" s="315">
        <v>13092747.36743832</v>
      </c>
      <c r="J7" s="315">
        <v>24615086.830572359</v>
      </c>
      <c r="K7" s="315">
        <v>186007.00307542153</v>
      </c>
      <c r="L7" s="315">
        <v>222080.66928951591</v>
      </c>
      <c r="M7" s="315">
        <v>92077.12315840229</v>
      </c>
      <c r="N7" s="315">
        <v>1083436.418633471</v>
      </c>
      <c r="O7" s="315">
        <v>157659.4651217545</v>
      </c>
    </row>
    <row r="8" spans="1:16" x14ac:dyDescent="0.15">
      <c r="A8" s="132"/>
      <c r="B8" s="143" t="s">
        <v>268</v>
      </c>
      <c r="C8" s="315">
        <v>11422382.26138459</v>
      </c>
      <c r="D8" s="315">
        <v>73230.981395699258</v>
      </c>
      <c r="E8" s="315">
        <v>78771.264783404753</v>
      </c>
      <c r="F8" s="315">
        <v>316741.20850836829</v>
      </c>
      <c r="G8" s="315">
        <v>4230182.0410315096</v>
      </c>
      <c r="H8" s="315">
        <v>271778601.85292751</v>
      </c>
      <c r="I8" s="315">
        <v>13572755.31930775</v>
      </c>
      <c r="J8" s="315">
        <v>98118194.640798196</v>
      </c>
      <c r="K8" s="315">
        <v>916122.88918694924</v>
      </c>
      <c r="L8" s="315">
        <v>575556.54687213432</v>
      </c>
      <c r="M8" s="315">
        <v>389894.03817587328</v>
      </c>
      <c r="N8" s="315">
        <v>2884136.9084022697</v>
      </c>
      <c r="O8" s="315">
        <v>407714.75463844708</v>
      </c>
    </row>
    <row r="9" spans="1:16" x14ac:dyDescent="0.15">
      <c r="A9" s="132"/>
      <c r="B9" s="143" t="s">
        <v>269</v>
      </c>
      <c r="C9" s="315">
        <v>3515437.4734657467</v>
      </c>
      <c r="D9" s="315">
        <v>22544.223684852059</v>
      </c>
      <c r="E9" s="315">
        <v>24249.804923686021</v>
      </c>
      <c r="F9" s="315">
        <v>97509.066773784609</v>
      </c>
      <c r="G9" s="315">
        <v>2105977.6049035201</v>
      </c>
      <c r="H9" s="315">
        <v>83667287.753821909</v>
      </c>
      <c r="I9" s="315">
        <v>4178384.9691274152</v>
      </c>
      <c r="J9" s="315">
        <v>30205774.733286791</v>
      </c>
      <c r="K9" s="315">
        <v>282029.25787713774</v>
      </c>
      <c r="L9" s="315">
        <v>177185.60216821628</v>
      </c>
      <c r="M9" s="315">
        <v>120029.2313786108</v>
      </c>
      <c r="N9" s="315">
        <v>930346.69551398931</v>
      </c>
      <c r="O9" s="315">
        <v>131700.49770465211</v>
      </c>
    </row>
    <row r="10" spans="1:16" x14ac:dyDescent="0.15">
      <c r="A10" s="132" t="s">
        <v>388</v>
      </c>
      <c r="B10" s="143" t="s">
        <v>266</v>
      </c>
      <c r="C10" s="315">
        <v>4206599.0306862462</v>
      </c>
      <c r="D10" s="315">
        <v>19253.406511261481</v>
      </c>
      <c r="E10" s="315">
        <v>12544.707847330061</v>
      </c>
      <c r="F10" s="315">
        <v>45045.927952950435</v>
      </c>
      <c r="G10" s="315">
        <v>3046532.5674400986</v>
      </c>
      <c r="H10" s="315">
        <v>79213925.446280569</v>
      </c>
      <c r="I10" s="315">
        <v>7836583.7636810169</v>
      </c>
      <c r="J10" s="315">
        <v>15655316.887756219</v>
      </c>
      <c r="K10" s="315">
        <v>56760.418263850072</v>
      </c>
      <c r="L10" s="315">
        <v>379275.8918246493</v>
      </c>
      <c r="M10" s="315">
        <v>67249.576185596437</v>
      </c>
      <c r="N10" s="315">
        <v>1293829.5545445019</v>
      </c>
      <c r="O10" s="315">
        <v>131543.76741575659</v>
      </c>
    </row>
    <row r="11" spans="1:16" x14ac:dyDescent="0.15">
      <c r="A11" s="132"/>
      <c r="B11" s="143" t="s">
        <v>267</v>
      </c>
      <c r="C11" s="315">
        <v>3749776.067591243</v>
      </c>
      <c r="D11" s="315">
        <v>17182.229468733069</v>
      </c>
      <c r="E11" s="315">
        <v>11397.67268019061</v>
      </c>
      <c r="F11" s="315">
        <v>40200.131351659722</v>
      </c>
      <c r="G11" s="315">
        <v>1629318.4889619411</v>
      </c>
      <c r="H11" s="315">
        <v>76311711.843616292</v>
      </c>
      <c r="I11" s="315">
        <v>6993566.5878013391</v>
      </c>
      <c r="J11" s="315">
        <v>13963430.016886922</v>
      </c>
      <c r="K11" s="315">
        <v>244814.9865846746</v>
      </c>
      <c r="L11" s="315">
        <v>338475.44856427191</v>
      </c>
      <c r="M11" s="315">
        <v>78718.55470876467</v>
      </c>
      <c r="N11" s="315">
        <v>1183935.624990891</v>
      </c>
      <c r="O11" s="315">
        <v>272608.43491274951</v>
      </c>
    </row>
    <row r="12" spans="1:16" x14ac:dyDescent="0.15">
      <c r="A12" s="132"/>
      <c r="B12" s="143" t="s">
        <v>268</v>
      </c>
      <c r="C12" s="315">
        <v>7913953.7221215488</v>
      </c>
      <c r="D12" s="315">
        <v>29314.643885129299</v>
      </c>
      <c r="E12" s="315">
        <v>704507.06552116014</v>
      </c>
      <c r="F12" s="315">
        <v>69108.073687523836</v>
      </c>
      <c r="G12" s="315">
        <v>998644.16523083649</v>
      </c>
      <c r="H12" s="315">
        <v>161126333.6442703</v>
      </c>
      <c r="I12" s="315">
        <v>2264944.7856795103</v>
      </c>
      <c r="J12" s="315">
        <v>17990593.446514029</v>
      </c>
      <c r="K12" s="315">
        <v>748937.23446751153</v>
      </c>
      <c r="L12" s="315">
        <v>560835.42948783468</v>
      </c>
      <c r="M12" s="315">
        <v>209839.1244683743</v>
      </c>
      <c r="N12" s="315">
        <v>1414732.0979797221</v>
      </c>
      <c r="O12" s="315">
        <v>486428.84451934928</v>
      </c>
    </row>
    <row r="13" spans="1:16" x14ac:dyDescent="0.15">
      <c r="A13" s="132"/>
      <c r="B13" s="143" t="s">
        <v>269</v>
      </c>
      <c r="C13" s="315">
        <v>5626348.3952637836</v>
      </c>
      <c r="D13" s="315">
        <v>20846.232695901723</v>
      </c>
      <c r="E13" s="315">
        <v>500989.13980705146</v>
      </c>
      <c r="F13" s="315">
        <v>49144.140754391083</v>
      </c>
      <c r="G13" s="315">
        <v>710155.94562167092</v>
      </c>
      <c r="H13" s="315">
        <v>114580175.6196616</v>
      </c>
      <c r="I13" s="315">
        <v>1610647.7783138221</v>
      </c>
      <c r="J13" s="315">
        <v>12793472.73645865</v>
      </c>
      <c r="K13" s="315">
        <v>532584.32630166574</v>
      </c>
      <c r="L13" s="315">
        <v>398821.35061992507</v>
      </c>
      <c r="M13" s="315">
        <v>149220.82064217172</v>
      </c>
      <c r="N13" s="315">
        <v>571525.31838811375</v>
      </c>
      <c r="O13" s="315">
        <v>340291.34916337871</v>
      </c>
    </row>
    <row r="14" spans="1:16" x14ac:dyDescent="0.15">
      <c r="A14" s="132" t="s">
        <v>389</v>
      </c>
      <c r="B14" s="143" t="s">
        <v>266</v>
      </c>
      <c r="C14" s="315">
        <v>674823.84138484742</v>
      </c>
      <c r="D14" s="315">
        <v>1789.487595062064</v>
      </c>
      <c r="E14" s="315">
        <v>934.94513829137827</v>
      </c>
      <c r="F14" s="315">
        <v>1335.5116200172649</v>
      </c>
      <c r="G14" s="315">
        <v>567919.77625326591</v>
      </c>
      <c r="H14" s="315">
        <v>5983373.2478180472</v>
      </c>
      <c r="I14" s="315">
        <v>73403.032187231584</v>
      </c>
      <c r="J14" s="315">
        <v>292210.141747588</v>
      </c>
      <c r="K14" s="315">
        <v>583.92050124549144</v>
      </c>
      <c r="L14" s="315">
        <v>1464.7895080780729</v>
      </c>
      <c r="M14" s="315">
        <v>13787.50589716437</v>
      </c>
      <c r="N14" s="315">
        <v>90768.247514969407</v>
      </c>
      <c r="O14" s="315">
        <v>2904.861054122704</v>
      </c>
    </row>
    <row r="15" spans="1:16" x14ac:dyDescent="0.15">
      <c r="A15" s="132"/>
      <c r="B15" s="143" t="s">
        <v>267</v>
      </c>
      <c r="C15" s="315">
        <v>2412843.5155824278</v>
      </c>
      <c r="D15" s="315">
        <v>6858.4502347733805</v>
      </c>
      <c r="E15" s="315">
        <v>3986.0853393387861</v>
      </c>
      <c r="F15" s="315">
        <v>5118.5266716153546</v>
      </c>
      <c r="G15" s="315">
        <v>1098358.515447814</v>
      </c>
      <c r="H15" s="315">
        <v>22919991.434965517</v>
      </c>
      <c r="I15" s="315">
        <v>281326.92549910402</v>
      </c>
      <c r="J15" s="315">
        <v>1119934.399546592</v>
      </c>
      <c r="K15" s="315">
        <v>14522.951711795089</v>
      </c>
      <c r="L15" s="315">
        <v>5614.0014456055615</v>
      </c>
      <c r="M15" s="315">
        <v>59431.535995128579</v>
      </c>
      <c r="N15" s="315">
        <v>439115.52989818668</v>
      </c>
      <c r="O15" s="315">
        <v>10974.327009095261</v>
      </c>
    </row>
    <row r="16" spans="1:16" x14ac:dyDescent="0.15">
      <c r="A16" s="132"/>
      <c r="B16" s="143" t="s">
        <v>268</v>
      </c>
      <c r="C16" s="315">
        <v>9277077.5557835903</v>
      </c>
      <c r="D16" s="315">
        <v>28262.574024995909</v>
      </c>
      <c r="E16" s="315">
        <v>51719.750241114962</v>
      </c>
      <c r="F16" s="315">
        <v>21094.732522182891</v>
      </c>
      <c r="G16" s="315">
        <v>93661.113608866552</v>
      </c>
      <c r="H16" s="315">
        <v>94798368.187058464</v>
      </c>
      <c r="I16" s="315">
        <v>465632.65415308322</v>
      </c>
      <c r="J16" s="315">
        <v>5885845.9839108437</v>
      </c>
      <c r="K16" s="315">
        <v>110471.2651402254</v>
      </c>
      <c r="L16" s="315">
        <v>23134.40004687944</v>
      </c>
      <c r="M16" s="315">
        <v>243807.2462207248</v>
      </c>
      <c r="N16" s="315">
        <v>2336095.9497279967</v>
      </c>
      <c r="O16" s="315">
        <v>36260.933608670799</v>
      </c>
    </row>
    <row r="17" spans="1:15" x14ac:dyDescent="0.15">
      <c r="A17" s="132"/>
      <c r="B17" s="143" t="s">
        <v>269</v>
      </c>
      <c r="C17" s="315">
        <v>6854488.3399004936</v>
      </c>
      <c r="D17" s="315">
        <v>20882.622296517588</v>
      </c>
      <c r="E17" s="315">
        <v>38214.637088618227</v>
      </c>
      <c r="F17" s="315">
        <v>15586.454769378539</v>
      </c>
      <c r="G17" s="315">
        <v>69204.229509858589</v>
      </c>
      <c r="H17" s="315">
        <v>70044523.029845908</v>
      </c>
      <c r="I17" s="315">
        <v>344046.18761915021</v>
      </c>
      <c r="J17" s="315">
        <v>4348927.9663196886</v>
      </c>
      <c r="K17" s="315">
        <v>81624.897382010793</v>
      </c>
      <c r="L17" s="315">
        <v>17093.52226050794</v>
      </c>
      <c r="M17" s="315">
        <v>180144.05310282778</v>
      </c>
      <c r="N17" s="315">
        <v>2664388.1963584181</v>
      </c>
      <c r="O17" s="315">
        <v>26202.69497586511</v>
      </c>
    </row>
    <row r="18" spans="1:15" x14ac:dyDescent="0.15">
      <c r="A18" s="132" t="s">
        <v>390</v>
      </c>
      <c r="B18" s="143" t="s">
        <v>266</v>
      </c>
      <c r="C18" s="315">
        <v>821929.16935565299</v>
      </c>
      <c r="D18" s="315">
        <v>3761.3840232263292</v>
      </c>
      <c r="E18" s="315">
        <v>1092.591316511634</v>
      </c>
      <c r="F18" s="315">
        <v>8629.055488663711</v>
      </c>
      <c r="G18" s="315">
        <v>553266.29178391024</v>
      </c>
      <c r="H18" s="315">
        <v>10233130.454660311</v>
      </c>
      <c r="I18" s="315">
        <v>961709.50788733375</v>
      </c>
      <c r="J18" s="315">
        <v>3383609.1434852593</v>
      </c>
      <c r="K18" s="315">
        <v>18487.923084066802</v>
      </c>
      <c r="L18" s="315">
        <v>58711.30373457828</v>
      </c>
      <c r="M18" s="315">
        <v>14683.946311014621</v>
      </c>
      <c r="N18" s="315">
        <v>220993.6873069022</v>
      </c>
      <c r="O18" s="315">
        <v>23442.490045868562</v>
      </c>
    </row>
    <row r="19" spans="1:15" x14ac:dyDescent="0.15">
      <c r="A19" s="132"/>
      <c r="B19" s="143" t="s">
        <v>267</v>
      </c>
      <c r="C19" s="315">
        <v>894470.22444047721</v>
      </c>
      <c r="D19" s="315">
        <v>4088.7544340420659</v>
      </c>
      <c r="E19" s="315">
        <v>1034.62976882916</v>
      </c>
      <c r="F19" s="315">
        <v>9380.0815532271972</v>
      </c>
      <c r="G19" s="315">
        <v>306332.26669456909</v>
      </c>
      <c r="H19" s="315">
        <v>11820194.98515272</v>
      </c>
      <c r="I19" s="315">
        <v>1045411.473636745</v>
      </c>
      <c r="J19" s="315">
        <v>3678100.0831241542</v>
      </c>
      <c r="K19" s="315">
        <v>63307.94585055505</v>
      </c>
      <c r="L19" s="315">
        <v>63821.216337075661</v>
      </c>
      <c r="M19" s="315">
        <v>20230.429621018582</v>
      </c>
      <c r="N19" s="315">
        <v>251921.8975200094</v>
      </c>
      <c r="O19" s="315">
        <v>24302.87893907824</v>
      </c>
    </row>
    <row r="20" spans="1:15" x14ac:dyDescent="0.15">
      <c r="A20" s="132"/>
      <c r="B20" s="143" t="s">
        <v>268</v>
      </c>
      <c r="C20" s="315">
        <v>4061643.8412712221</v>
      </c>
      <c r="D20" s="315">
        <v>15554.15628761878</v>
      </c>
      <c r="E20" s="315">
        <v>328388.48340165272</v>
      </c>
      <c r="F20" s="315">
        <v>36095.189547876616</v>
      </c>
      <c r="G20" s="315">
        <v>145175.61891929031</v>
      </c>
      <c r="H20" s="315">
        <v>59808389.727335602</v>
      </c>
      <c r="I20" s="315">
        <v>1782387.8051913241</v>
      </c>
      <c r="J20" s="315">
        <v>13435220.1888412</v>
      </c>
      <c r="K20" s="315">
        <v>405211.7433469597</v>
      </c>
      <c r="L20" s="315">
        <v>242784.2486963578</v>
      </c>
      <c r="M20" s="315">
        <v>81678.912633423955</v>
      </c>
      <c r="N20" s="315">
        <v>716193.18610489543</v>
      </c>
      <c r="O20" s="315">
        <v>101413.29094303871</v>
      </c>
    </row>
    <row r="21" spans="1:15" x14ac:dyDescent="0.15">
      <c r="A21" s="132"/>
      <c r="B21" s="143" t="s">
        <v>269</v>
      </c>
      <c r="C21" s="315">
        <v>3115231.0432621688</v>
      </c>
      <c r="D21" s="315">
        <v>11932.491802401209</v>
      </c>
      <c r="E21" s="315">
        <v>251925.77557629001</v>
      </c>
      <c r="F21" s="315">
        <v>27690.705006545428</v>
      </c>
      <c r="G21" s="315">
        <v>111372.60360704259</v>
      </c>
      <c r="H21" s="315">
        <v>45882470.700408868</v>
      </c>
      <c r="I21" s="315">
        <v>1367372.648240339</v>
      </c>
      <c r="J21" s="315">
        <v>10306933.516825689</v>
      </c>
      <c r="K21" s="315">
        <v>310861.33611587458</v>
      </c>
      <c r="L21" s="315">
        <v>186253.82204931779</v>
      </c>
      <c r="M21" s="315">
        <v>62660.612212260676</v>
      </c>
      <c r="N21" s="315">
        <v>405031.71969993791</v>
      </c>
      <c r="O21" s="315">
        <v>75074.037365744996</v>
      </c>
    </row>
    <row r="22" spans="1:15" x14ac:dyDescent="0.15">
      <c r="A22" s="132" t="s">
        <v>391</v>
      </c>
      <c r="B22" s="143" t="s">
        <v>266</v>
      </c>
      <c r="C22" s="315">
        <v>414002.85756746092</v>
      </c>
      <c r="D22" s="315">
        <v>1743.9950685268579</v>
      </c>
      <c r="E22" s="315">
        <v>594.44182317363413</v>
      </c>
      <c r="F22" s="315">
        <v>4085.3377075494909</v>
      </c>
      <c r="G22" s="315">
        <v>306912.41989796108</v>
      </c>
      <c r="H22" s="315">
        <v>6746084.2876568222</v>
      </c>
      <c r="I22" s="315">
        <v>767283.49797530391</v>
      </c>
      <c r="J22" s="315">
        <v>1239410.6469514119</v>
      </c>
      <c r="K22" s="315">
        <v>4394.9015191957924</v>
      </c>
      <c r="L22" s="315">
        <v>66489.715963078022</v>
      </c>
      <c r="M22" s="315">
        <v>6146.1208096965283</v>
      </c>
      <c r="N22" s="315">
        <v>96008.246368301378</v>
      </c>
      <c r="O22" s="315">
        <v>11029.13178603825</v>
      </c>
    </row>
    <row r="23" spans="1:15" x14ac:dyDescent="0.15">
      <c r="A23" s="132"/>
      <c r="B23" s="143" t="s">
        <v>267</v>
      </c>
      <c r="C23" s="315">
        <v>1089836.6482117332</v>
      </c>
      <c r="D23" s="315">
        <v>4625.6234015113168</v>
      </c>
      <c r="E23" s="315">
        <v>1515.6778143583599</v>
      </c>
      <c r="F23" s="315">
        <v>11026.153751000789</v>
      </c>
      <c r="G23" s="315">
        <v>449362.70720421651</v>
      </c>
      <c r="H23" s="315">
        <v>18967080.727936178</v>
      </c>
      <c r="I23" s="315">
        <v>2035077.144355682</v>
      </c>
      <c r="J23" s="315">
        <v>3287306.8256227421</v>
      </c>
      <c r="K23" s="315">
        <v>37796.890296754005</v>
      </c>
      <c r="L23" s="315">
        <v>176351.6374954232</v>
      </c>
      <c r="M23" s="315">
        <v>19218.8954425392</v>
      </c>
      <c r="N23" s="315">
        <v>261143.87881708448</v>
      </c>
      <c r="O23" s="315">
        <v>46925.376924824515</v>
      </c>
    </row>
    <row r="24" spans="1:15" x14ac:dyDescent="0.15">
      <c r="A24" s="132"/>
      <c r="B24" s="143" t="s">
        <v>268</v>
      </c>
      <c r="C24" s="315">
        <v>2792936.1503185993</v>
      </c>
      <c r="D24" s="315">
        <v>11643.188934002141</v>
      </c>
      <c r="E24" s="315">
        <v>221571.5308281247</v>
      </c>
      <c r="F24" s="315">
        <v>27834.352542886802</v>
      </c>
      <c r="G24" s="315">
        <v>219965.28702203211</v>
      </c>
      <c r="H24" s="315">
        <v>49743548.546071857</v>
      </c>
      <c r="I24" s="315">
        <v>2042444.0806929381</v>
      </c>
      <c r="J24" s="315">
        <v>11793331.518537629</v>
      </c>
      <c r="K24" s="315">
        <v>147532.4506893667</v>
      </c>
      <c r="L24" s="315">
        <v>211281.8958885805</v>
      </c>
      <c r="M24" s="315">
        <v>60107.250066522189</v>
      </c>
      <c r="N24" s="315">
        <v>495007.01631364453</v>
      </c>
      <c r="O24" s="315">
        <v>114948.62492062179</v>
      </c>
    </row>
    <row r="25" spans="1:15" x14ac:dyDescent="0.15">
      <c r="A25" s="132"/>
      <c r="B25" s="143" t="s">
        <v>269</v>
      </c>
      <c r="C25" s="315">
        <v>1732219.1560057839</v>
      </c>
      <c r="D25" s="315">
        <v>7221.2261534665367</v>
      </c>
      <c r="E25" s="315">
        <v>137420.95420328222</v>
      </c>
      <c r="F25" s="315">
        <v>17263.15322089447</v>
      </c>
      <c r="G25" s="315">
        <v>165913.22034068982</v>
      </c>
      <c r="H25" s="315">
        <v>30851463.096859191</v>
      </c>
      <c r="I25" s="315">
        <v>1266744.9352660361</v>
      </c>
      <c r="J25" s="315">
        <v>7314346.1366895596</v>
      </c>
      <c r="K25" s="315">
        <v>98791.605368450313</v>
      </c>
      <c r="L25" s="315">
        <v>131039.2162313023</v>
      </c>
      <c r="M25" s="315">
        <v>37395.785192527517</v>
      </c>
      <c r="N25" s="315">
        <v>199654.01810584459</v>
      </c>
      <c r="O25" s="315">
        <v>69952.419225238205</v>
      </c>
    </row>
    <row r="26" spans="1:15" x14ac:dyDescent="0.15">
      <c r="A26" s="132" t="s">
        <v>392</v>
      </c>
      <c r="B26" s="143" t="s">
        <v>266</v>
      </c>
      <c r="C26" s="315">
        <v>72442.644652072355</v>
      </c>
      <c r="D26" s="315">
        <v>322.9568234512472</v>
      </c>
      <c r="E26" s="315">
        <v>182.4222848164878</v>
      </c>
      <c r="F26" s="315">
        <v>718.92930017586582</v>
      </c>
      <c r="G26" s="315">
        <v>66777.097387846719</v>
      </c>
      <c r="H26" s="315">
        <v>1711591.0823702321</v>
      </c>
      <c r="I26" s="315">
        <v>267163.27475958609</v>
      </c>
      <c r="J26" s="315">
        <v>430287.13489202363</v>
      </c>
      <c r="K26" s="315">
        <v>17177.731698758787</v>
      </c>
      <c r="L26" s="315">
        <v>29339.267989082648</v>
      </c>
      <c r="M26" s="315">
        <v>2336.9362610263079</v>
      </c>
      <c r="N26" s="315">
        <v>26321.383691111871</v>
      </c>
      <c r="O26" s="315">
        <v>3135.0935818381831</v>
      </c>
    </row>
    <row r="27" spans="1:15" x14ac:dyDescent="0.15">
      <c r="A27" s="132"/>
      <c r="B27" s="143" t="s">
        <v>267</v>
      </c>
      <c r="C27" s="315">
        <v>125796.46186278779</v>
      </c>
      <c r="D27" s="315">
        <v>559.61804014128552</v>
      </c>
      <c r="E27" s="315">
        <v>353.46596215797126</v>
      </c>
      <c r="F27" s="315">
        <v>1337.2105384716001</v>
      </c>
      <c r="G27" s="315">
        <v>65943.292233923348</v>
      </c>
      <c r="H27" s="315">
        <v>3157950.4655066761</v>
      </c>
      <c r="I27" s="315">
        <v>462939.24562723114</v>
      </c>
      <c r="J27" s="315">
        <v>745462.9516334919</v>
      </c>
      <c r="K27" s="315">
        <v>38248.288569820019</v>
      </c>
      <c r="L27" s="315">
        <v>50838.94334782166</v>
      </c>
      <c r="M27" s="315">
        <v>4786.5189546102547</v>
      </c>
      <c r="N27" s="315">
        <v>46481.502198262162</v>
      </c>
      <c r="O27" s="315">
        <v>8566.0642705865102</v>
      </c>
    </row>
    <row r="28" spans="1:15" x14ac:dyDescent="0.15">
      <c r="A28" s="132"/>
      <c r="B28" s="143" t="s">
        <v>268</v>
      </c>
      <c r="C28" s="315">
        <v>596437.00571045897</v>
      </c>
      <c r="D28" s="315">
        <v>2575.633186080549</v>
      </c>
      <c r="E28" s="315">
        <v>18265.185314171602</v>
      </c>
      <c r="F28" s="315">
        <v>6143.6328147149961</v>
      </c>
      <c r="G28" s="315">
        <v>117566.54184400331</v>
      </c>
      <c r="H28" s="315">
        <v>15001027.80640468</v>
      </c>
      <c r="I28" s="315">
        <v>850764.68030401214</v>
      </c>
      <c r="J28" s="315">
        <v>4506950.9704434862</v>
      </c>
      <c r="K28" s="315">
        <v>214699.64798169403</v>
      </c>
      <c r="L28" s="315">
        <v>60133.735301290202</v>
      </c>
      <c r="M28" s="315">
        <v>22482.975330222351</v>
      </c>
      <c r="N28" s="315">
        <v>153388.55836835259</v>
      </c>
      <c r="O28" s="315">
        <v>38874.145159517255</v>
      </c>
    </row>
    <row r="29" spans="1:15" ht="12" thickBot="1" x14ac:dyDescent="0.2">
      <c r="A29" s="144"/>
      <c r="B29" s="145" t="s">
        <v>269</v>
      </c>
      <c r="C29" s="315">
        <v>348173.32829072559</v>
      </c>
      <c r="D29" s="315">
        <v>1504.148240236025</v>
      </c>
      <c r="E29" s="315">
        <v>10666.715468790719</v>
      </c>
      <c r="F29" s="315">
        <v>3587.8301836031978</v>
      </c>
      <c r="G29" s="315">
        <v>102754.7762989386</v>
      </c>
      <c r="H29" s="315">
        <v>8760474.7829296105</v>
      </c>
      <c r="I29" s="315">
        <v>496839.45821554796</v>
      </c>
      <c r="J29" s="315">
        <v>2632021.6743824091</v>
      </c>
      <c r="K29" s="315">
        <v>125382.7988535864</v>
      </c>
      <c r="L29" s="315">
        <v>35117.598507843548</v>
      </c>
      <c r="M29" s="315">
        <v>13129.86956410739</v>
      </c>
      <c r="N29" s="315">
        <v>56871.692440583014</v>
      </c>
      <c r="O29" s="315">
        <v>22568.040042236189</v>
      </c>
    </row>
    <row r="32" spans="1:15" x14ac:dyDescent="0.15">
      <c r="H32" s="14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B30E-EEE8-4876-8F54-0E333A39E59D}">
  <sheetPr>
    <tabColor theme="4" tint="0.39997558519241921"/>
  </sheetPr>
  <dimension ref="A1:R56"/>
  <sheetViews>
    <sheetView zoomScale="70" zoomScaleNormal="70" workbookViewId="0">
      <selection activeCell="Z63" sqref="Z63"/>
    </sheetView>
  </sheetViews>
  <sheetFormatPr baseColWidth="10" defaultColWidth="8.83203125" defaultRowHeight="15" x14ac:dyDescent="0.2"/>
  <cols>
    <col min="4" max="20" width="9.33203125" bestFit="1" customWidth="1"/>
    <col min="21" max="21" width="9" bestFit="1" customWidth="1"/>
  </cols>
  <sheetData>
    <row r="1" spans="1:18" ht="57" thickBot="1" x14ac:dyDescent="0.25">
      <c r="A1" s="168"/>
      <c r="B1" s="169"/>
      <c r="C1" s="170" t="s">
        <v>265</v>
      </c>
      <c r="D1" s="171" t="s">
        <v>88</v>
      </c>
      <c r="E1" s="171" t="s">
        <v>177</v>
      </c>
      <c r="F1" s="171" t="s">
        <v>191</v>
      </c>
      <c r="G1" s="172" t="s">
        <v>270</v>
      </c>
      <c r="H1" s="171" t="s">
        <v>193</v>
      </c>
      <c r="I1" s="171" t="s">
        <v>94</v>
      </c>
      <c r="J1" s="171" t="s">
        <v>205</v>
      </c>
      <c r="K1" s="171" t="s">
        <v>92</v>
      </c>
      <c r="L1" s="171" t="s">
        <v>93</v>
      </c>
      <c r="M1" s="171" t="s">
        <v>214</v>
      </c>
      <c r="N1" s="171" t="s">
        <v>180</v>
      </c>
      <c r="O1" s="171" t="s">
        <v>86</v>
      </c>
      <c r="P1" s="171" t="s">
        <v>87</v>
      </c>
      <c r="Q1" s="171" t="s">
        <v>218</v>
      </c>
      <c r="R1" s="173" t="s">
        <v>220</v>
      </c>
    </row>
    <row r="2" spans="1:18" ht="16" thickBot="1" x14ac:dyDescent="0.25">
      <c r="A2" s="575">
        <v>2018</v>
      </c>
      <c r="B2" s="576"/>
      <c r="C2" s="576"/>
      <c r="D2" s="174">
        <v>1849352203.1438973</v>
      </c>
      <c r="E2" s="174">
        <v>140745823.90681067</v>
      </c>
      <c r="F2" s="174">
        <v>485685039.4288277</v>
      </c>
      <c r="G2" s="174"/>
      <c r="H2" s="174">
        <v>96871053.055601045</v>
      </c>
      <c r="I2" s="174">
        <v>23172020.688739762</v>
      </c>
      <c r="J2" s="174">
        <v>7389075.2166058589</v>
      </c>
      <c r="K2" s="174">
        <v>5416948.9347794484</v>
      </c>
      <c r="L2" s="174">
        <v>46605679.968162902</v>
      </c>
      <c r="M2" s="174">
        <v>3156144.7357453415</v>
      </c>
      <c r="N2" s="174">
        <v>2479827.8062818483</v>
      </c>
      <c r="O2" s="174">
        <v>2500124.1148071233</v>
      </c>
      <c r="P2" s="174">
        <v>638447.95321145724</v>
      </c>
      <c r="Q2" s="174">
        <v>1880323.7618085449</v>
      </c>
      <c r="R2" s="175"/>
    </row>
    <row r="3" spans="1:18" x14ac:dyDescent="0.2">
      <c r="A3" s="577" t="s">
        <v>235</v>
      </c>
      <c r="B3" s="573" t="s">
        <v>271</v>
      </c>
      <c r="C3" s="37" t="s">
        <v>369</v>
      </c>
      <c r="D3" s="78">
        <v>2059340294.5910196</v>
      </c>
      <c r="E3" s="78">
        <v>181817072.40736803</v>
      </c>
      <c r="F3" s="78">
        <v>482349679.56258398</v>
      </c>
      <c r="G3" s="78">
        <v>15671348.1587763</v>
      </c>
      <c r="H3" s="78">
        <v>98473121.597620979</v>
      </c>
      <c r="I3" s="78">
        <v>26634589.094192185</v>
      </c>
      <c r="J3" s="78">
        <v>9839288.003945956</v>
      </c>
      <c r="K3" s="78">
        <v>7251264.3089329759</v>
      </c>
      <c r="L3" s="78">
        <v>60950535.998292834</v>
      </c>
      <c r="M3" s="78">
        <v>3809309.0487688063</v>
      </c>
      <c r="N3" s="78">
        <v>3139684.2127067875</v>
      </c>
      <c r="O3" s="78">
        <v>2796047.8623548453</v>
      </c>
      <c r="P3" s="78">
        <v>734388.32855684659</v>
      </c>
      <c r="Q3" s="78">
        <v>1784398.7839174918</v>
      </c>
      <c r="R3" s="81">
        <v>101327.10855100733</v>
      </c>
    </row>
    <row r="4" spans="1:18" x14ac:dyDescent="0.2">
      <c r="A4" s="571"/>
      <c r="B4" s="574"/>
      <c r="C4" s="11" t="s">
        <v>272</v>
      </c>
      <c r="D4" s="75">
        <v>2110164480.1586919</v>
      </c>
      <c r="E4" s="75">
        <v>182354612.33709493</v>
      </c>
      <c r="F4" s="75">
        <v>504288391.48038042</v>
      </c>
      <c r="G4" s="75">
        <v>14810911.979518406</v>
      </c>
      <c r="H4" s="75">
        <v>100721444.67831056</v>
      </c>
      <c r="I4" s="75">
        <v>27630226.939825572</v>
      </c>
      <c r="J4" s="75">
        <v>9633116.4784094188</v>
      </c>
      <c r="K4" s="75">
        <v>7407873.589722611</v>
      </c>
      <c r="L4" s="75">
        <v>62523420.064931422</v>
      </c>
      <c r="M4" s="75">
        <v>3873335.1330860774</v>
      </c>
      <c r="N4" s="75">
        <v>3165650.6360088917</v>
      </c>
      <c r="O4" s="75">
        <v>2807096.0265971115</v>
      </c>
      <c r="P4" s="75">
        <v>754246.38124760916</v>
      </c>
      <c r="Q4" s="75">
        <v>1866097.9932809216</v>
      </c>
      <c r="R4" s="85">
        <v>109333.68255917942</v>
      </c>
    </row>
    <row r="5" spans="1:18" x14ac:dyDescent="0.2">
      <c r="A5" s="571"/>
      <c r="B5" s="574"/>
      <c r="C5" s="11" t="s">
        <v>273</v>
      </c>
      <c r="D5" s="75">
        <v>2188916476.4784822</v>
      </c>
      <c r="E5" s="75">
        <v>183717801.05865309</v>
      </c>
      <c r="F5" s="75">
        <v>524547963.69138891</v>
      </c>
      <c r="G5" s="75">
        <v>14867568.179068562</v>
      </c>
      <c r="H5" s="75">
        <v>104811427.39024031</v>
      </c>
      <c r="I5" s="75">
        <v>29568111.850266252</v>
      </c>
      <c r="J5" s="75">
        <v>9438201.0409480873</v>
      </c>
      <c r="K5" s="75">
        <v>7818637.307390539</v>
      </c>
      <c r="L5" s="75">
        <v>65426380.233674407</v>
      </c>
      <c r="M5" s="75">
        <v>4030321.4703223929</v>
      </c>
      <c r="N5" s="75">
        <v>3234923.0841068267</v>
      </c>
      <c r="O5" s="75">
        <v>2967496.3754641968</v>
      </c>
      <c r="P5" s="75">
        <v>779987.23890465393</v>
      </c>
      <c r="Q5" s="75">
        <v>1924120.8576407654</v>
      </c>
      <c r="R5" s="85">
        <v>131027.97462448188</v>
      </c>
    </row>
    <row r="6" spans="1:18" x14ac:dyDescent="0.2">
      <c r="A6" s="571"/>
      <c r="B6" s="574" t="s">
        <v>274</v>
      </c>
      <c r="C6" s="11" t="s">
        <v>369</v>
      </c>
      <c r="D6" s="75">
        <v>1935743607.9259048</v>
      </c>
      <c r="E6" s="75">
        <v>158792101.02063182</v>
      </c>
      <c r="F6" s="75">
        <v>484062744.27649868</v>
      </c>
      <c r="G6" s="75">
        <v>6766764.3033059463</v>
      </c>
      <c r="H6" s="75">
        <v>97548842.014210522</v>
      </c>
      <c r="I6" s="75">
        <v>24462326.11737857</v>
      </c>
      <c r="J6" s="75">
        <v>8510971.838246407</v>
      </c>
      <c r="K6" s="75">
        <v>6157584.422034556</v>
      </c>
      <c r="L6" s="75">
        <v>52415421.142958008</v>
      </c>
      <c r="M6" s="75">
        <v>3427357.5029929248</v>
      </c>
      <c r="N6" s="75">
        <v>2758932.1945143677</v>
      </c>
      <c r="O6" s="75">
        <v>2644176.7701196056</v>
      </c>
      <c r="P6" s="75">
        <v>679508.09950673603</v>
      </c>
      <c r="Q6" s="75">
        <v>1839566.8828260885</v>
      </c>
      <c r="R6" s="85">
        <v>39484.476841821073</v>
      </c>
    </row>
    <row r="7" spans="1:18" x14ac:dyDescent="0.2">
      <c r="A7" s="571"/>
      <c r="B7" s="574"/>
      <c r="C7" s="11" t="s">
        <v>272</v>
      </c>
      <c r="D7" s="75">
        <v>1953512413.168288</v>
      </c>
      <c r="E7" s="75">
        <v>159321781.87959987</v>
      </c>
      <c r="F7" s="75">
        <v>492272164.31177479</v>
      </c>
      <c r="G7" s="75">
        <v>6488522.5931308158</v>
      </c>
      <c r="H7" s="75">
        <v>98354081.727452219</v>
      </c>
      <c r="I7" s="75">
        <v>24744138.854619775</v>
      </c>
      <c r="J7" s="75">
        <v>8470410.6689278334</v>
      </c>
      <c r="K7" s="75">
        <v>6210979.0289435945</v>
      </c>
      <c r="L7" s="75">
        <v>52909657.247833952</v>
      </c>
      <c r="M7" s="75">
        <v>3448019.0152159757</v>
      </c>
      <c r="N7" s="75">
        <v>2770920.2864673068</v>
      </c>
      <c r="O7" s="75">
        <v>2648623.9368113601</v>
      </c>
      <c r="P7" s="75">
        <v>686682.84630233655</v>
      </c>
      <c r="Q7" s="75">
        <v>1871231.2137930491</v>
      </c>
      <c r="R7" s="85">
        <v>40859.075215163561</v>
      </c>
    </row>
    <row r="8" spans="1:18" ht="16" thickBot="1" x14ac:dyDescent="0.25">
      <c r="A8" s="571"/>
      <c r="B8" s="574"/>
      <c r="C8" s="11" t="s">
        <v>273</v>
      </c>
      <c r="D8" s="76">
        <v>1992868879.2426949</v>
      </c>
      <c r="E8" s="76">
        <v>159403038.69024494</v>
      </c>
      <c r="F8" s="76">
        <v>502363859.59801471</v>
      </c>
      <c r="G8" s="76">
        <v>6347734.4403308416</v>
      </c>
      <c r="H8" s="76">
        <v>100250995.09282264</v>
      </c>
      <c r="I8" s="76">
        <v>25745124.021785408</v>
      </c>
      <c r="J8" s="76">
        <v>8314366.465946693</v>
      </c>
      <c r="K8" s="76">
        <v>6390389.0335696787</v>
      </c>
      <c r="L8" s="76">
        <v>54430986.411306739</v>
      </c>
      <c r="M8" s="76">
        <v>3524502.288385279</v>
      </c>
      <c r="N8" s="76">
        <v>2799010.6076967097</v>
      </c>
      <c r="O8" s="76">
        <v>2707560.9575474784</v>
      </c>
      <c r="P8" s="76">
        <v>698940.08556107373</v>
      </c>
      <c r="Q8" s="76">
        <v>1900379.3726688409</v>
      </c>
      <c r="R8" s="83">
        <v>53106.703470218003</v>
      </c>
    </row>
    <row r="9" spans="1:18" ht="14.5" customHeight="1" x14ac:dyDescent="0.2">
      <c r="A9" s="571" t="s">
        <v>275</v>
      </c>
      <c r="B9" s="573" t="s">
        <v>271</v>
      </c>
      <c r="C9" s="37" t="s">
        <v>369</v>
      </c>
      <c r="D9" s="176">
        <v>2122006369.9248037</v>
      </c>
      <c r="E9" s="176">
        <v>191753258.15920934</v>
      </c>
      <c r="F9" s="176">
        <v>488172908.77682137</v>
      </c>
      <c r="G9" s="176">
        <v>18670174.818502437</v>
      </c>
      <c r="H9" s="176">
        <v>99746780.769418791</v>
      </c>
      <c r="I9" s="176">
        <v>27513048.04965689</v>
      </c>
      <c r="J9" s="176">
        <v>10408260.636118948</v>
      </c>
      <c r="K9" s="176">
        <v>7650213.4318084428</v>
      </c>
      <c r="L9" s="176">
        <v>64192538.354163632</v>
      </c>
      <c r="M9" s="176">
        <v>3974539.7832715698</v>
      </c>
      <c r="N9" s="176">
        <v>3294125.8085317821</v>
      </c>
      <c r="O9" s="176">
        <v>2873226.3564772145</v>
      </c>
      <c r="P9" s="176">
        <v>761190.39788268483</v>
      </c>
      <c r="Q9" s="176">
        <v>1791277.912642329</v>
      </c>
      <c r="R9" s="177">
        <v>119579.92266604501</v>
      </c>
    </row>
    <row r="10" spans="1:18" x14ac:dyDescent="0.2">
      <c r="A10" s="571"/>
      <c r="B10" s="574"/>
      <c r="C10" s="11" t="s">
        <v>272</v>
      </c>
      <c r="D10" s="176">
        <v>2170387290.742784</v>
      </c>
      <c r="E10" s="176">
        <v>191340278.83557743</v>
      </c>
      <c r="F10" s="176">
        <v>510204250.79143339</v>
      </c>
      <c r="G10" s="176">
        <v>17639380.356709357</v>
      </c>
      <c r="H10" s="176">
        <v>101946476.34611362</v>
      </c>
      <c r="I10" s="176">
        <v>28581479.408364046</v>
      </c>
      <c r="J10" s="176">
        <v>10117034.277278055</v>
      </c>
      <c r="K10" s="176">
        <v>7798277.4776806887</v>
      </c>
      <c r="L10" s="176">
        <v>65753166.325618915</v>
      </c>
      <c r="M10" s="176">
        <v>4029298.8010387835</v>
      </c>
      <c r="N10" s="176">
        <v>3309649.2406047466</v>
      </c>
      <c r="O10" s="176">
        <v>2878584.7646904709</v>
      </c>
      <c r="P10" s="176">
        <v>780208.17033154366</v>
      </c>
      <c r="Q10" s="176">
        <v>1872463.0676914346</v>
      </c>
      <c r="R10" s="177">
        <v>129199.52689721044</v>
      </c>
    </row>
    <row r="11" spans="1:18" x14ac:dyDescent="0.2">
      <c r="A11" s="571"/>
      <c r="B11" s="574"/>
      <c r="C11" s="11" t="s">
        <v>273</v>
      </c>
      <c r="D11" s="176">
        <v>2250290989.8008285</v>
      </c>
      <c r="E11" s="176">
        <v>192051248.53646991</v>
      </c>
      <c r="F11" s="176">
        <v>531158840.58343142</v>
      </c>
      <c r="G11" s="176">
        <v>17716366.597449444</v>
      </c>
      <c r="H11" s="176">
        <v>106068438.08203597</v>
      </c>
      <c r="I11" s="176">
        <v>30747698.13625934</v>
      </c>
      <c r="J11" s="176">
        <v>9825244.1283646058</v>
      </c>
      <c r="K11" s="176">
        <v>8239489.363498399</v>
      </c>
      <c r="L11" s="176">
        <v>68969644.815528214</v>
      </c>
      <c r="M11" s="176">
        <v>4187171.3752557896</v>
      </c>
      <c r="N11" s="176">
        <v>3374716.6914884741</v>
      </c>
      <c r="O11" s="176">
        <v>3037546.0705338828</v>
      </c>
      <c r="P11" s="176">
        <v>806905.42460093799</v>
      </c>
      <c r="Q11" s="176">
        <v>1930256.079414146</v>
      </c>
      <c r="R11" s="177">
        <v>155428.66170538496</v>
      </c>
    </row>
    <row r="12" spans="1:18" ht="14.5" customHeight="1" x14ac:dyDescent="0.2">
      <c r="A12" s="571"/>
      <c r="B12" s="574" t="s">
        <v>274</v>
      </c>
      <c r="C12" s="11" t="s">
        <v>369</v>
      </c>
      <c r="D12" s="176">
        <v>1962561391.7138109</v>
      </c>
      <c r="E12" s="176">
        <v>163169459.7653679</v>
      </c>
      <c r="F12" s="176">
        <v>486490130.66507769</v>
      </c>
      <c r="G12" s="176">
        <v>8064485.6274108775</v>
      </c>
      <c r="H12" s="176">
        <v>98094068.344042629</v>
      </c>
      <c r="I12" s="176">
        <v>24817472.830618087</v>
      </c>
      <c r="J12" s="176">
        <v>8767645.0000383947</v>
      </c>
      <c r="K12" s="176">
        <v>6327471.4531269595</v>
      </c>
      <c r="L12" s="176">
        <v>53782218.04539872</v>
      </c>
      <c r="M12" s="176">
        <v>3498810.2767822337</v>
      </c>
      <c r="N12" s="176">
        <v>2825980.5856414037</v>
      </c>
      <c r="O12" s="176">
        <v>2677863.9171250411</v>
      </c>
      <c r="P12" s="176">
        <v>690941.49102775787</v>
      </c>
      <c r="Q12" s="176">
        <v>1842565.9058572694</v>
      </c>
      <c r="R12" s="177">
        <v>46821.271216469482</v>
      </c>
    </row>
    <row r="13" spans="1:18" x14ac:dyDescent="0.2">
      <c r="A13" s="571"/>
      <c r="B13" s="574"/>
      <c r="C13" s="11" t="s">
        <v>272</v>
      </c>
      <c r="D13" s="176">
        <v>1979322497.8670323</v>
      </c>
      <c r="E13" s="176">
        <v>163421254.06960499</v>
      </c>
      <c r="F13" s="176">
        <v>494683483.02158403</v>
      </c>
      <c r="G13" s="176">
        <v>7730913.3360320907</v>
      </c>
      <c r="H13" s="176">
        <v>98879693.02527079</v>
      </c>
      <c r="I13" s="176">
        <v>25112546.316079013</v>
      </c>
      <c r="J13" s="176">
        <v>8703444.8214763254</v>
      </c>
      <c r="K13" s="176">
        <v>6377094.8915605843</v>
      </c>
      <c r="L13" s="176">
        <v>54256077.743719175</v>
      </c>
      <c r="M13" s="176">
        <v>3516410.2902539466</v>
      </c>
      <c r="N13" s="176">
        <v>2834512.7574369498</v>
      </c>
      <c r="O13" s="176">
        <v>2680610.8014503131</v>
      </c>
      <c r="P13" s="176">
        <v>697742.97534574196</v>
      </c>
      <c r="Q13" s="176">
        <v>1874068.8093290315</v>
      </c>
      <c r="R13" s="177">
        <v>48459.40652673471</v>
      </c>
    </row>
    <row r="14" spans="1:18" ht="16" thickBot="1" x14ac:dyDescent="0.25">
      <c r="A14" s="571"/>
      <c r="B14" s="574"/>
      <c r="C14" s="11" t="s">
        <v>273</v>
      </c>
      <c r="D14" s="176">
        <v>2019158052.7440016</v>
      </c>
      <c r="E14" s="176">
        <v>163019014.88174862</v>
      </c>
      <c r="F14" s="176">
        <v>505148264.44212872</v>
      </c>
      <c r="G14" s="176">
        <v>7564236.262975676</v>
      </c>
      <c r="H14" s="176">
        <v>100788045.28378519</v>
      </c>
      <c r="I14" s="176">
        <v>26231741.57531333</v>
      </c>
      <c r="J14" s="176">
        <v>8487929.0577878766</v>
      </c>
      <c r="K14" s="176">
        <v>6567742.8095511887</v>
      </c>
      <c r="L14" s="176">
        <v>55923745.50919719</v>
      </c>
      <c r="M14" s="176">
        <v>3591546.2234729589</v>
      </c>
      <c r="N14" s="176">
        <v>2859344.0352312401</v>
      </c>
      <c r="O14" s="176">
        <v>2737582.0504237334</v>
      </c>
      <c r="P14" s="176">
        <v>710423.9114813609</v>
      </c>
      <c r="Q14" s="176">
        <v>1903026.0998717763</v>
      </c>
      <c r="R14" s="177">
        <v>63228.59310931174</v>
      </c>
    </row>
    <row r="15" spans="1:18" ht="14.5" customHeight="1" x14ac:dyDescent="0.2">
      <c r="A15" s="571" t="s">
        <v>276</v>
      </c>
      <c r="B15" s="573" t="s">
        <v>271</v>
      </c>
      <c r="C15" s="37" t="s">
        <v>369</v>
      </c>
      <c r="D15" s="178">
        <v>1996674219.2572351</v>
      </c>
      <c r="E15" s="178">
        <v>171880886.6555267</v>
      </c>
      <c r="F15" s="178">
        <v>476526450.34834653</v>
      </c>
      <c r="G15" s="178">
        <v>12672521.499050165</v>
      </c>
      <c r="H15" s="178">
        <v>97199462.425823167</v>
      </c>
      <c r="I15" s="178">
        <v>25756130.138727482</v>
      </c>
      <c r="J15" s="178">
        <v>9270315.3717729654</v>
      </c>
      <c r="K15" s="178">
        <v>6852315.1860575108</v>
      </c>
      <c r="L15" s="178">
        <v>57708533.642422035</v>
      </c>
      <c r="M15" s="178">
        <v>3644078.3142660419</v>
      </c>
      <c r="N15" s="178">
        <v>2985242.6168817929</v>
      </c>
      <c r="O15" s="178">
        <v>2718869.3682324761</v>
      </c>
      <c r="P15" s="178">
        <v>707586.25923100836</v>
      </c>
      <c r="Q15" s="178">
        <v>1777519.6551926546</v>
      </c>
      <c r="R15" s="179">
        <v>83074.294435969656</v>
      </c>
    </row>
    <row r="16" spans="1:18" x14ac:dyDescent="0.2">
      <c r="A16" s="571"/>
      <c r="B16" s="574"/>
      <c r="C16" s="11" t="s">
        <v>272</v>
      </c>
      <c r="D16" s="176">
        <v>2049941669.5745997</v>
      </c>
      <c r="E16" s="176">
        <v>173368945.83861247</v>
      </c>
      <c r="F16" s="176">
        <v>498372532.16932744</v>
      </c>
      <c r="G16" s="176">
        <v>11982443.602327444</v>
      </c>
      <c r="H16" s="176">
        <v>99496413.010507479</v>
      </c>
      <c r="I16" s="176">
        <v>26678974.471287094</v>
      </c>
      <c r="J16" s="176">
        <v>9149198.6795407832</v>
      </c>
      <c r="K16" s="176">
        <v>7017469.7017645352</v>
      </c>
      <c r="L16" s="176">
        <v>59293673.804243937</v>
      </c>
      <c r="M16" s="176">
        <v>3717371.4651333713</v>
      </c>
      <c r="N16" s="176">
        <v>3021652.0314130369</v>
      </c>
      <c r="O16" s="176">
        <v>2735607.2885037526</v>
      </c>
      <c r="P16" s="176">
        <v>728284.59216367477</v>
      </c>
      <c r="Q16" s="176">
        <v>1859732.9188704088</v>
      </c>
      <c r="R16" s="177">
        <v>89467.838221148457</v>
      </c>
    </row>
    <row r="17" spans="1:18" x14ac:dyDescent="0.2">
      <c r="A17" s="571"/>
      <c r="B17" s="574"/>
      <c r="C17" s="11" t="s">
        <v>273</v>
      </c>
      <c r="D17" s="176">
        <v>2127541963.1561365</v>
      </c>
      <c r="E17" s="176">
        <v>175384353.58083624</v>
      </c>
      <c r="F17" s="176">
        <v>517937086.79934645</v>
      </c>
      <c r="G17" s="176">
        <v>12018769.760687683</v>
      </c>
      <c r="H17" s="176">
        <v>103554416.69844465</v>
      </c>
      <c r="I17" s="176">
        <v>28388525.564273164</v>
      </c>
      <c r="J17" s="176">
        <v>9051157.9535315707</v>
      </c>
      <c r="K17" s="176">
        <v>7397785.2512826798</v>
      </c>
      <c r="L17" s="176">
        <v>61883115.651820593</v>
      </c>
      <c r="M17" s="176">
        <v>3873471.5653889966</v>
      </c>
      <c r="N17" s="176">
        <v>3095129.4767251792</v>
      </c>
      <c r="O17" s="176">
        <v>2897446.6803945107</v>
      </c>
      <c r="P17" s="176">
        <v>753069.05320836999</v>
      </c>
      <c r="Q17" s="176">
        <v>1917985.6358673847</v>
      </c>
      <c r="R17" s="177">
        <v>106627.28754357883</v>
      </c>
    </row>
    <row r="18" spans="1:18" ht="14.5" customHeight="1" x14ac:dyDescent="0.2">
      <c r="A18" s="571"/>
      <c r="B18" s="574" t="s">
        <v>274</v>
      </c>
      <c r="C18" s="11" t="s">
        <v>369</v>
      </c>
      <c r="D18" s="176">
        <v>1908925824.1379986</v>
      </c>
      <c r="E18" s="176">
        <v>154414742.27589574</v>
      </c>
      <c r="F18" s="176">
        <v>481635357.88791972</v>
      </c>
      <c r="G18" s="176">
        <v>5469042.9792010142</v>
      </c>
      <c r="H18" s="176">
        <v>97003615.684378415</v>
      </c>
      <c r="I18" s="176">
        <v>24107179.404139057</v>
      </c>
      <c r="J18" s="176">
        <v>8254298.6764544221</v>
      </c>
      <c r="K18" s="176">
        <v>5987697.3909421526</v>
      </c>
      <c r="L18" s="176">
        <v>51048624.240517288</v>
      </c>
      <c r="M18" s="176">
        <v>3355904.7292036158</v>
      </c>
      <c r="N18" s="176">
        <v>2691883.8033873327</v>
      </c>
      <c r="O18" s="176">
        <v>2610489.6231141696</v>
      </c>
      <c r="P18" s="176">
        <v>668074.70798571419</v>
      </c>
      <c r="Q18" s="176">
        <v>1836567.8597949077</v>
      </c>
      <c r="R18" s="177">
        <v>32147.68246717269</v>
      </c>
    </row>
    <row r="19" spans="1:18" x14ac:dyDescent="0.2">
      <c r="A19" s="571"/>
      <c r="B19" s="574"/>
      <c r="C19" s="11" t="s">
        <v>272</v>
      </c>
      <c r="D19" s="176">
        <v>1927702328.4695437</v>
      </c>
      <c r="E19" s="176">
        <v>155222309.68959475</v>
      </c>
      <c r="F19" s="176">
        <v>489860845.60196549</v>
      </c>
      <c r="G19" s="176">
        <v>5246131.8502295418</v>
      </c>
      <c r="H19" s="176">
        <v>97828470.429633647</v>
      </c>
      <c r="I19" s="176">
        <v>24375731.393160533</v>
      </c>
      <c r="J19" s="176">
        <v>8237376.5163793424</v>
      </c>
      <c r="K19" s="176">
        <v>6044863.1663266039</v>
      </c>
      <c r="L19" s="176">
        <v>51563236.751948729</v>
      </c>
      <c r="M19" s="176">
        <v>3379627.7401780053</v>
      </c>
      <c r="N19" s="176">
        <v>2707327.8154976638</v>
      </c>
      <c r="O19" s="176">
        <v>2616637.0721724066</v>
      </c>
      <c r="P19" s="176">
        <v>675622.71725893114</v>
      </c>
      <c r="Q19" s="176">
        <v>1868393.6182570667</v>
      </c>
      <c r="R19" s="177">
        <v>33258.743903592433</v>
      </c>
    </row>
    <row r="20" spans="1:18" ht="16" thickBot="1" x14ac:dyDescent="0.25">
      <c r="A20" s="571"/>
      <c r="B20" s="574"/>
      <c r="C20" s="11" t="s">
        <v>273</v>
      </c>
      <c r="D20" s="180">
        <v>1966579705.7413883</v>
      </c>
      <c r="E20" s="180">
        <v>155787062.49874127</v>
      </c>
      <c r="F20" s="180">
        <v>499579454.75390077</v>
      </c>
      <c r="G20" s="180">
        <v>5131232.6176860072</v>
      </c>
      <c r="H20" s="180">
        <v>99713944.901860103</v>
      </c>
      <c r="I20" s="180">
        <v>25258506.468257491</v>
      </c>
      <c r="J20" s="180">
        <v>8140803.8741055084</v>
      </c>
      <c r="K20" s="180">
        <v>6213035.2575881677</v>
      </c>
      <c r="L20" s="180">
        <v>52938227.313416287</v>
      </c>
      <c r="M20" s="180">
        <v>3457458.3532975991</v>
      </c>
      <c r="N20" s="180">
        <v>2738677.1801621793</v>
      </c>
      <c r="O20" s="180">
        <v>2677539.8646712233</v>
      </c>
      <c r="P20" s="180">
        <v>687456.25964078668</v>
      </c>
      <c r="Q20" s="180">
        <v>1897732.6454659055</v>
      </c>
      <c r="R20" s="181">
        <v>42984.813831124287</v>
      </c>
    </row>
    <row r="21" spans="1:18" x14ac:dyDescent="0.2">
      <c r="A21" s="571" t="s">
        <v>236</v>
      </c>
      <c r="B21" s="573" t="s">
        <v>271</v>
      </c>
      <c r="C21" s="37" t="s">
        <v>369</v>
      </c>
      <c r="D21" s="75">
        <v>1823959452.9591384</v>
      </c>
      <c r="E21" s="75">
        <v>144326669.42399919</v>
      </c>
      <c r="F21" s="75">
        <v>482872978.77770036</v>
      </c>
      <c r="G21" s="75">
        <v>5048193.0098392433</v>
      </c>
      <c r="H21" s="75">
        <v>94759561.392880648</v>
      </c>
      <c r="I21" s="75">
        <v>25331568.08175604</v>
      </c>
      <c r="J21" s="75">
        <v>9839288.003945956</v>
      </c>
      <c r="K21" s="75">
        <v>7251264.3089329759</v>
      </c>
      <c r="L21" s="75">
        <v>101273268.01020844</v>
      </c>
      <c r="M21" s="75">
        <v>4137017.0341104735</v>
      </c>
      <c r="N21" s="75">
        <v>3157466.6352913617</v>
      </c>
      <c r="O21" s="75">
        <v>2625460.763185428</v>
      </c>
      <c r="P21" s="75">
        <v>734388.32855684659</v>
      </c>
      <c r="Q21" s="75">
        <v>1779853.6249869419</v>
      </c>
      <c r="R21" s="85">
        <v>380362.19277958805</v>
      </c>
    </row>
    <row r="22" spans="1:18" x14ac:dyDescent="0.2">
      <c r="A22" s="571"/>
      <c r="B22" s="574"/>
      <c r="C22" s="11" t="s">
        <v>272</v>
      </c>
      <c r="D22" s="75">
        <v>1885403443.3550467</v>
      </c>
      <c r="E22" s="75">
        <v>148422217.13540375</v>
      </c>
      <c r="F22" s="75">
        <v>505349620.62060887</v>
      </c>
      <c r="G22" s="75">
        <v>4708819.6067519756</v>
      </c>
      <c r="H22" s="75">
        <v>97216831.859746978</v>
      </c>
      <c r="I22" s="75">
        <v>26289115.022634503</v>
      </c>
      <c r="J22" s="75">
        <v>9633116.4784094188</v>
      </c>
      <c r="K22" s="75">
        <v>7407873.589722611</v>
      </c>
      <c r="L22" s="75">
        <v>100876996.35847144</v>
      </c>
      <c r="M22" s="75">
        <v>4222314.7557860883</v>
      </c>
      <c r="N22" s="75">
        <v>3176511.7507013683</v>
      </c>
      <c r="O22" s="75">
        <v>2655214.4374584928</v>
      </c>
      <c r="P22" s="75">
        <v>754246.38124760916</v>
      </c>
      <c r="Q22" s="75">
        <v>1862147.2030106673</v>
      </c>
      <c r="R22" s="85">
        <v>412711.19491310348</v>
      </c>
    </row>
    <row r="23" spans="1:18" x14ac:dyDescent="0.2">
      <c r="A23" s="571"/>
      <c r="B23" s="574"/>
      <c r="C23" s="11" t="s">
        <v>273</v>
      </c>
      <c r="D23" s="75">
        <v>1966943393.5807652</v>
      </c>
      <c r="E23" s="75">
        <v>152269343.56724155</v>
      </c>
      <c r="F23" s="75">
        <v>527000196.81293333</v>
      </c>
      <c r="G23" s="75">
        <v>4572645.8093681177</v>
      </c>
      <c r="H23" s="75">
        <v>101497875.43188706</v>
      </c>
      <c r="I23" s="75">
        <v>28031805.999816008</v>
      </c>
      <c r="J23" s="75">
        <v>9438201.0409480873</v>
      </c>
      <c r="K23" s="75">
        <v>7818637.307390539</v>
      </c>
      <c r="L23" s="75">
        <v>103521459.81368078</v>
      </c>
      <c r="M23" s="75">
        <v>4444877.5340012591</v>
      </c>
      <c r="N23" s="75">
        <v>3234591.6282137865</v>
      </c>
      <c r="O23" s="75">
        <v>2839046.9662892274</v>
      </c>
      <c r="P23" s="75">
        <v>779987.23890465393</v>
      </c>
      <c r="Q23" s="75">
        <v>1921015.8219477409</v>
      </c>
      <c r="R23" s="85">
        <v>501558.15095471533</v>
      </c>
    </row>
    <row r="24" spans="1:18" x14ac:dyDescent="0.2">
      <c r="A24" s="571"/>
      <c r="B24" s="574" t="s">
        <v>274</v>
      </c>
      <c r="C24" s="11" t="s">
        <v>369</v>
      </c>
      <c r="D24" s="75">
        <v>1836925067.1080518</v>
      </c>
      <c r="E24" s="75">
        <v>142346331.38104758</v>
      </c>
      <c r="F24" s="75">
        <v>484001311.14879382</v>
      </c>
      <c r="G24" s="75">
        <v>2215884.9412539075</v>
      </c>
      <c r="H24" s="75">
        <v>95960837.997619495</v>
      </c>
      <c r="I24" s="75">
        <v>23932931.112855647</v>
      </c>
      <c r="J24" s="75">
        <v>8510971.838246407</v>
      </c>
      <c r="K24" s="75">
        <v>6157584.422034556</v>
      </c>
      <c r="L24" s="75">
        <v>69372513.688893825</v>
      </c>
      <c r="M24" s="75">
        <v>3556228.6250882638</v>
      </c>
      <c r="N24" s="75">
        <v>2767660.1847043028</v>
      </c>
      <c r="O24" s="75">
        <v>2560753.6789045678</v>
      </c>
      <c r="P24" s="75">
        <v>679508.09950673603</v>
      </c>
      <c r="Q24" s="75">
        <v>1837618.4806057925</v>
      </c>
      <c r="R24" s="85">
        <v>150236.51087241841</v>
      </c>
    </row>
    <row r="25" spans="1:18" x14ac:dyDescent="0.2">
      <c r="A25" s="571"/>
      <c r="B25" s="574"/>
      <c r="C25" s="11" t="s">
        <v>272</v>
      </c>
      <c r="D25" s="75">
        <v>1858763203.3380897</v>
      </c>
      <c r="E25" s="75">
        <v>143919364.26750126</v>
      </c>
      <c r="F25" s="75">
        <v>492315272.80536228</v>
      </c>
      <c r="G25" s="75">
        <v>2114099.7073237333</v>
      </c>
      <c r="H25" s="75">
        <v>96833783.820069745</v>
      </c>
      <c r="I25" s="75">
        <v>24213003.588376369</v>
      </c>
      <c r="J25" s="75">
        <v>8470410.6689278334</v>
      </c>
      <c r="K25" s="75">
        <v>6210979.0289435945</v>
      </c>
      <c r="L25" s="75">
        <v>69166773.982146889</v>
      </c>
      <c r="M25" s="75">
        <v>3579690.8302457933</v>
      </c>
      <c r="N25" s="75">
        <v>2777825.6414049203</v>
      </c>
      <c r="O25" s="75">
        <v>2570180.9751824988</v>
      </c>
      <c r="P25" s="75">
        <v>686682.84630233655</v>
      </c>
      <c r="Q25" s="75">
        <v>1869458.3113905108</v>
      </c>
      <c r="R25" s="85">
        <v>155535.0065472197</v>
      </c>
    </row>
    <row r="26" spans="1:18" ht="16" thickBot="1" x14ac:dyDescent="0.25">
      <c r="A26" s="571"/>
      <c r="B26" s="574"/>
      <c r="C26" s="11" t="s">
        <v>273</v>
      </c>
      <c r="D26" s="75">
        <v>1899342002.9424064</v>
      </c>
      <c r="E26" s="75">
        <v>145817196.99203303</v>
      </c>
      <c r="F26" s="75">
        <v>503113093.23420608</v>
      </c>
      <c r="G26" s="75">
        <v>1989815.764889847</v>
      </c>
      <c r="H26" s="75">
        <v>98827075.732775122</v>
      </c>
      <c r="I26" s="75">
        <v>25113438.988644291</v>
      </c>
      <c r="J26" s="75">
        <v>8314366.465946693</v>
      </c>
      <c r="K26" s="75">
        <v>6390389.0335696787</v>
      </c>
      <c r="L26" s="75">
        <v>70394369.066017866</v>
      </c>
      <c r="M26" s="75">
        <v>3692931.0237509836</v>
      </c>
      <c r="N26" s="75">
        <v>2799676.2025808385</v>
      </c>
      <c r="O26" s="75">
        <v>2642470.0125843943</v>
      </c>
      <c r="P26" s="75">
        <v>698940.08556107373</v>
      </c>
      <c r="Q26" s="75">
        <v>1899047.5283554613</v>
      </c>
      <c r="R26" s="85">
        <v>205526.90276392378</v>
      </c>
    </row>
    <row r="27" spans="1:18" ht="14.5" customHeight="1" x14ac:dyDescent="0.2">
      <c r="A27" s="571" t="s">
        <v>277</v>
      </c>
      <c r="B27" s="573" t="s">
        <v>271</v>
      </c>
      <c r="C27" s="37" t="s">
        <v>369</v>
      </c>
      <c r="D27" s="178">
        <v>1843924545.7096639</v>
      </c>
      <c r="E27" s="178">
        <v>146810715.86195952</v>
      </c>
      <c r="F27" s="178">
        <v>489380669.75075048</v>
      </c>
      <c r="G27" s="178">
        <v>5943497.3264536597</v>
      </c>
      <c r="H27" s="178">
        <v>95490441.874083981</v>
      </c>
      <c r="I27" s="178">
        <v>25952285.767602671</v>
      </c>
      <c r="J27" s="178">
        <v>10408260.636118948</v>
      </c>
      <c r="K27" s="178">
        <v>7650213.4318084428</v>
      </c>
      <c r="L27" s="178">
        <v>111973852.88690482</v>
      </c>
      <c r="M27" s="178">
        <v>4367758.5394140091</v>
      </c>
      <c r="N27" s="178">
        <v>3315732.1402714835</v>
      </c>
      <c r="O27" s="178">
        <v>2684820.3076599035</v>
      </c>
      <c r="P27" s="178">
        <v>761190.39788268483</v>
      </c>
      <c r="Q27" s="178">
        <v>1785954.4011133225</v>
      </c>
      <c r="R27" s="179">
        <v>453373.44923973881</v>
      </c>
    </row>
    <row r="28" spans="1:18" x14ac:dyDescent="0.2">
      <c r="A28" s="571"/>
      <c r="B28" s="574"/>
      <c r="C28" s="11" t="s">
        <v>272</v>
      </c>
      <c r="D28" s="176">
        <v>1905081599.1440392</v>
      </c>
      <c r="E28" s="176">
        <v>150668633.76002437</v>
      </c>
      <c r="F28" s="176">
        <v>512043614.53385782</v>
      </c>
      <c r="G28" s="176">
        <v>5538569.9412561366</v>
      </c>
      <c r="H28" s="176">
        <v>97941084.781346157</v>
      </c>
      <c r="I28" s="176">
        <v>26975307.167178996</v>
      </c>
      <c r="J28" s="176">
        <v>10117034.277278055</v>
      </c>
      <c r="K28" s="176">
        <v>7798277.4776806887</v>
      </c>
      <c r="L28" s="176">
        <v>111163151.61419372</v>
      </c>
      <c r="M28" s="176">
        <v>4447916.0528015699</v>
      </c>
      <c r="N28" s="176">
        <v>3322943.1519230078</v>
      </c>
      <c r="O28" s="176">
        <v>2712244.8364482508</v>
      </c>
      <c r="P28" s="176">
        <v>780208.17033154366</v>
      </c>
      <c r="Q28" s="176">
        <v>1867853.189027807</v>
      </c>
      <c r="R28" s="177">
        <v>492174.5722652275</v>
      </c>
    </row>
    <row r="29" spans="1:18" x14ac:dyDescent="0.2">
      <c r="A29" s="571"/>
      <c r="B29" s="574"/>
      <c r="C29" s="11" t="s">
        <v>273</v>
      </c>
      <c r="D29" s="176">
        <v>1987868083.1058083</v>
      </c>
      <c r="E29" s="176">
        <v>154352705.43669575</v>
      </c>
      <c r="F29" s="176">
        <v>534644759.46942019</v>
      </c>
      <c r="G29" s="176">
        <v>5380657.5112506729</v>
      </c>
      <c r="H29" s="176">
        <v>102276079.99852611</v>
      </c>
      <c r="I29" s="176">
        <v>28906286.333729103</v>
      </c>
      <c r="J29" s="176">
        <v>9825244.1283646058</v>
      </c>
      <c r="K29" s="176">
        <v>8239489.363498399</v>
      </c>
      <c r="L29" s="176">
        <v>114141465.67104177</v>
      </c>
      <c r="M29" s="176">
        <v>4684801.3460105266</v>
      </c>
      <c r="N29" s="176">
        <v>3374571.1437092307</v>
      </c>
      <c r="O29" s="176">
        <v>2898758.0539146941</v>
      </c>
      <c r="P29" s="176">
        <v>806905.42460093799</v>
      </c>
      <c r="Q29" s="176">
        <v>1926647.2577182315</v>
      </c>
      <c r="R29" s="177">
        <v>599160.89927832759</v>
      </c>
    </row>
    <row r="30" spans="1:18" ht="14.5" customHeight="1" x14ac:dyDescent="0.2">
      <c r="A30" s="571"/>
      <c r="B30" s="574" t="s">
        <v>274</v>
      </c>
      <c r="C30" s="11" t="s">
        <v>369</v>
      </c>
      <c r="D30" s="176">
        <v>1845368308.3426313</v>
      </c>
      <c r="E30" s="176">
        <v>143440671.0672316</v>
      </c>
      <c r="F30" s="176">
        <v>486698484.70568806</v>
      </c>
      <c r="G30" s="176">
        <v>2606249.1874475279</v>
      </c>
      <c r="H30" s="176">
        <v>96269210.344140902</v>
      </c>
      <c r="I30" s="176">
        <v>24181101.384630162</v>
      </c>
      <c r="J30" s="176">
        <v>8767645.0000383947</v>
      </c>
      <c r="K30" s="176">
        <v>6327471.4531269595</v>
      </c>
      <c r="L30" s="176">
        <v>73958674.213593453</v>
      </c>
      <c r="M30" s="176">
        <v>3654362.2130374205</v>
      </c>
      <c r="N30" s="176">
        <v>2836594.3572000898</v>
      </c>
      <c r="O30" s="176">
        <v>2586250.4302493311</v>
      </c>
      <c r="P30" s="176">
        <v>690941.49102775787</v>
      </c>
      <c r="Q30" s="176">
        <v>1840266.7679120838</v>
      </c>
      <c r="R30" s="177">
        <v>179583.68837101193</v>
      </c>
    </row>
    <row r="31" spans="1:18" x14ac:dyDescent="0.2">
      <c r="A31" s="571"/>
      <c r="B31" s="574"/>
      <c r="C31" s="11" t="s">
        <v>272</v>
      </c>
      <c r="D31" s="176">
        <v>1867002408.6690524</v>
      </c>
      <c r="E31" s="176">
        <v>144944232.31500253</v>
      </c>
      <c r="F31" s="176">
        <v>495016570.55905753</v>
      </c>
      <c r="G31" s="176">
        <v>2484307.277572724</v>
      </c>
      <c r="H31" s="176">
        <v>97135737.163536251</v>
      </c>
      <c r="I31" s="176">
        <v>24474054.397086516</v>
      </c>
      <c r="J31" s="176">
        <v>8703444.8214763254</v>
      </c>
      <c r="K31" s="176">
        <v>6377094.8915605843</v>
      </c>
      <c r="L31" s="176">
        <v>73593723.778057218</v>
      </c>
      <c r="M31" s="176">
        <v>3675325.4946160684</v>
      </c>
      <c r="N31" s="176">
        <v>2842938.0002925075</v>
      </c>
      <c r="O31" s="176">
        <v>2594868.7903399817</v>
      </c>
      <c r="P31" s="176">
        <v>697742.97534574196</v>
      </c>
      <c r="Q31" s="176">
        <v>1871979.823092297</v>
      </c>
      <c r="R31" s="177">
        <v>185936.33179350424</v>
      </c>
    </row>
    <row r="32" spans="1:18" ht="16" thickBot="1" x14ac:dyDescent="0.25">
      <c r="A32" s="571"/>
      <c r="B32" s="574"/>
      <c r="C32" s="11" t="s">
        <v>273</v>
      </c>
      <c r="D32" s="180">
        <v>1908236649.1651902</v>
      </c>
      <c r="E32" s="180">
        <v>146721191.03990895</v>
      </c>
      <c r="F32" s="180">
        <v>506318495.4913978</v>
      </c>
      <c r="G32" s="180">
        <v>2337116.7590624155</v>
      </c>
      <c r="H32" s="180">
        <v>99157122.204049692</v>
      </c>
      <c r="I32" s="180">
        <v>25472554.530754969</v>
      </c>
      <c r="J32" s="180">
        <v>8487929.0577878766</v>
      </c>
      <c r="K32" s="180">
        <v>6567742.8095511887</v>
      </c>
      <c r="L32" s="180">
        <v>74918683.103828937</v>
      </c>
      <c r="M32" s="180">
        <v>3794580.7109167716</v>
      </c>
      <c r="N32" s="180">
        <v>2860279.0235941121</v>
      </c>
      <c r="O32" s="180">
        <v>2667751.9941455028</v>
      </c>
      <c r="P32" s="180">
        <v>710423.9114813609</v>
      </c>
      <c r="Q32" s="180">
        <v>1901464.1956451032</v>
      </c>
      <c r="R32" s="181">
        <v>246014.46132029858</v>
      </c>
    </row>
    <row r="33" spans="1:18" ht="14.5" customHeight="1" x14ac:dyDescent="0.2">
      <c r="A33" s="571" t="s">
        <v>278</v>
      </c>
      <c r="B33" s="573" t="s">
        <v>271</v>
      </c>
      <c r="C33" s="37" t="s">
        <v>369</v>
      </c>
      <c r="D33" s="176">
        <v>1803994360.2086129</v>
      </c>
      <c r="E33" s="176">
        <v>141842622.98603886</v>
      </c>
      <c r="F33" s="176">
        <v>476365287.80465025</v>
      </c>
      <c r="G33" s="176">
        <v>4152888.6932248259</v>
      </c>
      <c r="H33" s="176">
        <v>94028680.911677331</v>
      </c>
      <c r="I33" s="176">
        <v>24710850.39590941</v>
      </c>
      <c r="J33" s="176">
        <v>9270315.3717729654</v>
      </c>
      <c r="K33" s="176">
        <v>6852315.1860575108</v>
      </c>
      <c r="L33" s="176">
        <v>90572683.13351208</v>
      </c>
      <c r="M33" s="176">
        <v>3906275.5288069369</v>
      </c>
      <c r="N33" s="176">
        <v>2999201.13031124</v>
      </c>
      <c r="O33" s="176">
        <v>2566101.2187109524</v>
      </c>
      <c r="P33" s="176">
        <v>707586.25923100836</v>
      </c>
      <c r="Q33" s="176">
        <v>1773752.8488605616</v>
      </c>
      <c r="R33" s="177">
        <v>307350.9363194374</v>
      </c>
    </row>
    <row r="34" spans="1:18" x14ac:dyDescent="0.2">
      <c r="A34" s="571"/>
      <c r="B34" s="574"/>
      <c r="C34" s="11" t="s">
        <v>272</v>
      </c>
      <c r="D34" s="176">
        <v>1865725287.5660539</v>
      </c>
      <c r="E34" s="176">
        <v>146175800.51078311</v>
      </c>
      <c r="F34" s="176">
        <v>498655626.70735991</v>
      </c>
      <c r="G34" s="176">
        <v>3879069.2722478127</v>
      </c>
      <c r="H34" s="176">
        <v>96492578.938147813</v>
      </c>
      <c r="I34" s="176">
        <v>25602922.878090009</v>
      </c>
      <c r="J34" s="176">
        <v>9149198.6795407832</v>
      </c>
      <c r="K34" s="176">
        <v>7017469.7017645352</v>
      </c>
      <c r="L34" s="176">
        <v>90590841.102749154</v>
      </c>
      <c r="M34" s="176">
        <v>3996713.4587706071</v>
      </c>
      <c r="N34" s="176">
        <v>3030080.3494797293</v>
      </c>
      <c r="O34" s="176">
        <v>2598184.0384687344</v>
      </c>
      <c r="P34" s="176">
        <v>728284.59216367477</v>
      </c>
      <c r="Q34" s="176">
        <v>1856441.216993528</v>
      </c>
      <c r="R34" s="177">
        <v>333247.81756097963</v>
      </c>
    </row>
    <row r="35" spans="1:18" x14ac:dyDescent="0.2">
      <c r="A35" s="571"/>
      <c r="B35" s="574"/>
      <c r="C35" s="11" t="s">
        <v>273</v>
      </c>
      <c r="D35" s="176">
        <v>1946018704.055722</v>
      </c>
      <c r="E35" s="176">
        <v>150185981.69778731</v>
      </c>
      <c r="F35" s="176">
        <v>519355634.1564464</v>
      </c>
      <c r="G35" s="176">
        <v>3764634.1074855593</v>
      </c>
      <c r="H35" s="176">
        <v>100719670.86524799</v>
      </c>
      <c r="I35" s="176">
        <v>27157325.665902909</v>
      </c>
      <c r="J35" s="176">
        <v>9051157.9535315707</v>
      </c>
      <c r="K35" s="176">
        <v>7397785.2512826798</v>
      </c>
      <c r="L35" s="176">
        <v>92901453.956319839</v>
      </c>
      <c r="M35" s="176">
        <v>4204953.7219919926</v>
      </c>
      <c r="N35" s="176">
        <v>3094612.1127183423</v>
      </c>
      <c r="O35" s="176">
        <v>2779335.8786637606</v>
      </c>
      <c r="P35" s="176">
        <v>753069.05320836999</v>
      </c>
      <c r="Q35" s="176">
        <v>1915384.3861772502</v>
      </c>
      <c r="R35" s="177">
        <v>403955.40263110294</v>
      </c>
    </row>
    <row r="36" spans="1:18" ht="14.5" customHeight="1" x14ac:dyDescent="0.2">
      <c r="A36" s="571"/>
      <c r="B36" s="574" t="s">
        <v>274</v>
      </c>
      <c r="C36" s="11" t="s">
        <v>369</v>
      </c>
      <c r="D36" s="176">
        <v>1828481825.8734722</v>
      </c>
      <c r="E36" s="176">
        <v>141251991.69486356</v>
      </c>
      <c r="F36" s="176">
        <v>481304137.59189963</v>
      </c>
      <c r="G36" s="176">
        <v>1825520.6950602869</v>
      </c>
      <c r="H36" s="176">
        <v>95652465.651098073</v>
      </c>
      <c r="I36" s="176">
        <v>23684760.841081131</v>
      </c>
      <c r="J36" s="176">
        <v>8254298.6764544221</v>
      </c>
      <c r="K36" s="176">
        <v>5987697.3909421526</v>
      </c>
      <c r="L36" s="176">
        <v>64786353.164194189</v>
      </c>
      <c r="M36" s="176">
        <v>3458095.0371391075</v>
      </c>
      <c r="N36" s="176">
        <v>2698726.0122085148</v>
      </c>
      <c r="O36" s="176">
        <v>2535256.9275598046</v>
      </c>
      <c r="P36" s="176">
        <v>668074.70798571419</v>
      </c>
      <c r="Q36" s="176">
        <v>1834970.193299501</v>
      </c>
      <c r="R36" s="177">
        <v>120889.33337382477</v>
      </c>
    </row>
    <row r="37" spans="1:18" x14ac:dyDescent="0.2">
      <c r="A37" s="571"/>
      <c r="B37" s="574"/>
      <c r="C37" s="11" t="s">
        <v>272</v>
      </c>
      <c r="D37" s="176">
        <v>1850523998.0071268</v>
      </c>
      <c r="E37" s="176">
        <v>142894496.21999997</v>
      </c>
      <c r="F37" s="176">
        <v>489613975.05166709</v>
      </c>
      <c r="G37" s="176">
        <v>1743892.1370747439</v>
      </c>
      <c r="H37" s="176">
        <v>96531830.476603225</v>
      </c>
      <c r="I37" s="176">
        <v>23951952.779666226</v>
      </c>
      <c r="J37" s="176">
        <v>8237376.5163793424</v>
      </c>
      <c r="K37" s="176">
        <v>6044863.1663266039</v>
      </c>
      <c r="L37" s="176">
        <v>64739824.186236531</v>
      </c>
      <c r="M37" s="176">
        <v>3484056.1658755187</v>
      </c>
      <c r="N37" s="176">
        <v>2712713.282517333</v>
      </c>
      <c r="O37" s="176">
        <v>2545493.1600250155</v>
      </c>
      <c r="P37" s="176">
        <v>675622.71725893114</v>
      </c>
      <c r="Q37" s="176">
        <v>1866936.7996887246</v>
      </c>
      <c r="R37" s="177">
        <v>125133.68130093512</v>
      </c>
    </row>
    <row r="38" spans="1:18" ht="16" thickBot="1" x14ac:dyDescent="0.25">
      <c r="A38" s="571"/>
      <c r="B38" s="574"/>
      <c r="C38" s="11" t="s">
        <v>273</v>
      </c>
      <c r="D38" s="176">
        <v>1890447356.7196226</v>
      </c>
      <c r="E38" s="176">
        <v>144913202.94415712</v>
      </c>
      <c r="F38" s="176">
        <v>499907690.97701442</v>
      </c>
      <c r="G38" s="176">
        <v>1642514.7707172779</v>
      </c>
      <c r="H38" s="176">
        <v>98497029.261500567</v>
      </c>
      <c r="I38" s="176">
        <v>24754323.446533609</v>
      </c>
      <c r="J38" s="176">
        <v>8140803.8741055084</v>
      </c>
      <c r="K38" s="176">
        <v>6213035.2575881677</v>
      </c>
      <c r="L38" s="176">
        <v>65870055.028206781</v>
      </c>
      <c r="M38" s="176">
        <v>3591281.3365851957</v>
      </c>
      <c r="N38" s="176">
        <v>2739073.3815675648</v>
      </c>
      <c r="O38" s="176">
        <v>2617188.0310232854</v>
      </c>
      <c r="P38" s="176">
        <v>687456.25964078668</v>
      </c>
      <c r="Q38" s="176">
        <v>1896630.8610658194</v>
      </c>
      <c r="R38" s="177">
        <v>165039.34420754886</v>
      </c>
    </row>
    <row r="39" spans="1:18" x14ac:dyDescent="0.2">
      <c r="A39" s="571" t="s">
        <v>241</v>
      </c>
      <c r="B39" s="573" t="s">
        <v>271</v>
      </c>
      <c r="C39" s="37" t="s">
        <v>369</v>
      </c>
      <c r="D39" s="78">
        <v>1878780031.6745143</v>
      </c>
      <c r="E39" s="78">
        <v>155075445.58444396</v>
      </c>
      <c r="F39" s="78">
        <v>477653108.71857047</v>
      </c>
      <c r="G39" s="78">
        <v>3032660.4413025631</v>
      </c>
      <c r="H39" s="78">
        <v>97129233.033358186</v>
      </c>
      <c r="I39" s="78">
        <v>24962428.200544253</v>
      </c>
      <c r="J39" s="78">
        <v>9839288.003945956</v>
      </c>
      <c r="K39" s="78">
        <v>7251264.3089329759</v>
      </c>
      <c r="L39" s="78">
        <v>67538688.292783856</v>
      </c>
      <c r="M39" s="78">
        <v>3785453.7217094675</v>
      </c>
      <c r="N39" s="78">
        <v>3220741.9057308827</v>
      </c>
      <c r="O39" s="78">
        <v>2623021.2552427729</v>
      </c>
      <c r="P39" s="78">
        <v>734388.32855684659</v>
      </c>
      <c r="Q39" s="78">
        <v>1784280.9414507381</v>
      </c>
      <c r="R39" s="81">
        <v>101327.10855100733</v>
      </c>
    </row>
    <row r="40" spans="1:18" x14ac:dyDescent="0.2">
      <c r="A40" s="571"/>
      <c r="B40" s="574"/>
      <c r="C40" s="11" t="s">
        <v>272</v>
      </c>
      <c r="D40" s="75">
        <v>1943261752.5418305</v>
      </c>
      <c r="E40" s="75">
        <v>160090738.97697571</v>
      </c>
      <c r="F40" s="75">
        <v>500167248.83356547</v>
      </c>
      <c r="G40" s="75">
        <v>2334325.0590676097</v>
      </c>
      <c r="H40" s="75">
        <v>99488033.60302715</v>
      </c>
      <c r="I40" s="75">
        <v>25724100.818683855</v>
      </c>
      <c r="J40" s="75">
        <v>9633116.4784094188</v>
      </c>
      <c r="K40" s="75">
        <v>7407873.589722611</v>
      </c>
      <c r="L40" s="75">
        <v>67919566.971146196</v>
      </c>
      <c r="M40" s="75">
        <v>3826290.5224202261</v>
      </c>
      <c r="N40" s="75">
        <v>3244775.7507998804</v>
      </c>
      <c r="O40" s="75">
        <v>2647414.8066444504</v>
      </c>
      <c r="P40" s="75">
        <v>754246.38124760916</v>
      </c>
      <c r="Q40" s="75">
        <v>1865984.1068306668</v>
      </c>
      <c r="R40" s="85">
        <v>109333.68255917942</v>
      </c>
    </row>
    <row r="41" spans="1:18" x14ac:dyDescent="0.2">
      <c r="A41" s="571"/>
      <c r="B41" s="574"/>
      <c r="C41" s="11" t="s">
        <v>273</v>
      </c>
      <c r="D41" s="75">
        <v>2034175672.693682</v>
      </c>
      <c r="E41" s="75">
        <v>166795328.27621254</v>
      </c>
      <c r="F41" s="75">
        <v>521057053.26269525</v>
      </c>
      <c r="G41" s="75">
        <v>1376158.0241157738</v>
      </c>
      <c r="H41" s="75">
        <v>103740652.10858385</v>
      </c>
      <c r="I41" s="75">
        <v>27040755.118136622</v>
      </c>
      <c r="J41" s="75">
        <v>9438201.0409480873</v>
      </c>
      <c r="K41" s="75">
        <v>7818637.307390539</v>
      </c>
      <c r="L41" s="75">
        <v>69150057.836656123</v>
      </c>
      <c r="M41" s="75">
        <v>3934047.5804465399</v>
      </c>
      <c r="N41" s="75">
        <v>3318953.2674066811</v>
      </c>
      <c r="O41" s="75">
        <v>2820468.6766599263</v>
      </c>
      <c r="P41" s="75">
        <v>779987.23890465393</v>
      </c>
      <c r="Q41" s="75">
        <v>1924007.7979117776</v>
      </c>
      <c r="R41" s="85">
        <v>131027.97462448188</v>
      </c>
    </row>
    <row r="42" spans="1:18" x14ac:dyDescent="0.2">
      <c r="A42" s="571"/>
      <c r="B42" s="574" t="s">
        <v>274</v>
      </c>
      <c r="C42" s="11" t="s">
        <v>369</v>
      </c>
      <c r="D42" s="75">
        <v>1858256020.0351129</v>
      </c>
      <c r="E42" s="75">
        <v>146626045.78286329</v>
      </c>
      <c r="F42" s="75">
        <v>481929186.95209658</v>
      </c>
      <c r="G42" s="75">
        <v>1422606.0764833486</v>
      </c>
      <c r="H42" s="75">
        <v>96947692.119456545</v>
      </c>
      <c r="I42" s="75">
        <v>23810506.207127385</v>
      </c>
      <c r="J42" s="75">
        <v>8510971.838246407</v>
      </c>
      <c r="K42" s="75">
        <v>6157584.422034556</v>
      </c>
      <c r="L42" s="75">
        <v>55539501.712007545</v>
      </c>
      <c r="M42" s="75">
        <v>3420119.8032821082</v>
      </c>
      <c r="N42" s="75">
        <v>2792842.8603523457</v>
      </c>
      <c r="O42" s="75">
        <v>2556266.7116954261</v>
      </c>
      <c r="P42" s="75">
        <v>679508.09950673603</v>
      </c>
      <c r="Q42" s="75">
        <v>1839495.1068423572</v>
      </c>
      <c r="R42" s="85">
        <v>39484.476841821073</v>
      </c>
    </row>
    <row r="43" spans="1:18" x14ac:dyDescent="0.2">
      <c r="A43" s="571"/>
      <c r="B43" s="574"/>
      <c r="C43" s="11" t="s">
        <v>272</v>
      </c>
      <c r="D43" s="75">
        <v>1880447567.3464427</v>
      </c>
      <c r="E43" s="75">
        <v>148374521.25855824</v>
      </c>
      <c r="F43" s="75">
        <v>490293585.42648351</v>
      </c>
      <c r="G43" s="75">
        <v>1240742.8512965522</v>
      </c>
      <c r="H43" s="75">
        <v>97785486.209816292</v>
      </c>
      <c r="I43" s="75">
        <v>24042241.896708801</v>
      </c>
      <c r="J43" s="75">
        <v>8470410.6689278334</v>
      </c>
      <c r="K43" s="75">
        <v>6210979.0289435945</v>
      </c>
      <c r="L43" s="75">
        <v>55716285.217440926</v>
      </c>
      <c r="M43" s="75">
        <v>3434648.2060212647</v>
      </c>
      <c r="N43" s="75">
        <v>2803977.530606213</v>
      </c>
      <c r="O43" s="75">
        <v>2564289.0394167532</v>
      </c>
      <c r="P43" s="75">
        <v>686682.84630233655</v>
      </c>
      <c r="Q43" s="75">
        <v>1871160.3736722327</v>
      </c>
      <c r="R43" s="85">
        <v>40859.075215163561</v>
      </c>
    </row>
    <row r="44" spans="1:18" ht="16" thickBot="1" x14ac:dyDescent="0.25">
      <c r="A44" s="571"/>
      <c r="B44" s="574"/>
      <c r="C44" s="11" t="s">
        <v>273</v>
      </c>
      <c r="D44" s="76">
        <v>1926380476.3922091</v>
      </c>
      <c r="E44" s="76">
        <v>151735351.4180305</v>
      </c>
      <c r="F44" s="76">
        <v>500779370.49248987</v>
      </c>
      <c r="G44" s="76">
        <v>667757.03260153974</v>
      </c>
      <c r="H44" s="76">
        <v>99759398.392117292</v>
      </c>
      <c r="I44" s="76">
        <v>24720786.672179725</v>
      </c>
      <c r="J44" s="76">
        <v>8314366.465946693</v>
      </c>
      <c r="K44" s="76">
        <v>6390389.0335696787</v>
      </c>
      <c r="L44" s="76">
        <v>56281996.742165625</v>
      </c>
      <c r="M44" s="76">
        <v>3486148.9358962546</v>
      </c>
      <c r="N44" s="76">
        <v>2833931.5782261589</v>
      </c>
      <c r="O44" s="76">
        <v>2630779.4597606123</v>
      </c>
      <c r="P44" s="76">
        <v>698940.08556107373</v>
      </c>
      <c r="Q44" s="76">
        <v>1900308.7983551575</v>
      </c>
      <c r="R44" s="83">
        <v>53106.703470218003</v>
      </c>
    </row>
    <row r="45" spans="1:18" ht="14.5" customHeight="1" x14ac:dyDescent="0.2">
      <c r="A45" s="571" t="s">
        <v>393</v>
      </c>
      <c r="B45" s="573" t="s">
        <v>271</v>
      </c>
      <c r="C45" s="37" t="s">
        <v>369</v>
      </c>
      <c r="D45" s="176">
        <v>1909339174.6269059</v>
      </c>
      <c r="E45" s="176">
        <v>159663305.97170049</v>
      </c>
      <c r="F45" s="176">
        <v>482710067.59365648</v>
      </c>
      <c r="G45" s="176">
        <v>3610961.9859462385</v>
      </c>
      <c r="H45" s="176">
        <v>98250029.969988316</v>
      </c>
      <c r="I45" s="176">
        <v>25513104.753439512</v>
      </c>
      <c r="J45" s="176">
        <v>10408260.636118948</v>
      </c>
      <c r="K45" s="176">
        <v>7650213.4318084428</v>
      </c>
      <c r="L45" s="176">
        <v>71815602.113351449</v>
      </c>
      <c r="M45" s="176">
        <v>3949260.097832758</v>
      </c>
      <c r="N45" s="176">
        <v>3390998.1111160293</v>
      </c>
      <c r="O45" s="176">
        <v>2684415.4451555372</v>
      </c>
      <c r="P45" s="176">
        <v>761190.39788268483</v>
      </c>
      <c r="Q45" s="176">
        <v>1791160.0701755751</v>
      </c>
      <c r="R45" s="177">
        <v>119579.92266604501</v>
      </c>
    </row>
    <row r="46" spans="1:18" x14ac:dyDescent="0.2">
      <c r="A46" s="571"/>
      <c r="B46" s="574"/>
      <c r="C46" s="11" t="s">
        <v>272</v>
      </c>
      <c r="D46" s="176">
        <v>1974088788.8369584</v>
      </c>
      <c r="E46" s="176">
        <v>164623630.80343434</v>
      </c>
      <c r="F46" s="176">
        <v>505428334.19180715</v>
      </c>
      <c r="G46" s="176">
        <v>2773500.6509400392</v>
      </c>
      <c r="H46" s="176">
        <v>100580359.5003314</v>
      </c>
      <c r="I46" s="176">
        <v>26300877.251858734</v>
      </c>
      <c r="J46" s="176">
        <v>10117034.277278055</v>
      </c>
      <c r="K46" s="176">
        <v>7798277.4776806887</v>
      </c>
      <c r="L46" s="176">
        <v>71952449.846844152</v>
      </c>
      <c r="M46" s="176">
        <v>3976105.3561146189</v>
      </c>
      <c r="N46" s="176">
        <v>3404188.8968290407</v>
      </c>
      <c r="O46" s="176">
        <v>2705264.8128704824</v>
      </c>
      <c r="P46" s="176">
        <v>780208.17033154366</v>
      </c>
      <c r="Q46" s="176">
        <v>1872349.1812411798</v>
      </c>
      <c r="R46" s="177">
        <v>129199.52689721044</v>
      </c>
    </row>
    <row r="47" spans="1:18" x14ac:dyDescent="0.2">
      <c r="A47" s="571"/>
      <c r="B47" s="574"/>
      <c r="C47" s="11" t="s">
        <v>273</v>
      </c>
      <c r="D47" s="176">
        <v>2068250204.5545068</v>
      </c>
      <c r="E47" s="176">
        <v>171744281.19754127</v>
      </c>
      <c r="F47" s="176">
        <v>527131135.89704436</v>
      </c>
      <c r="G47" s="176">
        <v>1625157.0368750526</v>
      </c>
      <c r="H47" s="176">
        <v>104891142.3110231</v>
      </c>
      <c r="I47" s="176">
        <v>27720742.511443589</v>
      </c>
      <c r="J47" s="176">
        <v>9825244.1283646058</v>
      </c>
      <c r="K47" s="176">
        <v>8239489.363498399</v>
      </c>
      <c r="L47" s="176">
        <v>73172481.701630205</v>
      </c>
      <c r="M47" s="176">
        <v>4074797.0112811299</v>
      </c>
      <c r="N47" s="176">
        <v>3475214.0110440864</v>
      </c>
      <c r="O47" s="176">
        <v>2878978.0965643856</v>
      </c>
      <c r="P47" s="176">
        <v>806905.42460093799</v>
      </c>
      <c r="Q47" s="176">
        <v>1930143.0196851583</v>
      </c>
      <c r="R47" s="177">
        <v>155428.66170538496</v>
      </c>
    </row>
    <row r="48" spans="1:18" ht="14.5" customHeight="1" x14ac:dyDescent="0.2">
      <c r="A48" s="571"/>
      <c r="B48" s="574" t="s">
        <v>274</v>
      </c>
      <c r="C48" s="11" t="s">
        <v>369</v>
      </c>
      <c r="D48" s="176">
        <v>1871038676.7102666</v>
      </c>
      <c r="E48" s="176">
        <v>148570193.48004565</v>
      </c>
      <c r="F48" s="176">
        <v>484011126.31854427</v>
      </c>
      <c r="G48" s="176">
        <v>1694432.3180786001</v>
      </c>
      <c r="H48" s="176">
        <v>97424792.535111755</v>
      </c>
      <c r="I48" s="176">
        <v>24036860.969345897</v>
      </c>
      <c r="J48" s="176">
        <v>8767645.0000383947</v>
      </c>
      <c r="K48" s="176">
        <v>6327471.4531269595</v>
      </c>
      <c r="L48" s="176">
        <v>57388412.205996245</v>
      </c>
      <c r="M48" s="176">
        <v>3491865.9555649101</v>
      </c>
      <c r="N48" s="176">
        <v>2866635.749831738</v>
      </c>
      <c r="O48" s="176">
        <v>2582865.5753867291</v>
      </c>
      <c r="P48" s="176">
        <v>690941.49102775787</v>
      </c>
      <c r="Q48" s="176">
        <v>1842494.1298735382</v>
      </c>
      <c r="R48" s="177">
        <v>46821.271216469482</v>
      </c>
    </row>
    <row r="49" spans="1:18" x14ac:dyDescent="0.2">
      <c r="A49" s="571"/>
      <c r="B49" s="574"/>
      <c r="C49" s="11" t="s">
        <v>272</v>
      </c>
      <c r="D49" s="176">
        <v>1893093095.5938189</v>
      </c>
      <c r="E49" s="176">
        <v>150284541.32435504</v>
      </c>
      <c r="F49" s="176">
        <v>492389918.42764962</v>
      </c>
      <c r="G49" s="176">
        <v>1476237.5850707523</v>
      </c>
      <c r="H49" s="176">
        <v>98249140.557938248</v>
      </c>
      <c r="I49" s="176">
        <v>24271800.893853061</v>
      </c>
      <c r="J49" s="176">
        <v>8703444.8214763254</v>
      </c>
      <c r="K49" s="176">
        <v>6377094.8915605843</v>
      </c>
      <c r="L49" s="176">
        <v>57482565.62146543</v>
      </c>
      <c r="M49" s="176">
        <v>3502091.2769905869</v>
      </c>
      <c r="N49" s="176">
        <v>2874146.2893980071</v>
      </c>
      <c r="O49" s="176">
        <v>2589773.4515857091</v>
      </c>
      <c r="P49" s="176">
        <v>697742.97534574196</v>
      </c>
      <c r="Q49" s="176">
        <v>1873997.9692082151</v>
      </c>
      <c r="R49" s="177">
        <v>48459.40652673471</v>
      </c>
    </row>
    <row r="50" spans="1:18" ht="16" thickBot="1" x14ac:dyDescent="0.25">
      <c r="A50" s="571"/>
      <c r="B50" s="574"/>
      <c r="C50" s="11" t="s">
        <v>273</v>
      </c>
      <c r="D50" s="176">
        <v>1940759751.6520205</v>
      </c>
      <c r="E50" s="176">
        <v>153817790.15509132</v>
      </c>
      <c r="F50" s="176">
        <v>503325085.23630381</v>
      </c>
      <c r="G50" s="176">
        <v>789160.71169528831</v>
      </c>
      <c r="H50" s="176">
        <v>100248191.92139323</v>
      </c>
      <c r="I50" s="176">
        <v>25003987.514590628</v>
      </c>
      <c r="J50" s="176">
        <v>8487929.0577878766</v>
      </c>
      <c r="K50" s="176">
        <v>6567742.8095511887</v>
      </c>
      <c r="L50" s="176">
        <v>58006651.106040865</v>
      </c>
      <c r="M50" s="176">
        <v>3547211.7086700909</v>
      </c>
      <c r="N50" s="176">
        <v>2901219.7351447679</v>
      </c>
      <c r="O50" s="176">
        <v>2655709.193016144</v>
      </c>
      <c r="P50" s="176">
        <v>710423.9114813609</v>
      </c>
      <c r="Q50" s="176">
        <v>1902955.5255580929</v>
      </c>
      <c r="R50" s="177">
        <v>63228.59310931174</v>
      </c>
    </row>
    <row r="51" spans="1:18" ht="14.5" customHeight="1" x14ac:dyDescent="0.2">
      <c r="A51" s="571" t="s">
        <v>394</v>
      </c>
      <c r="B51" s="573" t="s">
        <v>271</v>
      </c>
      <c r="C51" s="37" t="s">
        <v>369</v>
      </c>
      <c r="D51" s="178">
        <v>1848220888.7221227</v>
      </c>
      <c r="E51" s="178">
        <v>150487585.19718745</v>
      </c>
      <c r="F51" s="178">
        <v>472596149.8434844</v>
      </c>
      <c r="G51" s="178">
        <v>2454358.896658889</v>
      </c>
      <c r="H51" s="178">
        <v>96008436.096728057</v>
      </c>
      <c r="I51" s="178">
        <v>24411751.647648994</v>
      </c>
      <c r="J51" s="178">
        <v>9270315.3717729654</v>
      </c>
      <c r="K51" s="178">
        <v>6852315.1860575108</v>
      </c>
      <c r="L51" s="178">
        <v>63261774.472216278</v>
      </c>
      <c r="M51" s="178">
        <v>3621647.3455861765</v>
      </c>
      <c r="N51" s="178">
        <v>3050485.7003457365</v>
      </c>
      <c r="O51" s="178">
        <v>2561627.065330008</v>
      </c>
      <c r="P51" s="178">
        <v>707586.25923100836</v>
      </c>
      <c r="Q51" s="178">
        <v>1777401.8127259009</v>
      </c>
      <c r="R51" s="179">
        <v>83074.294435969656</v>
      </c>
    </row>
    <row r="52" spans="1:18" x14ac:dyDescent="0.2">
      <c r="A52" s="571"/>
      <c r="B52" s="574"/>
      <c r="C52" s="11" t="s">
        <v>272</v>
      </c>
      <c r="D52" s="176">
        <v>1912434716.2467027</v>
      </c>
      <c r="E52" s="176">
        <v>155557847.15051705</v>
      </c>
      <c r="F52" s="176">
        <v>494906163.47532386</v>
      </c>
      <c r="G52" s="176">
        <v>1895149.4671951793</v>
      </c>
      <c r="H52" s="176">
        <v>98395707.705722883</v>
      </c>
      <c r="I52" s="176">
        <v>25147324.385508977</v>
      </c>
      <c r="J52" s="176">
        <v>9149198.6795407832</v>
      </c>
      <c r="K52" s="176">
        <v>7017469.7017645352</v>
      </c>
      <c r="L52" s="176">
        <v>63886684.095448226</v>
      </c>
      <c r="M52" s="176">
        <v>3676475.6887258333</v>
      </c>
      <c r="N52" s="176">
        <v>3085362.6047707205</v>
      </c>
      <c r="O52" s="176">
        <v>2589564.8004184179</v>
      </c>
      <c r="P52" s="176">
        <v>728284.59216367477</v>
      </c>
      <c r="Q52" s="176">
        <v>1859619.032420154</v>
      </c>
      <c r="R52" s="177">
        <v>89467.838221148457</v>
      </c>
    </row>
    <row r="53" spans="1:18" x14ac:dyDescent="0.2">
      <c r="A53" s="571"/>
      <c r="B53" s="574"/>
      <c r="C53" s="11" t="s">
        <v>273</v>
      </c>
      <c r="D53" s="176">
        <v>2000101140.8328569</v>
      </c>
      <c r="E53" s="176">
        <v>161846375.35488382</v>
      </c>
      <c r="F53" s="176">
        <v>514982970.6283462</v>
      </c>
      <c r="G53" s="176">
        <v>1127159.0113564956</v>
      </c>
      <c r="H53" s="176">
        <v>102590161.9061446</v>
      </c>
      <c r="I53" s="176">
        <v>26360767.724829655</v>
      </c>
      <c r="J53" s="176">
        <v>9051157.9535315707</v>
      </c>
      <c r="K53" s="176">
        <v>7397785.2512826798</v>
      </c>
      <c r="L53" s="176">
        <v>65127633.971682034</v>
      </c>
      <c r="M53" s="176">
        <v>3793298.1496119499</v>
      </c>
      <c r="N53" s="176">
        <v>3162692.5237692767</v>
      </c>
      <c r="O53" s="176">
        <v>2761959.2567554666</v>
      </c>
      <c r="P53" s="176">
        <v>753069.05320836999</v>
      </c>
      <c r="Q53" s="176">
        <v>1917872.576138397</v>
      </c>
      <c r="R53" s="177">
        <v>106627.28754357883</v>
      </c>
    </row>
    <row r="54" spans="1:18" ht="14.5" customHeight="1" x14ac:dyDescent="0.2">
      <c r="A54" s="571"/>
      <c r="B54" s="574" t="s">
        <v>274</v>
      </c>
      <c r="C54" s="11" t="s">
        <v>369</v>
      </c>
      <c r="D54" s="176">
        <v>1845473363.3599591</v>
      </c>
      <c r="E54" s="176">
        <v>144681898.08568093</v>
      </c>
      <c r="F54" s="176">
        <v>479847247.58564895</v>
      </c>
      <c r="G54" s="176">
        <v>1150779.8348880981</v>
      </c>
      <c r="H54" s="176">
        <v>96470591.703801334</v>
      </c>
      <c r="I54" s="176">
        <v>23584151.444908872</v>
      </c>
      <c r="J54" s="176">
        <v>8254298.6764544221</v>
      </c>
      <c r="K54" s="176">
        <v>5987697.3909421526</v>
      </c>
      <c r="L54" s="176">
        <v>53690591.218018845</v>
      </c>
      <c r="M54" s="176">
        <v>3348373.6509993062</v>
      </c>
      <c r="N54" s="176">
        <v>2719049.9708729535</v>
      </c>
      <c r="O54" s="176">
        <v>2529667.8480041237</v>
      </c>
      <c r="P54" s="176">
        <v>668074.70798571419</v>
      </c>
      <c r="Q54" s="176">
        <v>1836496.0838111762</v>
      </c>
      <c r="R54" s="177">
        <v>32147.68246717269</v>
      </c>
    </row>
    <row r="55" spans="1:18" x14ac:dyDescent="0.2">
      <c r="A55" s="571"/>
      <c r="B55" s="574"/>
      <c r="C55" s="11" t="s">
        <v>272</v>
      </c>
      <c r="D55" s="176">
        <v>1867802039.0990665</v>
      </c>
      <c r="E55" s="176">
        <v>146464501.19276145</v>
      </c>
      <c r="F55" s="176">
        <v>488197252.42531747</v>
      </c>
      <c r="G55" s="176">
        <v>1005248.1175223544</v>
      </c>
      <c r="H55" s="176">
        <v>97321831.861694336</v>
      </c>
      <c r="I55" s="176">
        <v>23812682.899564542</v>
      </c>
      <c r="J55" s="176">
        <v>8237376.5163793424</v>
      </c>
      <c r="K55" s="176">
        <v>6044863.1663266039</v>
      </c>
      <c r="L55" s="176">
        <v>53950004.813416414</v>
      </c>
      <c r="M55" s="176">
        <v>3367205.1350519424</v>
      </c>
      <c r="N55" s="176">
        <v>2733808.771814419</v>
      </c>
      <c r="O55" s="176">
        <v>2538804.6272477969</v>
      </c>
      <c r="P55" s="176">
        <v>675622.71725893114</v>
      </c>
      <c r="Q55" s="176">
        <v>1868322.7781362501</v>
      </c>
      <c r="R55" s="177">
        <v>33258.743903592433</v>
      </c>
    </row>
    <row r="56" spans="1:18" ht="16" thickBot="1" x14ac:dyDescent="0.25">
      <c r="A56" s="572"/>
      <c r="B56" s="574"/>
      <c r="C56" s="11" t="s">
        <v>273</v>
      </c>
      <c r="D56" s="180">
        <v>1912001201.1323979</v>
      </c>
      <c r="E56" s="180">
        <v>149652912.68096972</v>
      </c>
      <c r="F56" s="180">
        <v>498233655.74867588</v>
      </c>
      <c r="G56" s="180">
        <v>546353.35350779106</v>
      </c>
      <c r="H56" s="180">
        <v>99270604.862841368</v>
      </c>
      <c r="I56" s="180">
        <v>24437585.829768818</v>
      </c>
      <c r="J56" s="180">
        <v>8140803.8741055084</v>
      </c>
      <c r="K56" s="180">
        <v>6213035.2575881677</v>
      </c>
      <c r="L56" s="180">
        <v>54557342.378290392</v>
      </c>
      <c r="M56" s="180">
        <v>3425086.1631224179</v>
      </c>
      <c r="N56" s="180">
        <v>2766643.4213075503</v>
      </c>
      <c r="O56" s="180">
        <v>2605849.7265050812</v>
      </c>
      <c r="P56" s="180">
        <v>687456.25964078668</v>
      </c>
      <c r="Q56" s="180">
        <v>1897662.0711522221</v>
      </c>
      <c r="R56" s="181">
        <v>42984.813831124287</v>
      </c>
    </row>
  </sheetData>
  <mergeCells count="28">
    <mergeCell ref="A2:C2"/>
    <mergeCell ref="A3:A8"/>
    <mergeCell ref="B3:B5"/>
    <mergeCell ref="B6:B8"/>
    <mergeCell ref="A9:A14"/>
    <mergeCell ref="B9:B11"/>
    <mergeCell ref="B12:B14"/>
    <mergeCell ref="A15:A20"/>
    <mergeCell ref="B15:B17"/>
    <mergeCell ref="B18:B20"/>
    <mergeCell ref="A21:A26"/>
    <mergeCell ref="B21:B23"/>
    <mergeCell ref="B24:B26"/>
    <mergeCell ref="A27:A32"/>
    <mergeCell ref="B27:B29"/>
    <mergeCell ref="B30:B32"/>
    <mergeCell ref="A33:A38"/>
    <mergeCell ref="B33:B35"/>
    <mergeCell ref="B36:B38"/>
    <mergeCell ref="A51:A56"/>
    <mergeCell ref="B51:B53"/>
    <mergeCell ref="B54:B56"/>
    <mergeCell ref="A39:A44"/>
    <mergeCell ref="B39:B41"/>
    <mergeCell ref="B42:B44"/>
    <mergeCell ref="A45:A50"/>
    <mergeCell ref="B45:B47"/>
    <mergeCell ref="B48:B5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F50C-DD3B-4014-A36F-0B4181A3BDD4}">
  <sheetPr>
    <tabColor theme="4" tint="0.39997558519241921"/>
  </sheetPr>
  <dimension ref="A1:Y33"/>
  <sheetViews>
    <sheetView workbookViewId="0">
      <selection activeCell="J21" sqref="J21"/>
    </sheetView>
  </sheetViews>
  <sheetFormatPr baseColWidth="10" defaultColWidth="8.83203125" defaultRowHeight="15" x14ac:dyDescent="0.2"/>
  <cols>
    <col min="2" max="2" width="14.6640625" customWidth="1"/>
    <col min="3" max="3" width="13.1640625" bestFit="1" customWidth="1"/>
    <col min="4" max="4" width="10.1640625" bestFit="1" customWidth="1"/>
    <col min="5" max="5" width="15.5" customWidth="1"/>
    <col min="6" max="6" width="17.83203125" customWidth="1"/>
  </cols>
  <sheetData>
    <row r="1" spans="1:7" ht="16" thickBot="1" x14ac:dyDescent="0.25">
      <c r="A1" s="1"/>
      <c r="B1" s="423" t="s">
        <v>516</v>
      </c>
      <c r="C1" s="424"/>
      <c r="D1" s="425"/>
      <c r="E1" s="1"/>
      <c r="F1" s="1"/>
      <c r="G1" s="1"/>
    </row>
    <row r="2" spans="1:7" ht="16" thickBot="1" x14ac:dyDescent="0.25">
      <c r="A2" s="1"/>
      <c r="B2" s="16"/>
      <c r="C2" s="4" t="s">
        <v>381</v>
      </c>
      <c r="D2" s="37" t="s">
        <v>380</v>
      </c>
      <c r="E2" s="1"/>
      <c r="F2" s="1"/>
      <c r="G2" s="1"/>
    </row>
    <row r="3" spans="1:7" x14ac:dyDescent="0.2">
      <c r="A3" s="1"/>
      <c r="B3" s="38">
        <v>2018</v>
      </c>
      <c r="C3" s="80">
        <v>17282000</v>
      </c>
      <c r="D3" s="448"/>
      <c r="E3" s="1"/>
      <c r="F3" s="1"/>
      <c r="G3" s="1"/>
    </row>
    <row r="4" spans="1:7" ht="16" thickBot="1" x14ac:dyDescent="0.25">
      <c r="A4" s="1"/>
      <c r="B4" s="17">
        <v>2050</v>
      </c>
      <c r="C4" s="82">
        <v>20700000</v>
      </c>
      <c r="D4" s="83">
        <v>17900000</v>
      </c>
      <c r="E4" s="1"/>
      <c r="F4" s="1"/>
      <c r="G4" s="1"/>
    </row>
    <row r="5" spans="1:7" ht="16" thickBot="1" x14ac:dyDescent="0.25">
      <c r="A5" s="1"/>
      <c r="B5" s="1"/>
      <c r="C5" s="1"/>
      <c r="D5" s="1"/>
      <c r="E5" s="1"/>
      <c r="F5" s="1"/>
      <c r="G5" s="1"/>
    </row>
    <row r="6" spans="1:7" x14ac:dyDescent="0.2">
      <c r="A6" s="1"/>
      <c r="B6" s="1"/>
      <c r="C6" s="124" t="s">
        <v>511</v>
      </c>
      <c r="D6" s="441" t="s">
        <v>510</v>
      </c>
      <c r="E6" s="22" t="s">
        <v>512</v>
      </c>
      <c r="F6" s="428" t="s">
        <v>513</v>
      </c>
      <c r="G6" s="1"/>
    </row>
    <row r="7" spans="1:7" ht="16" thickBot="1" x14ac:dyDescent="0.25">
      <c r="A7" s="1"/>
      <c r="B7" s="1"/>
      <c r="C7" s="125" t="s">
        <v>255</v>
      </c>
      <c r="D7" s="442" t="s">
        <v>514</v>
      </c>
      <c r="E7" s="23" t="s">
        <v>265</v>
      </c>
      <c r="F7" s="429" t="s">
        <v>515</v>
      </c>
      <c r="G7" s="1"/>
    </row>
    <row r="8" spans="1:7" ht="16" thickBot="1" x14ac:dyDescent="0.25">
      <c r="A8" s="1"/>
      <c r="B8" s="449">
        <v>2018</v>
      </c>
      <c r="C8" s="433">
        <v>1402271402.8442116</v>
      </c>
      <c r="D8" s="444">
        <f>C8/C3</f>
        <v>81.140574172214528</v>
      </c>
      <c r="E8" s="434">
        <f>SUM(Stock_2050!D2:'Stock_2050'!R2)</f>
        <v>2665892712.7152791</v>
      </c>
      <c r="F8" s="435">
        <f>E8/C3</f>
        <v>154.25834467742618</v>
      </c>
      <c r="G8" s="1"/>
    </row>
    <row r="9" spans="1:7" x14ac:dyDescent="0.2">
      <c r="A9" s="580" t="s">
        <v>235</v>
      </c>
      <c r="B9" s="37" t="s">
        <v>369</v>
      </c>
      <c r="C9" s="430">
        <v>1664853767.1409082</v>
      </c>
      <c r="D9" s="443">
        <f>C9/C$4</f>
        <v>80.427718219367549</v>
      </c>
      <c r="E9" s="431">
        <f>SUM(Stock_2050!D3:'Stock_2050'!R3)</f>
        <v>2954692349.0675883</v>
      </c>
      <c r="F9" s="432">
        <f>E9/C$4</f>
        <v>142.73876082452117</v>
      </c>
      <c r="G9" s="1"/>
    </row>
    <row r="10" spans="1:7" x14ac:dyDescent="0.2">
      <c r="A10" s="578"/>
      <c r="B10" s="11" t="s">
        <v>272</v>
      </c>
      <c r="C10" s="433">
        <v>1678736235.0191722</v>
      </c>
      <c r="D10" s="444">
        <f t="shared" ref="D10:D11" si="0">C10/C$4</f>
        <v>81.098368841505902</v>
      </c>
      <c r="E10" s="434">
        <f>SUM(Stock_2050!D4:'Stock_2050'!R4)</f>
        <v>3032110237.5596642</v>
      </c>
      <c r="F10" s="435">
        <f t="shared" ref="F10:F17" si="1">E10/C$4</f>
        <v>146.47875543766494</v>
      </c>
      <c r="G10" s="1"/>
    </row>
    <row r="11" spans="1:7" ht="16" thickBot="1" x14ac:dyDescent="0.25">
      <c r="A11" s="578"/>
      <c r="B11" s="11" t="s">
        <v>273</v>
      </c>
      <c r="C11" s="433">
        <v>1697849160.0382285</v>
      </c>
      <c r="D11" s="444">
        <f t="shared" si="0"/>
        <v>82.021698552571422</v>
      </c>
      <c r="E11" s="434">
        <f>SUM(Stock_2050!D5:'Stock_2050'!R5)</f>
        <v>3142180444.2311759</v>
      </c>
      <c r="F11" s="435">
        <f t="shared" si="1"/>
        <v>151.79615672614375</v>
      </c>
      <c r="G11" s="1"/>
    </row>
    <row r="12" spans="1:7" x14ac:dyDescent="0.2">
      <c r="A12" s="578" t="s">
        <v>236</v>
      </c>
      <c r="B12" s="426" t="s">
        <v>369</v>
      </c>
      <c r="C12" s="436"/>
      <c r="D12" s="445"/>
      <c r="E12" s="431">
        <f>SUM(Stock_2050!D21:'Stock_2050'!R21)</f>
        <v>2707476792.5473123</v>
      </c>
      <c r="F12" s="432">
        <f t="shared" si="1"/>
        <v>130.79598031629527</v>
      </c>
      <c r="G12" s="1"/>
    </row>
    <row r="13" spans="1:7" x14ac:dyDescent="0.2">
      <c r="A13" s="578"/>
      <c r="B13" s="11" t="s">
        <v>272</v>
      </c>
      <c r="C13" s="437"/>
      <c r="D13" s="446"/>
      <c r="E13" s="434">
        <f>SUM(Stock_2050!D22:'Stock_2050'!R22)</f>
        <v>2798391179.7499127</v>
      </c>
      <c r="F13" s="435">
        <f t="shared" si="1"/>
        <v>135.18797969806343</v>
      </c>
      <c r="G13" s="1"/>
    </row>
    <row r="14" spans="1:7" ht="16" thickBot="1" x14ac:dyDescent="0.25">
      <c r="A14" s="578"/>
      <c r="B14" s="427" t="s">
        <v>273</v>
      </c>
      <c r="C14" s="438"/>
      <c r="D14" s="447"/>
      <c r="E14" s="439">
        <f>SUM(Stock_2050!D23:'Stock_2050'!R23)</f>
        <v>2914814636.7043419</v>
      </c>
      <c r="F14" s="440">
        <f t="shared" si="1"/>
        <v>140.81230129006482</v>
      </c>
      <c r="G14" s="1"/>
    </row>
    <row r="15" spans="1:7" x14ac:dyDescent="0.2">
      <c r="A15" s="578" t="s">
        <v>273</v>
      </c>
      <c r="B15" s="11" t="s">
        <v>369</v>
      </c>
      <c r="C15" s="437"/>
      <c r="D15" s="446"/>
      <c r="E15" s="434">
        <f>SUM(Stock_2050!D39:'Stock_2050'!R39)</f>
        <v>2733511361.5196376</v>
      </c>
      <c r="F15" s="435">
        <f t="shared" si="1"/>
        <v>132.05368896230132</v>
      </c>
      <c r="G15" s="1"/>
    </row>
    <row r="16" spans="1:7" x14ac:dyDescent="0.2">
      <c r="A16" s="578"/>
      <c r="B16" s="11" t="s">
        <v>272</v>
      </c>
      <c r="C16" s="437"/>
      <c r="D16" s="446"/>
      <c r="E16" s="434">
        <f>SUM(Stock_2050!D40:'Stock_2050'!R40)</f>
        <v>2828474802.12293</v>
      </c>
      <c r="F16" s="435">
        <f t="shared" si="1"/>
        <v>136.64129478854736</v>
      </c>
      <c r="G16" s="1"/>
    </row>
    <row r="17" spans="1:25" ht="16" thickBot="1" x14ac:dyDescent="0.25">
      <c r="A17" s="579"/>
      <c r="B17" s="10" t="s">
        <v>273</v>
      </c>
      <c r="C17" s="438"/>
      <c r="D17" s="447"/>
      <c r="E17" s="439">
        <f>SUM(Stock_2050!D41:'Stock_2050'!R41)</f>
        <v>2953501008.2043743</v>
      </c>
      <c r="F17" s="440">
        <f t="shared" si="1"/>
        <v>142.68120812581517</v>
      </c>
      <c r="G17" s="1"/>
      <c r="H17" s="1"/>
      <c r="I17" s="1"/>
      <c r="J17" s="1"/>
      <c r="K17" s="1"/>
      <c r="L17" s="1"/>
      <c r="M17" s="1"/>
      <c r="N17" s="1"/>
      <c r="O17" s="1"/>
      <c r="P17" s="1"/>
    </row>
    <row r="18" spans="1:25" x14ac:dyDescent="0.2">
      <c r="A18" s="1"/>
      <c r="B18" s="1"/>
      <c r="C18" s="1"/>
      <c r="D18" s="1"/>
      <c r="E18" s="75"/>
      <c r="F18" s="422"/>
      <c r="G18" s="1"/>
      <c r="H18" s="1"/>
      <c r="I18" s="1"/>
      <c r="J18" s="1"/>
      <c r="K18" s="1"/>
      <c r="L18" s="1"/>
      <c r="M18" s="1"/>
      <c r="N18" s="1"/>
      <c r="O18" s="1"/>
      <c r="P18" s="1"/>
    </row>
    <row r="19" spans="1:25" x14ac:dyDescent="0.2">
      <c r="A19" s="1"/>
      <c r="B19" s="450" t="s">
        <v>518</v>
      </c>
      <c r="C19" s="451" t="s">
        <v>519</v>
      </c>
      <c r="D19" s="451" t="s">
        <v>530</v>
      </c>
      <c r="E19" s="451" t="s">
        <v>522</v>
      </c>
      <c r="F19" s="452" t="s">
        <v>546</v>
      </c>
      <c r="G19" s="1"/>
      <c r="H19" s="1"/>
      <c r="I19" s="1"/>
      <c r="J19" s="1"/>
      <c r="K19" s="1"/>
      <c r="L19" s="1"/>
      <c r="M19" s="1"/>
      <c r="N19" s="1"/>
      <c r="O19" s="1"/>
      <c r="P19" s="1"/>
    </row>
    <row r="20" spans="1:25" ht="16" thickBot="1" x14ac:dyDescent="0.25">
      <c r="A20" s="1"/>
      <c r="B20" s="453" t="s">
        <v>521</v>
      </c>
      <c r="C20" s="5"/>
      <c r="D20" s="5"/>
      <c r="E20" s="5"/>
      <c r="F20" s="454"/>
      <c r="G20" s="1"/>
      <c r="H20" s="1"/>
      <c r="I20" s="1"/>
      <c r="J20" s="1"/>
      <c r="K20" s="1"/>
      <c r="L20" s="1"/>
      <c r="M20" s="1"/>
      <c r="N20" s="1"/>
      <c r="O20" s="1"/>
      <c r="P20" s="1"/>
    </row>
    <row r="21" spans="1:25" x14ac:dyDescent="0.2">
      <c r="B21" s="460">
        <v>154</v>
      </c>
      <c r="C21" s="207">
        <v>2018</v>
      </c>
      <c r="D21" s="207" t="s">
        <v>531</v>
      </c>
      <c r="E21" s="207" t="s">
        <v>523</v>
      </c>
      <c r="F21" s="461" t="s">
        <v>517</v>
      </c>
    </row>
    <row r="22" spans="1:25" x14ac:dyDescent="0.2">
      <c r="B22" s="460" t="s">
        <v>520</v>
      </c>
      <c r="C22" s="207">
        <v>2050</v>
      </c>
      <c r="D22" s="207" t="s">
        <v>531</v>
      </c>
      <c r="E22" s="207" t="s">
        <v>523</v>
      </c>
      <c r="F22" s="461" t="s">
        <v>517</v>
      </c>
    </row>
    <row r="23" spans="1:25" x14ac:dyDescent="0.2">
      <c r="B23" s="456">
        <v>175</v>
      </c>
      <c r="C23" s="1">
        <v>2050</v>
      </c>
      <c r="D23" s="1" t="s">
        <v>369</v>
      </c>
      <c r="E23" s="1" t="s">
        <v>524</v>
      </c>
      <c r="F23" s="455" t="s">
        <v>548</v>
      </c>
    </row>
    <row r="24" spans="1:25" x14ac:dyDescent="0.2">
      <c r="B24" s="456">
        <v>210</v>
      </c>
      <c r="C24" s="1">
        <v>2013</v>
      </c>
      <c r="D24" s="1" t="s">
        <v>369</v>
      </c>
      <c r="E24" s="1" t="s">
        <v>524</v>
      </c>
      <c r="F24" s="455" t="s">
        <v>554</v>
      </c>
    </row>
    <row r="25" spans="1:25" x14ac:dyDescent="0.2">
      <c r="B25" s="456">
        <v>209</v>
      </c>
      <c r="C25" s="1">
        <v>2007</v>
      </c>
      <c r="D25" s="1" t="s">
        <v>369</v>
      </c>
      <c r="E25" s="1" t="s">
        <v>526</v>
      </c>
      <c r="F25" s="455" t="s">
        <v>525</v>
      </c>
    </row>
    <row r="26" spans="1:25" x14ac:dyDescent="0.2">
      <c r="B26" s="456">
        <v>112</v>
      </c>
      <c r="C26" s="1">
        <v>2014</v>
      </c>
      <c r="D26" s="1" t="s">
        <v>531</v>
      </c>
      <c r="E26" s="1" t="s">
        <v>527</v>
      </c>
      <c r="F26" s="455" t="s">
        <v>555</v>
      </c>
    </row>
    <row r="27" spans="1:25" x14ac:dyDescent="0.2">
      <c r="B27" s="457">
        <v>160</v>
      </c>
      <c r="C27" s="458">
        <v>2018</v>
      </c>
      <c r="D27" s="458" t="s">
        <v>369</v>
      </c>
      <c r="E27" s="458" t="s">
        <v>529</v>
      </c>
      <c r="F27" s="459" t="s">
        <v>528</v>
      </c>
    </row>
    <row r="28" spans="1:25" x14ac:dyDescent="0.2">
      <c r="B28" s="517"/>
      <c r="C28" s="1"/>
      <c r="D28" s="1"/>
      <c r="E28" s="1"/>
      <c r="F28" s="1"/>
    </row>
    <row r="29" spans="1:25" x14ac:dyDescent="0.2">
      <c r="A29" s="581" t="s">
        <v>553</v>
      </c>
      <c r="B29" s="451" t="s">
        <v>549</v>
      </c>
      <c r="C29" s="451"/>
      <c r="D29" s="451"/>
      <c r="E29" s="451"/>
      <c r="F29" s="451"/>
      <c r="G29" s="518"/>
      <c r="H29" s="518"/>
      <c r="I29" s="518"/>
      <c r="J29" s="518"/>
      <c r="K29" s="518"/>
      <c r="L29" s="518"/>
      <c r="M29" s="518"/>
      <c r="N29" s="518"/>
      <c r="O29" s="518"/>
      <c r="P29" s="518"/>
      <c r="Q29" s="518"/>
      <c r="R29" s="518"/>
      <c r="S29" s="518"/>
      <c r="T29" s="518"/>
      <c r="U29" s="518"/>
      <c r="V29" s="518"/>
      <c r="W29" s="518"/>
      <c r="X29" s="518"/>
      <c r="Y29" s="519"/>
    </row>
    <row r="30" spans="1:25" x14ac:dyDescent="0.2">
      <c r="A30" s="582"/>
      <c r="B30" s="520" t="s">
        <v>551</v>
      </c>
      <c r="C30" s="1"/>
      <c r="D30" s="1"/>
      <c r="Y30" s="521"/>
    </row>
    <row r="31" spans="1:25" x14ac:dyDescent="0.2">
      <c r="A31" s="582"/>
      <c r="B31" s="130" t="s">
        <v>550</v>
      </c>
      <c r="Y31" s="521"/>
    </row>
    <row r="32" spans="1:25" x14ac:dyDescent="0.2">
      <c r="A32" s="582"/>
      <c r="B32" s="520" t="s">
        <v>552</v>
      </c>
      <c r="Y32" s="521"/>
    </row>
    <row r="33" spans="1:25" x14ac:dyDescent="0.2">
      <c r="A33" s="583"/>
      <c r="B33" s="458" t="s">
        <v>547</v>
      </c>
      <c r="C33" s="522"/>
      <c r="D33" s="522"/>
      <c r="E33" s="522"/>
      <c r="F33" s="522"/>
      <c r="G33" s="522"/>
      <c r="H33" s="522"/>
      <c r="I33" s="522"/>
      <c r="J33" s="522"/>
      <c r="K33" s="522"/>
      <c r="L33" s="522"/>
      <c r="M33" s="522"/>
      <c r="N33" s="522"/>
      <c r="O33" s="522"/>
      <c r="P33" s="522"/>
      <c r="Q33" s="522"/>
      <c r="R33" s="522"/>
      <c r="S33" s="522"/>
      <c r="T33" s="522"/>
      <c r="U33" s="522"/>
      <c r="V33" s="522"/>
      <c r="W33" s="522"/>
      <c r="X33" s="522"/>
      <c r="Y33" s="523"/>
    </row>
  </sheetData>
  <mergeCells count="4">
    <mergeCell ref="A12:A14"/>
    <mergeCell ref="A15:A17"/>
    <mergeCell ref="A9:A11"/>
    <mergeCell ref="A29:A33"/>
  </mergeCells>
  <pageMargins left="0.7" right="0.7" top="0.75" bottom="0.75" header="0.3" footer="0.3"/>
  <pageSetup paperSize="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88AB0-6B52-4513-82BD-95B1EC7DFBCF}">
  <sheetPr>
    <tabColor theme="4" tint="0.39997558519241921"/>
  </sheetPr>
  <dimension ref="A1:AB45"/>
  <sheetViews>
    <sheetView topLeftCell="A12" zoomScale="85" zoomScaleNormal="85" workbookViewId="0">
      <selection activeCell="M28" sqref="M28"/>
    </sheetView>
  </sheetViews>
  <sheetFormatPr baseColWidth="10" defaultColWidth="8.83203125" defaultRowHeight="15" x14ac:dyDescent="0.2"/>
  <cols>
    <col min="4" max="17" width="9.33203125" bestFit="1" customWidth="1"/>
    <col min="19" max="19" width="9.6640625" bestFit="1" customWidth="1"/>
  </cols>
  <sheetData>
    <row r="1" spans="1:25" ht="57" thickBot="1" x14ac:dyDescent="0.25">
      <c r="A1" s="77" t="s">
        <v>254</v>
      </c>
      <c r="B1" s="62" t="s">
        <v>233</v>
      </c>
      <c r="C1" s="63" t="s">
        <v>242</v>
      </c>
      <c r="D1" s="62" t="str">
        <f>Demand!E1</f>
        <v>Concrete</v>
      </c>
      <c r="E1" s="64" t="s">
        <v>177</v>
      </c>
      <c r="F1" s="64" t="s">
        <v>191</v>
      </c>
      <c r="G1" s="64" t="s">
        <v>193</v>
      </c>
      <c r="H1" s="64" t="s">
        <v>237</v>
      </c>
      <c r="I1" s="64" t="s">
        <v>199</v>
      </c>
      <c r="J1" s="64" t="s">
        <v>197</v>
      </c>
      <c r="K1" s="64" t="s">
        <v>196</v>
      </c>
      <c r="L1" s="64" t="s">
        <v>194</v>
      </c>
      <c r="M1" s="64" t="s">
        <v>246</v>
      </c>
      <c r="N1" s="64" t="s">
        <v>205</v>
      </c>
      <c r="O1" s="64" t="s">
        <v>92</v>
      </c>
      <c r="P1" s="64" t="s">
        <v>247</v>
      </c>
      <c r="Q1" s="64" t="s">
        <v>239</v>
      </c>
      <c r="R1" s="64" t="s">
        <v>240</v>
      </c>
      <c r="S1" s="64" t="s">
        <v>344</v>
      </c>
      <c r="T1" s="64" t="s">
        <v>214</v>
      </c>
      <c r="U1" s="64" t="s">
        <v>180</v>
      </c>
      <c r="V1" s="64" t="s">
        <v>86</v>
      </c>
      <c r="W1" s="64" t="s">
        <v>87</v>
      </c>
      <c r="X1" s="64" t="s">
        <v>218</v>
      </c>
      <c r="Y1" s="63" t="s">
        <v>220</v>
      </c>
    </row>
    <row r="2" spans="1:25" x14ac:dyDescent="0.2">
      <c r="A2" s="72"/>
      <c r="B2" s="69" t="s">
        <v>378</v>
      </c>
      <c r="C2" s="70" t="s">
        <v>242</v>
      </c>
      <c r="D2" s="80">
        <f>Demand!E2</f>
        <v>366813981.51889849</v>
      </c>
      <c r="E2" s="78">
        <f>Demand!F2</f>
        <v>51212318.121497348</v>
      </c>
      <c r="F2" s="78">
        <f>Demand!G2</f>
        <v>35650261.356656238</v>
      </c>
      <c r="G2" s="78">
        <f>Demand!H2</f>
        <v>8309761.2027299423</v>
      </c>
      <c r="H2" s="78">
        <f>Demand!J2</f>
        <v>1096494.6566645335</v>
      </c>
      <c r="I2" s="78">
        <f>Demand!K2</f>
        <v>1844104.6498448972</v>
      </c>
      <c r="J2" s="78">
        <f>Demand!L2</f>
        <v>1345697.9877246548</v>
      </c>
      <c r="K2" s="78">
        <f>Demand!M2</f>
        <v>299043.99727214547</v>
      </c>
      <c r="L2" s="78">
        <f>Demand!N2</f>
        <v>398725.32969619404</v>
      </c>
      <c r="M2" s="78">
        <f>Demand!O2</f>
        <v>0</v>
      </c>
      <c r="N2" s="78">
        <f>Demand!P2</f>
        <v>2974185.5658667972</v>
      </c>
      <c r="O2" s="78">
        <f>Demand!Q2</f>
        <v>2331258.4809745275</v>
      </c>
      <c r="P2" s="78">
        <v>0</v>
      </c>
      <c r="Q2" s="78">
        <f>Demand!S2</f>
        <v>14337819.977299543</v>
      </c>
      <c r="R2" s="78">
        <f>Demand!T2</f>
        <v>3147326.3364803875</v>
      </c>
      <c r="S2" s="78">
        <f>Demand!U2</f>
        <v>0</v>
      </c>
      <c r="T2" s="78">
        <f>Demand!V2</f>
        <v>927122.10934046446</v>
      </c>
      <c r="U2" s="78">
        <f>Demand!W2</f>
        <v>838200.16560693912</v>
      </c>
      <c r="V2" s="78">
        <f>Demand!X2</f>
        <v>513572.41971872188</v>
      </c>
      <c r="W2" s="78">
        <f>Demand!Y2</f>
        <v>142195.34524178933</v>
      </c>
      <c r="X2" s="78">
        <f>Demand!Z2</f>
        <v>49651.048453446921</v>
      </c>
      <c r="Y2" s="81">
        <f>Demand!AA2</f>
        <v>101327.10855100733</v>
      </c>
    </row>
    <row r="3" spans="1:25" x14ac:dyDescent="0.2">
      <c r="A3" s="71"/>
      <c r="B3" s="60"/>
      <c r="C3" s="61" t="s">
        <v>259</v>
      </c>
      <c r="D3" s="84">
        <f>Demolition!C2</f>
        <v>141154541.91299999</v>
      </c>
      <c r="E3" s="75">
        <f>Demolition!D2</f>
        <v>10141069.62094</v>
      </c>
      <c r="F3" s="75">
        <f>Demolition!E2</f>
        <v>38985621.222899996</v>
      </c>
      <c r="G3" s="75">
        <f>Demolition!F2</f>
        <v>6707692.6607100004</v>
      </c>
      <c r="H3" s="75">
        <f>Demolition!H2</f>
        <v>334729.60746500001</v>
      </c>
      <c r="I3" s="75">
        <f>Demolition!I2</f>
        <v>547739.35766999994</v>
      </c>
      <c r="J3" s="75">
        <f>Demolition!J2</f>
        <v>410804.51825250004</v>
      </c>
      <c r="K3" s="75">
        <f>Demolition!K2</f>
        <v>91289.892945</v>
      </c>
      <c r="L3" s="75">
        <f>Demolition!L2</f>
        <v>121719.85726</v>
      </c>
      <c r="M3" s="75">
        <f>Demolition!M2</f>
        <v>15214.982157500001</v>
      </c>
      <c r="N3" s="75">
        <f>Demolition!N2</f>
        <v>523972.77852670004</v>
      </c>
      <c r="O3" s="75">
        <f>Demolition!O2</f>
        <v>496943.10682099999</v>
      </c>
      <c r="P3" s="75">
        <v>0</v>
      </c>
      <c r="Q3" s="75">
        <f>Demolition!Q2</f>
        <v>2575038.0325929997</v>
      </c>
      <c r="R3" s="75">
        <f>Demolition!R2</f>
        <v>565252.2510569999</v>
      </c>
      <c r="S3" s="75">
        <v>0</v>
      </c>
      <c r="T3" s="75">
        <f>Demolition!S2</f>
        <v>273957.79631700006</v>
      </c>
      <c r="U3" s="75">
        <f>Demolition!T2</f>
        <v>178343.75918200001</v>
      </c>
      <c r="V3" s="75">
        <f>Demolition!U2</f>
        <v>217648.67217099998</v>
      </c>
      <c r="W3" s="75">
        <f>Demolition!V2</f>
        <v>46254.969896400005</v>
      </c>
      <c r="X3" s="75">
        <f>Demolition!W2</f>
        <v>145576.02634450002</v>
      </c>
      <c r="Y3" s="75">
        <f>Demolition!X2</f>
        <v>0</v>
      </c>
    </row>
    <row r="4" spans="1:25" ht="16" thickBot="1" x14ac:dyDescent="0.25">
      <c r="A4" s="73"/>
      <c r="B4" s="66"/>
      <c r="C4" s="67" t="s">
        <v>244</v>
      </c>
      <c r="D4" s="82">
        <f>BAU_RR!F2</f>
        <v>40229044.445205003</v>
      </c>
      <c r="E4" s="76">
        <f>BAU_RR!G2</f>
        <v>101410.6962094</v>
      </c>
      <c r="F4" s="76">
        <f>BAU_RR!H2</f>
        <v>11110902.048526499</v>
      </c>
      <c r="G4" s="76">
        <f>BAU_RR!I2</f>
        <v>6036923.3946390003</v>
      </c>
      <c r="H4" s="76">
        <f>BAU_RR!J2</f>
        <v>5690.4033269050014</v>
      </c>
      <c r="I4" s="76">
        <f>BAU_RR!K2</f>
        <v>13145.744584079999</v>
      </c>
      <c r="J4" s="76">
        <f>BAU_RR!L2</f>
        <v>2054.0225912625001</v>
      </c>
      <c r="K4" s="76">
        <f>BAU_RR!M2</f>
        <v>0</v>
      </c>
      <c r="L4" s="76">
        <f>BAU_RR!N2</f>
        <v>0</v>
      </c>
      <c r="M4" s="76">
        <f>BAU_RR!O2</f>
        <v>0</v>
      </c>
      <c r="N4" s="76">
        <f>BAU_RR!P2</f>
        <v>5239.7277852670004</v>
      </c>
      <c r="O4" s="76">
        <f>BAU_RR!Q2</f>
        <v>34463.004458036346</v>
      </c>
      <c r="P4" s="76">
        <f>BAU_RR!R2</f>
        <v>203001.2591363785</v>
      </c>
      <c r="Q4" s="76">
        <f>BAU_RR!T2</f>
        <v>611571.53274083743</v>
      </c>
      <c r="R4" s="76">
        <f>BAU_RR!U2</f>
        <v>429591.71080331987</v>
      </c>
      <c r="S4" s="76">
        <v>0</v>
      </c>
      <c r="T4" s="76">
        <f>BAU_RR!V2</f>
        <v>0</v>
      </c>
      <c r="U4" s="76">
        <f>BAU_RR!W2</f>
        <v>44585.939795500002</v>
      </c>
      <c r="V4" s="76">
        <f>BAU_RR!X2</f>
        <v>195883.80495389999</v>
      </c>
      <c r="W4" s="76">
        <f>BAU_RR!Y2</f>
        <v>37003.975917120013</v>
      </c>
      <c r="X4" s="76">
        <f>BAU_RR!Z2</f>
        <v>49651.048453446921</v>
      </c>
      <c r="Y4" s="83">
        <f>BAU_RR!AA2</f>
        <v>0</v>
      </c>
    </row>
    <row r="5" spans="1:25" x14ac:dyDescent="0.2">
      <c r="A5" s="72"/>
      <c r="B5" s="69" t="s">
        <v>236</v>
      </c>
      <c r="C5" s="70" t="s">
        <v>242</v>
      </c>
      <c r="D5" s="80">
        <f>Demand!E20</f>
        <v>120809984.73808014</v>
      </c>
      <c r="E5" s="78">
        <f>Demand!F20</f>
        <v>13721915.138128513</v>
      </c>
      <c r="F5" s="78">
        <f>Demand!G20</f>
        <v>36173560.571772642</v>
      </c>
      <c r="G5" s="78">
        <f>Demand!H20</f>
        <v>4596200.9979896126</v>
      </c>
      <c r="H5" s="78">
        <f>Demand!J20</f>
        <v>809830.0339285814</v>
      </c>
      <c r="I5" s="78">
        <f>Demand!K20</f>
        <v>1361986.8752435234</v>
      </c>
      <c r="J5" s="78">
        <v>0</v>
      </c>
      <c r="K5" s="78">
        <f>Demand!M20</f>
        <v>0</v>
      </c>
      <c r="L5" s="78">
        <f>Demand!N20</f>
        <v>0</v>
      </c>
      <c r="M5" s="78">
        <f>Demand!O20</f>
        <v>1509228.6995941743</v>
      </c>
      <c r="N5" s="78">
        <f>Demand!P20</f>
        <v>2974185.5658667972</v>
      </c>
      <c r="O5" s="78">
        <f>Demand!Q20</f>
        <v>2331258.4809745275</v>
      </c>
      <c r="P5" s="78">
        <v>0</v>
      </c>
      <c r="Q5" s="78">
        <f>Demand!S20</f>
        <v>25298693.02318744</v>
      </c>
      <c r="R5" s="78">
        <f>Demand!T20</f>
        <v>5553371.6392362677</v>
      </c>
      <c r="S5" s="78">
        <f>Demand!U20</f>
        <v>26955813.663271833</v>
      </c>
      <c r="T5" s="78">
        <f>Demand!V20</f>
        <v>1254830.0946821314</v>
      </c>
      <c r="U5" s="78">
        <f>Demand!W20</f>
        <v>855982.58819151332</v>
      </c>
      <c r="V5" s="78">
        <f>Demand!X20</f>
        <v>342985.32054930454</v>
      </c>
      <c r="W5" s="78">
        <f>Demand!Y20</f>
        <v>142195.34524178933</v>
      </c>
      <c r="X5" s="78">
        <f>Demand!Z20</f>
        <v>45105.889522897189</v>
      </c>
      <c r="Y5" s="81">
        <f>Demand!AA20</f>
        <v>380362.19277958805</v>
      </c>
    </row>
    <row r="6" spans="1:25" x14ac:dyDescent="0.2">
      <c r="A6" s="71"/>
      <c r="B6" s="60"/>
      <c r="C6" s="61" t="s">
        <v>259</v>
      </c>
      <c r="D6" s="84">
        <f>Demolition!C2</f>
        <v>141154541.91299999</v>
      </c>
      <c r="E6" s="75">
        <f>Demolition!D2</f>
        <v>10141069.62094</v>
      </c>
      <c r="F6" s="75">
        <f>Demolition!E2</f>
        <v>38985621.222899996</v>
      </c>
      <c r="G6" s="75">
        <f>Demolition!F2</f>
        <v>6707692.6607100004</v>
      </c>
      <c r="H6" s="75">
        <f>Demolition!H2</f>
        <v>334729.60746500001</v>
      </c>
      <c r="I6" s="75">
        <f>Demolition!I2</f>
        <v>547739.35766999994</v>
      </c>
      <c r="J6" s="75">
        <f>Demolition!J2</f>
        <v>410804.51825250004</v>
      </c>
      <c r="K6" s="75">
        <f>Demolition!K2</f>
        <v>91289.892945</v>
      </c>
      <c r="L6" s="75">
        <f>Demolition!L2</f>
        <v>121719.85726</v>
      </c>
      <c r="M6" s="75">
        <f>Demolition!M2</f>
        <v>15214.982157500001</v>
      </c>
      <c r="N6" s="75">
        <f>Demolition!N2</f>
        <v>523972.77852670004</v>
      </c>
      <c r="O6" s="75">
        <f>Demolition!O2</f>
        <v>496943.10682099999</v>
      </c>
      <c r="P6" s="75">
        <v>0</v>
      </c>
      <c r="Q6" s="75">
        <f>Demolition!Q2</f>
        <v>2575038.0325929997</v>
      </c>
      <c r="R6" s="75">
        <f>Demolition!R2</f>
        <v>565252.2510569999</v>
      </c>
      <c r="S6" s="75">
        <v>0</v>
      </c>
      <c r="T6" s="75">
        <f>Demolition!S2</f>
        <v>273957.79631700006</v>
      </c>
      <c r="U6" s="75">
        <f>Demolition!T2</f>
        <v>178343.75918200001</v>
      </c>
      <c r="V6" s="75">
        <f>Demolition!U2</f>
        <v>217648.67217099998</v>
      </c>
      <c r="W6" s="75">
        <f>Demolition!V2</f>
        <v>46254.969896400005</v>
      </c>
      <c r="X6" s="75">
        <f>Demolition!W2</f>
        <v>145576.02634450002</v>
      </c>
      <c r="Y6" s="75">
        <f>Demolition!X2</f>
        <v>0</v>
      </c>
    </row>
    <row r="7" spans="1:25" ht="16" thickBot="1" x14ac:dyDescent="0.25">
      <c r="A7" s="73"/>
      <c r="B7" s="66"/>
      <c r="C7" s="67" t="s">
        <v>244</v>
      </c>
      <c r="D7" s="82">
        <f>BAU_RR!F20</f>
        <v>40229044.445205003</v>
      </c>
      <c r="E7" s="76">
        <f>BAU_RR!G20</f>
        <v>101410.6962094</v>
      </c>
      <c r="F7" s="76">
        <f>BAU_RR!H20</f>
        <v>11110902.048526499</v>
      </c>
      <c r="G7" s="76">
        <f>BAU_RR!I20</f>
        <v>4596200.9979896126</v>
      </c>
      <c r="H7" s="76">
        <f>BAU_RR!J20</f>
        <v>5690.4033269050014</v>
      </c>
      <c r="I7" s="76">
        <f>BAU_RR!K20</f>
        <v>13145.744584079999</v>
      </c>
      <c r="J7" s="76">
        <v>0</v>
      </c>
      <c r="K7" s="76">
        <f>BAU_RR!M20</f>
        <v>0</v>
      </c>
      <c r="L7" s="76">
        <f>BAU_RR!N20</f>
        <v>0</v>
      </c>
      <c r="M7" s="76">
        <f>BAU_RR!O20</f>
        <v>76.074910787500002</v>
      </c>
      <c r="N7" s="76">
        <f>BAU_RR!P20</f>
        <v>5239.7277852670004</v>
      </c>
      <c r="O7" s="76">
        <f>BAU_RR!Q20</f>
        <v>34463.004458036346</v>
      </c>
      <c r="P7" s="76">
        <f>BAU_RR!R20</f>
        <v>203001.2591363785</v>
      </c>
      <c r="Q7" s="76">
        <f>BAU_RR!T20</f>
        <v>611571.53274083743</v>
      </c>
      <c r="R7" s="76">
        <f>BAU_RR!U20</f>
        <v>429591.71080331987</v>
      </c>
      <c r="S7" s="76">
        <v>0</v>
      </c>
      <c r="T7" s="76">
        <f>BAU_RR!V20</f>
        <v>0</v>
      </c>
      <c r="U7" s="76">
        <f>BAU_RR!W20</f>
        <v>44585.939795500002</v>
      </c>
      <c r="V7" s="76">
        <f>BAU_RR!X20</f>
        <v>195883.80495389999</v>
      </c>
      <c r="W7" s="76">
        <f>BAU_RR!Y20</f>
        <v>37003.975917120013</v>
      </c>
      <c r="X7" s="76">
        <f>BAU_RR!Z20</f>
        <v>45105.889522897189</v>
      </c>
      <c r="Y7" s="83">
        <f>BAU_RR!AA20</f>
        <v>0</v>
      </c>
    </row>
    <row r="8" spans="1:25" x14ac:dyDescent="0.2">
      <c r="A8" s="71"/>
      <c r="B8" s="60" t="s">
        <v>241</v>
      </c>
      <c r="C8" s="61" t="s">
        <v>242</v>
      </c>
      <c r="D8" s="84">
        <f>Demand!E38</f>
        <v>173615030.8849197</v>
      </c>
      <c r="E8" s="75">
        <f>Demand!F38</f>
        <v>24470691.298573297</v>
      </c>
      <c r="F8" s="75">
        <f>Demand!G38</f>
        <v>30953690.512642734</v>
      </c>
      <c r="G8" s="75">
        <f>Demand!H38</f>
        <v>6965872.6384671424</v>
      </c>
      <c r="H8" s="75">
        <f>Demand!J38</f>
        <v>728619.26006198826</v>
      </c>
      <c r="I8" s="75">
        <f>Demand!K38</f>
        <v>1225405.1191951621</v>
      </c>
      <c r="J8" s="75">
        <v>0</v>
      </c>
      <c r="K8" s="75">
        <f>Demand!M38</f>
        <v>0</v>
      </c>
      <c r="L8" s="75">
        <f>Demand!N38</f>
        <v>264952.4582043594</v>
      </c>
      <c r="M8" s="75">
        <f>Demand!O38</f>
        <v>1092928.8900929824</v>
      </c>
      <c r="N8" s="75">
        <f>Demand!P38</f>
        <v>2974185.5658667972</v>
      </c>
      <c r="O8" s="75">
        <f>Demand!Q38</f>
        <v>2331258.4809745275</v>
      </c>
      <c r="P8" s="75">
        <v>0</v>
      </c>
      <c r="Q8" s="75">
        <f>Demand!S38</f>
        <v>19740104.85878218</v>
      </c>
      <c r="R8" s="75">
        <f>Demand!T38</f>
        <v>4333193.749488771</v>
      </c>
      <c r="S8" s="75">
        <v>0</v>
      </c>
      <c r="T8" s="75">
        <f>Demand!V38</f>
        <v>903266.78228112566</v>
      </c>
      <c r="U8" s="75">
        <f>Demand!W38</f>
        <v>919257.85863103438</v>
      </c>
      <c r="V8" s="75">
        <f>Demand!X38</f>
        <v>340545.81260664924</v>
      </c>
      <c r="W8" s="75">
        <f>Demand!Y38</f>
        <v>142195.34524178933</v>
      </c>
      <c r="X8" s="75">
        <f>Demand!Z38</f>
        <v>49533.205986693189</v>
      </c>
      <c r="Y8" s="85">
        <f>Demand!AA38</f>
        <v>101327.10855100733</v>
      </c>
    </row>
    <row r="9" spans="1:25" x14ac:dyDescent="0.2">
      <c r="A9" s="71"/>
      <c r="B9" s="60"/>
      <c r="C9" s="61" t="s">
        <v>259</v>
      </c>
      <c r="D9" s="84">
        <f>Demolition!C2</f>
        <v>141154541.91299999</v>
      </c>
      <c r="E9" s="75">
        <f>Demolition!D2</f>
        <v>10141069.62094</v>
      </c>
      <c r="F9" s="75">
        <f>Demolition!E2</f>
        <v>38985621.222899996</v>
      </c>
      <c r="G9" s="75">
        <f>Demolition!F2</f>
        <v>6707692.6607100004</v>
      </c>
      <c r="H9" s="75">
        <f>Demolition!H2</f>
        <v>334729.60746500001</v>
      </c>
      <c r="I9" s="75">
        <f>Demolition!I2</f>
        <v>547739.35766999994</v>
      </c>
      <c r="J9" s="75">
        <f>Demolition!J2</f>
        <v>410804.51825250004</v>
      </c>
      <c r="K9" s="75">
        <f>Demolition!K2</f>
        <v>91289.892945</v>
      </c>
      <c r="L9" s="75">
        <f>Demolition!L2</f>
        <v>121719.85726</v>
      </c>
      <c r="M9" s="75">
        <f>Demolition!M2</f>
        <v>15214.982157500001</v>
      </c>
      <c r="N9" s="75">
        <f>Demolition!N2</f>
        <v>523972.77852670004</v>
      </c>
      <c r="O9" s="75">
        <f>Demolition!O2</f>
        <v>496943.10682099999</v>
      </c>
      <c r="P9" s="75">
        <v>0</v>
      </c>
      <c r="Q9" s="75">
        <f>Demolition!Q2</f>
        <v>2575038.0325929997</v>
      </c>
      <c r="R9" s="75">
        <f>Demolition!R2</f>
        <v>565252.2510569999</v>
      </c>
      <c r="S9" s="75">
        <v>0</v>
      </c>
      <c r="T9" s="75">
        <f>Demolition!S2</f>
        <v>273957.79631700006</v>
      </c>
      <c r="U9" s="75">
        <f>Demolition!T2</f>
        <v>178343.75918200001</v>
      </c>
      <c r="V9" s="75">
        <f>Demolition!U2</f>
        <v>217648.67217099998</v>
      </c>
      <c r="W9" s="75">
        <f>Demolition!V2</f>
        <v>46254.969896400005</v>
      </c>
      <c r="X9" s="75">
        <f>Demolition!W2</f>
        <v>145576.02634450002</v>
      </c>
      <c r="Y9" s="75">
        <f>Demolition!X2</f>
        <v>0</v>
      </c>
    </row>
    <row r="10" spans="1:25" ht="16" thickBot="1" x14ac:dyDescent="0.25">
      <c r="A10" s="73"/>
      <c r="B10" s="66"/>
      <c r="C10" s="67" t="s">
        <v>244</v>
      </c>
      <c r="D10" s="82">
        <f>BAU_RR!F38</f>
        <v>40229044.445205003</v>
      </c>
      <c r="E10" s="76">
        <f>BAU_RR!G38</f>
        <v>101410.6962094</v>
      </c>
      <c r="F10" s="76">
        <f>BAU_RR!H38</f>
        <v>11110902.048526499</v>
      </c>
      <c r="G10" s="76">
        <f>BAU_RR!I38</f>
        <v>6036923.3946390003</v>
      </c>
      <c r="H10" s="76">
        <f>BAU_RR!J38</f>
        <v>5690.4033269050014</v>
      </c>
      <c r="I10" s="76">
        <f>BAU_RR!K38</f>
        <v>13145.744584079999</v>
      </c>
      <c r="J10" s="76">
        <v>0</v>
      </c>
      <c r="K10" s="76">
        <f>BAU_RR!M38</f>
        <v>0</v>
      </c>
      <c r="L10" s="76">
        <f>BAU_RR!N38</f>
        <v>0</v>
      </c>
      <c r="M10" s="76">
        <f>BAU_RR!O38</f>
        <v>76.074910787500002</v>
      </c>
      <c r="N10" s="76">
        <f>BAU_RR!P38</f>
        <v>5239.7277852670004</v>
      </c>
      <c r="O10" s="76">
        <f>BAU_RR!Q38</f>
        <v>34463.004458036346</v>
      </c>
      <c r="P10" s="76">
        <f>BAU_RR!R38</f>
        <v>203001.2591363785</v>
      </c>
      <c r="Q10" s="76">
        <f>BAU_RR!T38</f>
        <v>611571.53274083743</v>
      </c>
      <c r="R10" s="76">
        <f>BAU_RR!U38</f>
        <v>429591.71080331987</v>
      </c>
      <c r="S10" s="76">
        <v>0</v>
      </c>
      <c r="T10" s="76">
        <f>BAU_RR!V38</f>
        <v>0</v>
      </c>
      <c r="U10" s="76">
        <f>BAU_RR!W38</f>
        <v>44585.939795500002</v>
      </c>
      <c r="V10" s="76">
        <f>BAU_RR!X38</f>
        <v>195883.80495389999</v>
      </c>
      <c r="W10" s="76">
        <f>BAU_RR!Y38</f>
        <v>37003.975917120013</v>
      </c>
      <c r="X10" s="76">
        <f>BAU_RR!Z38</f>
        <v>49533.205986693189</v>
      </c>
      <c r="Y10" s="83">
        <f>BAU_RR!AA38</f>
        <v>0</v>
      </c>
    </row>
    <row r="12" spans="1:25" x14ac:dyDescent="0.2">
      <c r="B12" s="136" t="s">
        <v>260</v>
      </c>
      <c r="C12" s="136"/>
      <c r="D12" s="135"/>
      <c r="E12" s="135"/>
      <c r="F12" s="135"/>
      <c r="G12" s="135"/>
      <c r="H12" s="135"/>
      <c r="I12" s="135"/>
      <c r="J12" s="135"/>
      <c r="K12" s="135"/>
      <c r="L12" s="135"/>
      <c r="M12" s="135"/>
      <c r="N12" s="135"/>
      <c r="O12" s="135"/>
      <c r="P12" s="135"/>
      <c r="Q12" s="135"/>
      <c r="R12" s="135"/>
      <c r="S12" s="135"/>
      <c r="T12" s="135"/>
      <c r="U12" s="135"/>
    </row>
    <row r="13" spans="1:25" ht="16" thickBot="1" x14ac:dyDescent="0.25"/>
    <row r="14" spans="1:25" s="137" customFormat="1" ht="70.75" customHeight="1" thickBot="1" x14ac:dyDescent="0.25">
      <c r="A14" s="380" t="s">
        <v>464</v>
      </c>
      <c r="B14" s="138" t="s">
        <v>233</v>
      </c>
      <c r="C14" s="139" t="s">
        <v>242</v>
      </c>
      <c r="D14" s="146" t="s">
        <v>88</v>
      </c>
      <c r="E14" s="147" t="s">
        <v>191</v>
      </c>
      <c r="F14" s="147" t="s">
        <v>177</v>
      </c>
      <c r="G14" s="147" t="s">
        <v>193</v>
      </c>
      <c r="H14" s="147" t="s">
        <v>87</v>
      </c>
      <c r="I14" s="147" t="s">
        <v>86</v>
      </c>
      <c r="J14" s="147" t="s">
        <v>218</v>
      </c>
      <c r="K14" s="147" t="s">
        <v>93</v>
      </c>
      <c r="L14" s="147" t="s">
        <v>92</v>
      </c>
      <c r="M14" s="147" t="s">
        <v>205</v>
      </c>
      <c r="N14" s="147" t="s">
        <v>180</v>
      </c>
      <c r="O14" s="147" t="s">
        <v>94</v>
      </c>
      <c r="P14" s="147" t="s">
        <v>214</v>
      </c>
      <c r="Q14" s="148" t="s">
        <v>220</v>
      </c>
      <c r="R14" s="16"/>
      <c r="S14" s="4"/>
      <c r="T14" s="12" t="s">
        <v>261</v>
      </c>
      <c r="U14" s="37" t="s">
        <v>264</v>
      </c>
    </row>
    <row r="15" spans="1:25" x14ac:dyDescent="0.2">
      <c r="B15" s="140" t="s">
        <v>378</v>
      </c>
      <c r="C15" s="141" t="s">
        <v>242</v>
      </c>
      <c r="D15" s="149">
        <f>D2</f>
        <v>366813981.51889849</v>
      </c>
      <c r="E15" s="150">
        <f>F2</f>
        <v>35650261.356656238</v>
      </c>
      <c r="F15" s="150">
        <f>E2</f>
        <v>51212318.121497348</v>
      </c>
      <c r="G15" s="150">
        <f>G2</f>
        <v>8309761.2027299423</v>
      </c>
      <c r="H15" s="150">
        <f>W2</f>
        <v>142195.34524178933</v>
      </c>
      <c r="I15" s="150">
        <f>V2</f>
        <v>513572.41971872188</v>
      </c>
      <c r="J15" s="150">
        <f>X2</f>
        <v>49651.048453446921</v>
      </c>
      <c r="K15" s="150">
        <f>Q2+R2</f>
        <v>17485146.313779932</v>
      </c>
      <c r="L15" s="150">
        <f>O2</f>
        <v>2331258.4809745275</v>
      </c>
      <c r="M15" s="150">
        <f>N2</f>
        <v>2974185.5658667972</v>
      </c>
      <c r="N15" s="150">
        <f>U2</f>
        <v>838200.16560693912</v>
      </c>
      <c r="O15" s="150">
        <f>SUM(H2:M2)</f>
        <v>4984066.6212024251</v>
      </c>
      <c r="P15" s="150">
        <f>T2</f>
        <v>927122.10934046446</v>
      </c>
      <c r="Q15" s="151">
        <f>Y2</f>
        <v>101327.10855100733</v>
      </c>
      <c r="R15" s="60"/>
      <c r="S15" s="57"/>
      <c r="T15" s="57"/>
      <c r="U15" s="61"/>
    </row>
    <row r="16" spans="1:25" x14ac:dyDescent="0.2">
      <c r="B16" s="132"/>
      <c r="C16" s="143" t="s">
        <v>259</v>
      </c>
      <c r="D16" s="152">
        <f t="shared" ref="D16:D23" si="0">D3</f>
        <v>141154541.91299999</v>
      </c>
      <c r="E16" s="142">
        <f t="shared" ref="E16:E23" si="1">F3</f>
        <v>38985621.222899996</v>
      </c>
      <c r="F16" s="142">
        <f t="shared" ref="F16:F23" si="2">E3</f>
        <v>10141069.62094</v>
      </c>
      <c r="G16" s="142">
        <f t="shared" ref="G16:G23" si="3">G3</f>
        <v>6707692.6607100004</v>
      </c>
      <c r="H16" s="142">
        <f t="shared" ref="H16:H23" si="4">W3</f>
        <v>46254.969896400005</v>
      </c>
      <c r="I16" s="142">
        <f t="shared" ref="I16:I23" si="5">V3</f>
        <v>217648.67217099998</v>
      </c>
      <c r="J16" s="142">
        <f t="shared" ref="J16:J23" si="6">X3</f>
        <v>145576.02634450002</v>
      </c>
      <c r="K16" s="142">
        <f t="shared" ref="K16:K23" si="7">Q3+R3</f>
        <v>3140290.2836499996</v>
      </c>
      <c r="L16" s="142">
        <f t="shared" ref="L16:L23" si="8">O3</f>
        <v>496943.10682099999</v>
      </c>
      <c r="M16" s="142">
        <f t="shared" ref="M16:M23" si="9">N3</f>
        <v>523972.77852670004</v>
      </c>
      <c r="N16" s="142">
        <f t="shared" ref="N16:N23" si="10">U3</f>
        <v>178343.75918200001</v>
      </c>
      <c r="O16" s="142">
        <f t="shared" ref="O16:O22" si="11">SUM(H3:M3)</f>
        <v>1521498.21575</v>
      </c>
      <c r="P16" s="142">
        <f t="shared" ref="P16:P23" si="12">T3</f>
        <v>273957.79631700006</v>
      </c>
      <c r="Q16" s="153">
        <f t="shared" ref="Q16:Q23" si="13">Y3</f>
        <v>0</v>
      </c>
      <c r="R16" s="60" t="s">
        <v>262</v>
      </c>
      <c r="S16" s="74">
        <f>SUM(D16:Q16)</f>
        <v>203533411.02620864</v>
      </c>
      <c r="T16" s="128">
        <f>SUM(D16:Q16)/SUM(D15:Q15)</f>
        <v>0.41340594971218131</v>
      </c>
      <c r="U16" s="61"/>
    </row>
    <row r="17" spans="1:28" ht="16" thickBot="1" x14ac:dyDescent="0.25">
      <c r="B17" s="144"/>
      <c r="C17" s="145" t="s">
        <v>244</v>
      </c>
      <c r="D17" s="152">
        <f t="shared" si="0"/>
        <v>40229044.445205003</v>
      </c>
      <c r="E17" s="142">
        <f t="shared" si="1"/>
        <v>11110902.048526499</v>
      </c>
      <c r="F17" s="142">
        <f t="shared" si="2"/>
        <v>101410.6962094</v>
      </c>
      <c r="G17" s="142">
        <f t="shared" si="3"/>
        <v>6036923.3946390003</v>
      </c>
      <c r="H17" s="142">
        <f t="shared" si="4"/>
        <v>37003.975917120013</v>
      </c>
      <c r="I17" s="142">
        <f t="shared" si="5"/>
        <v>195883.80495389999</v>
      </c>
      <c r="J17" s="142">
        <f t="shared" si="6"/>
        <v>49651.048453446921</v>
      </c>
      <c r="K17" s="142">
        <f t="shared" si="7"/>
        <v>1041163.2435441574</v>
      </c>
      <c r="L17" s="142">
        <f t="shared" si="8"/>
        <v>34463.004458036346</v>
      </c>
      <c r="M17" s="142">
        <f t="shared" si="9"/>
        <v>5239.7277852670004</v>
      </c>
      <c r="N17" s="142">
        <f t="shared" si="10"/>
        <v>44585.939795500002</v>
      </c>
      <c r="O17" s="142">
        <f>SUM(H4:M4)+P4</f>
        <v>223891.429638626</v>
      </c>
      <c r="P17" s="142">
        <f t="shared" si="12"/>
        <v>0</v>
      </c>
      <c r="Q17" s="153">
        <f t="shared" si="13"/>
        <v>0</v>
      </c>
      <c r="R17" s="60" t="s">
        <v>263</v>
      </c>
      <c r="S17" s="74">
        <f t="shared" ref="S17:S23" si="14">SUM(D17:Q17)</f>
        <v>59110162.759125963</v>
      </c>
      <c r="T17" s="128">
        <f>SUM(D17:Q17)/SUM(D15:Q15)</f>
        <v>0.12006133464707393</v>
      </c>
      <c r="U17" s="133">
        <f>SUM(D17:Q17)/SUM(D16:Q16)</f>
        <v>0.29041994855338249</v>
      </c>
    </row>
    <row r="18" spans="1:28" x14ac:dyDescent="0.2">
      <c r="B18" s="140" t="s">
        <v>236</v>
      </c>
      <c r="C18" s="141" t="s">
        <v>242</v>
      </c>
      <c r="D18" s="149">
        <f t="shared" si="0"/>
        <v>120809984.73808014</v>
      </c>
      <c r="E18" s="150">
        <f t="shared" si="1"/>
        <v>36173560.571772642</v>
      </c>
      <c r="F18" s="150">
        <f t="shared" si="2"/>
        <v>13721915.138128513</v>
      </c>
      <c r="G18" s="150">
        <f t="shared" si="3"/>
        <v>4596200.9979896126</v>
      </c>
      <c r="H18" s="150">
        <f t="shared" si="4"/>
        <v>142195.34524178933</v>
      </c>
      <c r="I18" s="150">
        <f t="shared" si="5"/>
        <v>342985.32054930454</v>
      </c>
      <c r="J18" s="150">
        <f t="shared" si="6"/>
        <v>45105.889522897189</v>
      </c>
      <c r="K18" s="150">
        <f>Q5+R5+S5</f>
        <v>57807878.325695544</v>
      </c>
      <c r="L18" s="150">
        <f t="shared" si="8"/>
        <v>2331258.4809745275</v>
      </c>
      <c r="M18" s="150">
        <f t="shared" si="9"/>
        <v>2974185.5658667972</v>
      </c>
      <c r="N18" s="150">
        <f t="shared" si="10"/>
        <v>855982.58819151332</v>
      </c>
      <c r="O18" s="150">
        <f t="shared" si="11"/>
        <v>3681045.6087662792</v>
      </c>
      <c r="P18" s="150">
        <f t="shared" si="12"/>
        <v>1254830.0946821314</v>
      </c>
      <c r="Q18" s="151">
        <f t="shared" si="13"/>
        <v>380362.19277958805</v>
      </c>
      <c r="R18" s="60"/>
      <c r="S18" s="74"/>
      <c r="T18" s="57"/>
      <c r="U18" s="61"/>
    </row>
    <row r="19" spans="1:28" x14ac:dyDescent="0.2">
      <c r="B19" s="132"/>
      <c r="C19" s="143" t="s">
        <v>259</v>
      </c>
      <c r="D19" s="152">
        <f t="shared" si="0"/>
        <v>141154541.91299999</v>
      </c>
      <c r="E19" s="142">
        <f t="shared" si="1"/>
        <v>38985621.222899996</v>
      </c>
      <c r="F19" s="142">
        <f t="shared" si="2"/>
        <v>10141069.62094</v>
      </c>
      <c r="G19" s="142">
        <f t="shared" si="3"/>
        <v>6707692.6607100004</v>
      </c>
      <c r="H19" s="142">
        <f t="shared" si="4"/>
        <v>46254.969896400005</v>
      </c>
      <c r="I19" s="142">
        <f t="shared" si="5"/>
        <v>217648.67217099998</v>
      </c>
      <c r="J19" s="142">
        <f t="shared" si="6"/>
        <v>145576.02634450002</v>
      </c>
      <c r="K19" s="142">
        <f t="shared" si="7"/>
        <v>3140290.2836499996</v>
      </c>
      <c r="L19" s="142">
        <f t="shared" si="8"/>
        <v>496943.10682099999</v>
      </c>
      <c r="M19" s="142">
        <f t="shared" si="9"/>
        <v>523972.77852670004</v>
      </c>
      <c r="N19" s="142">
        <f t="shared" si="10"/>
        <v>178343.75918200001</v>
      </c>
      <c r="O19" s="142">
        <f t="shared" si="11"/>
        <v>1521498.21575</v>
      </c>
      <c r="P19" s="142">
        <f t="shared" si="12"/>
        <v>273957.79631700006</v>
      </c>
      <c r="Q19" s="153">
        <f t="shared" si="13"/>
        <v>0</v>
      </c>
      <c r="R19" s="60" t="s">
        <v>262</v>
      </c>
      <c r="S19" s="74">
        <f t="shared" si="14"/>
        <v>203533411.02620864</v>
      </c>
      <c r="T19" s="128">
        <f>SUM(D19:Q19)/SUM(D18:Q18)</f>
        <v>0.83035041813445298</v>
      </c>
      <c r="U19" s="61"/>
    </row>
    <row r="20" spans="1:28" ht="16" thickBot="1" x14ac:dyDescent="0.25">
      <c r="B20" s="144"/>
      <c r="C20" s="145" t="s">
        <v>244</v>
      </c>
      <c r="D20" s="154">
        <f t="shared" si="0"/>
        <v>40229044.445205003</v>
      </c>
      <c r="E20" s="155">
        <f t="shared" si="1"/>
        <v>11110902.048526499</v>
      </c>
      <c r="F20" s="155">
        <f t="shared" si="2"/>
        <v>101410.6962094</v>
      </c>
      <c r="G20" s="155">
        <f t="shared" si="3"/>
        <v>4596200.9979896126</v>
      </c>
      <c r="H20" s="155">
        <f t="shared" si="4"/>
        <v>37003.975917120013</v>
      </c>
      <c r="I20" s="155">
        <f t="shared" si="5"/>
        <v>195883.80495389999</v>
      </c>
      <c r="J20" s="155">
        <f t="shared" si="6"/>
        <v>45105.889522897189</v>
      </c>
      <c r="K20" s="155">
        <f t="shared" si="7"/>
        <v>1041163.2435441574</v>
      </c>
      <c r="L20" s="155">
        <f t="shared" si="8"/>
        <v>34463.004458036346</v>
      </c>
      <c r="M20" s="155">
        <f t="shared" si="9"/>
        <v>5239.7277852670004</v>
      </c>
      <c r="N20" s="155">
        <f t="shared" si="10"/>
        <v>44585.939795500002</v>
      </c>
      <c r="O20" s="155">
        <f>SUM(H7:M7)+P7</f>
        <v>221913.48195815101</v>
      </c>
      <c r="P20" s="155">
        <f t="shared" si="12"/>
        <v>0</v>
      </c>
      <c r="Q20" s="156">
        <f t="shared" si="13"/>
        <v>0</v>
      </c>
      <c r="R20" s="60" t="s">
        <v>263</v>
      </c>
      <c r="S20" s="74">
        <f t="shared" si="14"/>
        <v>57662917.255865544</v>
      </c>
      <c r="T20" s="128">
        <f>SUM(D20:Q20)/SUM(D18:Q18)</f>
        <v>0.23524603264323438</v>
      </c>
      <c r="U20" s="133">
        <f>SUM(D20:Q20)/SUM(D19:Q19)</f>
        <v>0.28330934447141159</v>
      </c>
    </row>
    <row r="21" spans="1:28" x14ac:dyDescent="0.2">
      <c r="B21" s="132" t="s">
        <v>241</v>
      </c>
      <c r="C21" s="143" t="s">
        <v>242</v>
      </c>
      <c r="D21" s="152">
        <f t="shared" si="0"/>
        <v>173615030.8849197</v>
      </c>
      <c r="E21" s="142">
        <f t="shared" si="1"/>
        <v>30953690.512642734</v>
      </c>
      <c r="F21" s="142">
        <f t="shared" si="2"/>
        <v>24470691.298573297</v>
      </c>
      <c r="G21" s="142">
        <f t="shared" si="3"/>
        <v>6965872.6384671424</v>
      </c>
      <c r="H21" s="142">
        <f t="shared" si="4"/>
        <v>142195.34524178933</v>
      </c>
      <c r="I21" s="142">
        <f t="shared" si="5"/>
        <v>340545.81260664924</v>
      </c>
      <c r="J21" s="142">
        <f t="shared" si="6"/>
        <v>49533.205986693189</v>
      </c>
      <c r="K21" s="142">
        <f t="shared" si="7"/>
        <v>24073298.608270951</v>
      </c>
      <c r="L21" s="142">
        <f t="shared" si="8"/>
        <v>2331258.4809745275</v>
      </c>
      <c r="M21" s="142">
        <f t="shared" si="9"/>
        <v>2974185.5658667972</v>
      </c>
      <c r="N21" s="142">
        <f t="shared" si="10"/>
        <v>919257.85863103438</v>
      </c>
      <c r="O21" s="142">
        <f t="shared" si="11"/>
        <v>3311905.7275544922</v>
      </c>
      <c r="P21" s="142">
        <f t="shared" si="12"/>
        <v>903266.78228112566</v>
      </c>
      <c r="Q21" s="153">
        <f t="shared" si="13"/>
        <v>101327.10855100733</v>
      </c>
      <c r="R21" s="60"/>
      <c r="S21" s="74"/>
      <c r="T21" s="57"/>
      <c r="U21" s="61"/>
    </row>
    <row r="22" spans="1:28" x14ac:dyDescent="0.2">
      <c r="B22" s="132"/>
      <c r="C22" s="143" t="s">
        <v>259</v>
      </c>
      <c r="D22" s="152">
        <f t="shared" si="0"/>
        <v>141154541.91299999</v>
      </c>
      <c r="E22" s="142">
        <f t="shared" si="1"/>
        <v>38985621.222899996</v>
      </c>
      <c r="F22" s="142">
        <f t="shared" si="2"/>
        <v>10141069.62094</v>
      </c>
      <c r="G22" s="142">
        <f t="shared" si="3"/>
        <v>6707692.6607100004</v>
      </c>
      <c r="H22" s="142">
        <f t="shared" si="4"/>
        <v>46254.969896400005</v>
      </c>
      <c r="I22" s="142">
        <f t="shared" si="5"/>
        <v>217648.67217099998</v>
      </c>
      <c r="J22" s="142">
        <f t="shared" si="6"/>
        <v>145576.02634450002</v>
      </c>
      <c r="K22" s="142">
        <f t="shared" si="7"/>
        <v>3140290.2836499996</v>
      </c>
      <c r="L22" s="142">
        <f t="shared" si="8"/>
        <v>496943.10682099999</v>
      </c>
      <c r="M22" s="142">
        <f t="shared" si="9"/>
        <v>523972.77852670004</v>
      </c>
      <c r="N22" s="142">
        <f t="shared" si="10"/>
        <v>178343.75918200001</v>
      </c>
      <c r="O22" s="142">
        <f t="shared" si="11"/>
        <v>1521498.21575</v>
      </c>
      <c r="P22" s="142">
        <f t="shared" si="12"/>
        <v>273957.79631700006</v>
      </c>
      <c r="Q22" s="153">
        <f t="shared" si="13"/>
        <v>0</v>
      </c>
      <c r="R22" s="60" t="s">
        <v>262</v>
      </c>
      <c r="S22" s="74">
        <f t="shared" si="14"/>
        <v>203533411.02620864</v>
      </c>
      <c r="T22" s="128">
        <f>SUM(D22:Q22)/SUM(D21:Q21)</f>
        <v>0.75062461687876736</v>
      </c>
      <c r="U22" s="61"/>
    </row>
    <row r="23" spans="1:28" ht="16" thickBot="1" x14ac:dyDescent="0.25">
      <c r="B23" s="144"/>
      <c r="C23" s="145" t="s">
        <v>244</v>
      </c>
      <c r="D23" s="154">
        <f t="shared" si="0"/>
        <v>40229044.445205003</v>
      </c>
      <c r="E23" s="155">
        <f t="shared" si="1"/>
        <v>11110902.048526499</v>
      </c>
      <c r="F23" s="155">
        <f t="shared" si="2"/>
        <v>101410.6962094</v>
      </c>
      <c r="G23" s="155">
        <f t="shared" si="3"/>
        <v>6036923.3946390003</v>
      </c>
      <c r="H23" s="155">
        <f t="shared" si="4"/>
        <v>37003.975917120013</v>
      </c>
      <c r="I23" s="155">
        <f t="shared" si="5"/>
        <v>195883.80495389999</v>
      </c>
      <c r="J23" s="155">
        <f t="shared" si="6"/>
        <v>49533.205986693189</v>
      </c>
      <c r="K23" s="155">
        <f t="shared" si="7"/>
        <v>1041163.2435441574</v>
      </c>
      <c r="L23" s="155">
        <f t="shared" si="8"/>
        <v>34463.004458036346</v>
      </c>
      <c r="M23" s="155">
        <f t="shared" si="9"/>
        <v>5239.7277852670004</v>
      </c>
      <c r="N23" s="155">
        <f t="shared" si="10"/>
        <v>44585.939795500002</v>
      </c>
      <c r="O23" s="155">
        <f>SUM(H10:M10)+P10</f>
        <v>221913.48195815101</v>
      </c>
      <c r="P23" s="155">
        <f t="shared" si="12"/>
        <v>0</v>
      </c>
      <c r="Q23" s="156">
        <f t="shared" si="13"/>
        <v>0</v>
      </c>
      <c r="R23" s="66" t="s">
        <v>263</v>
      </c>
      <c r="S23" s="385">
        <f t="shared" si="14"/>
        <v>59108066.968978733</v>
      </c>
      <c r="T23" s="129">
        <f>SUM(D23:Q23)/SUM(D21:Q21)</f>
        <v>0.21798863341076224</v>
      </c>
      <c r="U23" s="134">
        <f>SUM(D23:Q23)/SUM(D22:Q22)</f>
        <v>0.2904096515208871</v>
      </c>
    </row>
    <row r="24" spans="1:28" ht="16" thickBot="1" x14ac:dyDescent="0.25">
      <c r="V24" s="584" t="s">
        <v>496</v>
      </c>
      <c r="W24" s="585"/>
    </row>
    <row r="25" spans="1:28" s="3" customFormat="1" ht="36.75" customHeight="1" thickBot="1" x14ac:dyDescent="0.25">
      <c r="A25" s="381" t="s">
        <v>463</v>
      </c>
      <c r="B25" s="138" t="s">
        <v>233</v>
      </c>
      <c r="C25" s="139" t="s">
        <v>242</v>
      </c>
      <c r="D25" s="146" t="s">
        <v>88</v>
      </c>
      <c r="E25" s="147" t="s">
        <v>191</v>
      </c>
      <c r="F25" s="147" t="s">
        <v>177</v>
      </c>
      <c r="G25" s="147" t="s">
        <v>193</v>
      </c>
      <c r="H25" s="147" t="s">
        <v>87</v>
      </c>
      <c r="I25" s="147" t="s">
        <v>86</v>
      </c>
      <c r="J25" s="147" t="s">
        <v>218</v>
      </c>
      <c r="K25" s="147" t="s">
        <v>93</v>
      </c>
      <c r="L25" s="147" t="s">
        <v>92</v>
      </c>
      <c r="M25" s="147" t="s">
        <v>205</v>
      </c>
      <c r="N25" s="147" t="s">
        <v>180</v>
      </c>
      <c r="O25" s="147" t="s">
        <v>94</v>
      </c>
      <c r="P25" s="147" t="s">
        <v>214</v>
      </c>
      <c r="Q25" s="148" t="s">
        <v>220</v>
      </c>
      <c r="R25" s="386"/>
      <c r="S25" s="4"/>
      <c r="T25" s="12" t="s">
        <v>261</v>
      </c>
      <c r="U25" s="4" t="s">
        <v>264</v>
      </c>
      <c r="V25" s="388" t="s">
        <v>464</v>
      </c>
      <c r="W25" s="389" t="s">
        <v>495</v>
      </c>
    </row>
    <row r="26" spans="1:28" x14ac:dyDescent="0.2">
      <c r="B26" s="16" t="str">
        <f t="shared" ref="B26:Q28" si="15">B15</f>
        <v>Conventional</v>
      </c>
      <c r="C26" s="37" t="str">
        <f t="shared" si="15"/>
        <v>Demand</v>
      </c>
      <c r="D26" s="80">
        <f>D15</f>
        <v>366813981.51889849</v>
      </c>
      <c r="E26" s="78">
        <f t="shared" si="15"/>
        <v>35650261.356656238</v>
      </c>
      <c r="F26" s="78">
        <f t="shared" si="15"/>
        <v>51212318.121497348</v>
      </c>
      <c r="G26" s="78">
        <f t="shared" si="15"/>
        <v>8309761.2027299423</v>
      </c>
      <c r="H26" s="78">
        <f t="shared" si="15"/>
        <v>142195.34524178933</v>
      </c>
      <c r="I26" s="78">
        <f t="shared" si="15"/>
        <v>513572.41971872188</v>
      </c>
      <c r="J26" s="78">
        <f t="shared" si="15"/>
        <v>49651.048453446921</v>
      </c>
      <c r="K26" s="78">
        <f t="shared" si="15"/>
        <v>17485146.313779932</v>
      </c>
      <c r="L26" s="78">
        <f t="shared" si="15"/>
        <v>2331258.4809745275</v>
      </c>
      <c r="M26" s="78">
        <f t="shared" si="15"/>
        <v>2974185.5658667972</v>
      </c>
      <c r="N26" s="78">
        <f t="shared" si="15"/>
        <v>838200.16560693912</v>
      </c>
      <c r="O26" s="78">
        <f t="shared" si="15"/>
        <v>4984066.6212024251</v>
      </c>
      <c r="P26" s="78">
        <f t="shared" si="15"/>
        <v>927122.10934046446</v>
      </c>
      <c r="Q26" s="81">
        <f t="shared" si="15"/>
        <v>101327.10855100733</v>
      </c>
      <c r="R26" s="390">
        <f>SUM(D26:Q26)</f>
        <v>492333047.3785181</v>
      </c>
      <c r="S26" s="57"/>
      <c r="T26" s="57"/>
      <c r="U26" s="57"/>
      <c r="V26" s="47"/>
      <c r="W26" s="48"/>
      <c r="X26" s="3"/>
      <c r="Y26" s="3"/>
      <c r="Z26" s="3"/>
      <c r="AA26" s="3"/>
      <c r="AB26" s="3"/>
    </row>
    <row r="27" spans="1:28" x14ac:dyDescent="0.2">
      <c r="B27" s="38"/>
      <c r="C27" s="11" t="str">
        <f t="shared" si="15"/>
        <v>Outflow</v>
      </c>
      <c r="D27" s="84">
        <f t="shared" si="15"/>
        <v>141154541.91299999</v>
      </c>
      <c r="E27" s="75">
        <f t="shared" si="15"/>
        <v>38985621.222899996</v>
      </c>
      <c r="F27" s="75">
        <f t="shared" si="15"/>
        <v>10141069.62094</v>
      </c>
      <c r="G27" s="75">
        <f t="shared" si="15"/>
        <v>6707692.6607100004</v>
      </c>
      <c r="H27" s="75">
        <f t="shared" si="15"/>
        <v>46254.969896400005</v>
      </c>
      <c r="I27" s="75">
        <f t="shared" si="15"/>
        <v>217648.67217099998</v>
      </c>
      <c r="J27" s="75">
        <f t="shared" si="15"/>
        <v>145576.02634450002</v>
      </c>
      <c r="K27" s="75">
        <f t="shared" si="15"/>
        <v>3140290.2836499996</v>
      </c>
      <c r="L27" s="75">
        <f t="shared" si="15"/>
        <v>496943.10682099999</v>
      </c>
      <c r="M27" s="75">
        <f t="shared" si="15"/>
        <v>523972.77852670004</v>
      </c>
      <c r="N27" s="75">
        <f t="shared" si="15"/>
        <v>178343.75918200001</v>
      </c>
      <c r="O27" s="75">
        <f t="shared" si="15"/>
        <v>1521498.21575</v>
      </c>
      <c r="P27" s="75">
        <f t="shared" si="15"/>
        <v>273957.79631700006</v>
      </c>
      <c r="Q27" s="85">
        <f t="shared" si="15"/>
        <v>0</v>
      </c>
      <c r="R27" s="390"/>
      <c r="S27" s="74">
        <f>SUM(D27:Q27)</f>
        <v>203533411.02620864</v>
      </c>
      <c r="T27" s="128">
        <f>SUM(D27:Q27)/SUM(D26:Q26)</f>
        <v>0.41340594971218131</v>
      </c>
      <c r="U27" s="57"/>
      <c r="V27" s="47"/>
      <c r="W27" s="48"/>
      <c r="X27" s="3"/>
      <c r="Y27" s="3"/>
      <c r="Z27" s="3"/>
      <c r="AA27" s="3"/>
      <c r="AB27" s="3"/>
    </row>
    <row r="28" spans="1:28" ht="16" thickBot="1" x14ac:dyDescent="0.25">
      <c r="B28" s="17"/>
      <c r="C28" s="10" t="str">
        <f t="shared" si="15"/>
        <v>Secondary</v>
      </c>
      <c r="D28" s="82">
        <f>Current_best_RR!F2</f>
        <v>63590121.131806493</v>
      </c>
      <c r="E28" s="76">
        <f>Current_best_RR!H2</f>
        <v>13190596.70196281</v>
      </c>
      <c r="F28" s="76">
        <f>Current_best_RR!G2</f>
        <v>9634016.1398929991</v>
      </c>
      <c r="G28" s="76">
        <f>Current_best_RR!I2</f>
        <v>6372308.0276744999</v>
      </c>
      <c r="H28" s="76">
        <f>Current_best_RR!Y2</f>
        <v>43942.221401580013</v>
      </c>
      <c r="I28" s="76">
        <f>Current_best_RR!X2</f>
        <v>206766.23856244999</v>
      </c>
      <c r="J28" s="76">
        <f>Current_best_RR!Z2</f>
        <v>49651.048453446921</v>
      </c>
      <c r="K28" s="76">
        <f>Current_best_RR!T2+Current_best_RR!U2</f>
        <v>2983275.7694675</v>
      </c>
      <c r="L28" s="76">
        <f>Current_best_RR!Q2</f>
        <v>472095.95147994999</v>
      </c>
      <c r="M28" s="76">
        <f>Current_best_RR!P2</f>
        <v>497774.13960036502</v>
      </c>
      <c r="N28" s="76">
        <f>Current_best_RR!W2</f>
        <v>160509.3832638</v>
      </c>
      <c r="O28" s="76">
        <f>SUM(Current_best_RR!J2:'Current_best_RR'!O2)+Current_best_RR!R2</f>
        <v>757150.30999308359</v>
      </c>
      <c r="P28" s="76">
        <f>Current_best_RR!V2</f>
        <v>0</v>
      </c>
      <c r="Q28" s="83">
        <f>Current_best_RR!AA2</f>
        <v>0</v>
      </c>
      <c r="R28" s="390"/>
      <c r="S28" s="74">
        <f t="shared" ref="S28" si="16">SUM(D28:Q28)</f>
        <v>97958207.063558996</v>
      </c>
      <c r="T28" s="128">
        <f>SUM(D28:Q28)/SUM(D26:Q26)</f>
        <v>0.19896736078381969</v>
      </c>
      <c r="U28" s="128">
        <f>SUM(D28:Q28)/SUM(D27:Q27)</f>
        <v>0.48128809206143108</v>
      </c>
      <c r="V28" s="390">
        <f>S28-S17</f>
        <v>38848044.304433033</v>
      </c>
      <c r="W28" s="391">
        <f>S39-S28</f>
        <v>73499382.424408734</v>
      </c>
      <c r="X28" s="3"/>
      <c r="Y28" s="3"/>
      <c r="Z28" s="3"/>
      <c r="AA28" s="3"/>
      <c r="AB28" s="3"/>
    </row>
    <row r="29" spans="1:28" x14ac:dyDescent="0.2">
      <c r="B29" s="38" t="str">
        <f t="shared" ref="B29:Q34" si="17">B18</f>
        <v>Biobased</v>
      </c>
      <c r="C29" s="11" t="str">
        <f t="shared" si="17"/>
        <v>Demand</v>
      </c>
      <c r="D29" s="84">
        <f t="shared" si="17"/>
        <v>120809984.73808014</v>
      </c>
      <c r="E29" s="75">
        <f t="shared" si="17"/>
        <v>36173560.571772642</v>
      </c>
      <c r="F29" s="75">
        <f t="shared" si="17"/>
        <v>13721915.138128513</v>
      </c>
      <c r="G29" s="75">
        <f t="shared" si="17"/>
        <v>4596200.9979896126</v>
      </c>
      <c r="H29" s="75">
        <f t="shared" si="17"/>
        <v>142195.34524178933</v>
      </c>
      <c r="I29" s="75">
        <f t="shared" si="17"/>
        <v>342985.32054930454</v>
      </c>
      <c r="J29" s="75">
        <f t="shared" si="17"/>
        <v>45105.889522897189</v>
      </c>
      <c r="K29" s="75">
        <f t="shared" si="17"/>
        <v>57807878.325695544</v>
      </c>
      <c r="L29" s="75">
        <f t="shared" si="17"/>
        <v>2331258.4809745275</v>
      </c>
      <c r="M29" s="75">
        <f t="shared" si="17"/>
        <v>2974185.5658667972</v>
      </c>
      <c r="N29" s="75">
        <f t="shared" si="17"/>
        <v>855982.58819151332</v>
      </c>
      <c r="O29" s="75">
        <f t="shared" si="17"/>
        <v>3681045.6087662792</v>
      </c>
      <c r="P29" s="75">
        <f t="shared" si="17"/>
        <v>1254830.0946821314</v>
      </c>
      <c r="Q29" s="85">
        <f t="shared" si="17"/>
        <v>380362.19277958805</v>
      </c>
      <c r="R29" s="390">
        <f t="shared" ref="R29:R32" si="18">SUM(D29:Q29)</f>
        <v>245117490.85824132</v>
      </c>
      <c r="S29" s="74"/>
      <c r="T29" s="57"/>
      <c r="U29" s="57"/>
      <c r="V29" s="47"/>
      <c r="W29" s="48"/>
      <c r="X29" s="3"/>
      <c r="Y29" s="3"/>
      <c r="Z29" s="3"/>
      <c r="AA29" s="3"/>
      <c r="AB29" s="3"/>
    </row>
    <row r="30" spans="1:28" x14ac:dyDescent="0.2">
      <c r="B30" s="38"/>
      <c r="C30" s="11" t="str">
        <f t="shared" si="17"/>
        <v>Outflow</v>
      </c>
      <c r="D30" s="84">
        <f t="shared" si="17"/>
        <v>141154541.91299999</v>
      </c>
      <c r="E30" s="75">
        <f t="shared" si="17"/>
        <v>38985621.222899996</v>
      </c>
      <c r="F30" s="75">
        <f t="shared" si="17"/>
        <v>10141069.62094</v>
      </c>
      <c r="G30" s="75">
        <f t="shared" si="17"/>
        <v>6707692.6607100004</v>
      </c>
      <c r="H30" s="75">
        <f t="shared" si="17"/>
        <v>46254.969896400005</v>
      </c>
      <c r="I30" s="75">
        <f t="shared" si="17"/>
        <v>217648.67217099998</v>
      </c>
      <c r="J30" s="75">
        <f t="shared" si="17"/>
        <v>145576.02634450002</v>
      </c>
      <c r="K30" s="75">
        <f t="shared" si="17"/>
        <v>3140290.2836499996</v>
      </c>
      <c r="L30" s="75">
        <f t="shared" si="17"/>
        <v>496943.10682099999</v>
      </c>
      <c r="M30" s="75">
        <f t="shared" si="17"/>
        <v>523972.77852670004</v>
      </c>
      <c r="N30" s="75">
        <f t="shared" si="17"/>
        <v>178343.75918200001</v>
      </c>
      <c r="O30" s="75">
        <f t="shared" si="17"/>
        <v>1521498.21575</v>
      </c>
      <c r="P30" s="75">
        <f t="shared" si="17"/>
        <v>273957.79631700006</v>
      </c>
      <c r="Q30" s="85">
        <f t="shared" si="17"/>
        <v>0</v>
      </c>
      <c r="R30" s="390"/>
      <c r="S30" s="74">
        <f t="shared" ref="S30" si="19">SUM(D30:Q30)</f>
        <v>203533411.02620864</v>
      </c>
      <c r="T30" s="128">
        <f>SUM(D30:Q30)/SUM(D29:Q29)</f>
        <v>0.83035041813445298</v>
      </c>
      <c r="U30" s="57"/>
      <c r="V30" s="47"/>
      <c r="W30" s="48"/>
      <c r="X30" s="3"/>
      <c r="Y30" s="3"/>
      <c r="Z30" s="3"/>
      <c r="AA30" s="3"/>
      <c r="AB30" s="3"/>
    </row>
    <row r="31" spans="1:28" ht="16" thickBot="1" x14ac:dyDescent="0.25">
      <c r="B31" s="17"/>
      <c r="C31" s="10" t="str">
        <f t="shared" si="17"/>
        <v>Secondary</v>
      </c>
      <c r="D31" s="82">
        <f>Current_best_RR!F20</f>
        <v>44699694.353089653</v>
      </c>
      <c r="E31" s="76">
        <f>Current_best_RR!H20</f>
        <v>13384217.411555881</v>
      </c>
      <c r="F31" s="76">
        <f>Current_best_RR!G20</f>
        <v>3430478.7845321279</v>
      </c>
      <c r="G31" s="76">
        <f>Current_best_RR!I20</f>
        <v>4596200.9979896126</v>
      </c>
      <c r="H31" s="76">
        <f>Current_best_RR!Y20</f>
        <v>43942.221401580013</v>
      </c>
      <c r="I31" s="76">
        <f>Current_best_RR!X20</f>
        <v>206766.23856244999</v>
      </c>
      <c r="J31" s="76">
        <f>Current_best_RR!Z20</f>
        <v>45105.889522897189</v>
      </c>
      <c r="K31" s="76">
        <f>Current_best_RR!U20+Current_best_RR!T20</f>
        <v>2983275.7694675</v>
      </c>
      <c r="L31" s="76">
        <f>Current_best_RR!Q20</f>
        <v>472095.95147994999</v>
      </c>
      <c r="M31" s="76">
        <f>Current_best_RR!P20</f>
        <v>497774.13960036502</v>
      </c>
      <c r="N31" s="76">
        <f>Current_best_RR!W20</f>
        <v>160509.3832638</v>
      </c>
      <c r="O31" s="76">
        <f>SUM(Current_best_RR!J20:'Current_best_RR'!O20)+Current_best_RR!R20</f>
        <v>831879.14946131245</v>
      </c>
      <c r="P31" s="76">
        <f>Current_best_RR!V20</f>
        <v>0</v>
      </c>
      <c r="Q31" s="83">
        <f>Current_best_RR!AA20</f>
        <v>0</v>
      </c>
      <c r="R31" s="390"/>
      <c r="S31" s="74">
        <f>SUM(D31:Q31)</f>
        <v>71351940.289927125</v>
      </c>
      <c r="T31" s="128">
        <f>SUM(D31:Q31)/SUM(D29:Q29)</f>
        <v>0.29109281447072277</v>
      </c>
      <c r="U31" s="128">
        <f>SUM(D31:Q31)/SUM(D30:Q30)</f>
        <v>0.35056622856253933</v>
      </c>
      <c r="V31" s="390">
        <f>S31-S20</f>
        <v>13689023.034061581</v>
      </c>
      <c r="W31" s="391">
        <f>S42-S31</f>
        <v>639624.27176764607</v>
      </c>
      <c r="X31" s="3"/>
      <c r="Y31" s="3"/>
      <c r="Z31" s="3"/>
      <c r="AA31" s="3"/>
      <c r="AB31" s="3"/>
    </row>
    <row r="32" spans="1:28" x14ac:dyDescent="0.2">
      <c r="B32" s="16" t="str">
        <f>B21</f>
        <v>Circular</v>
      </c>
      <c r="C32" s="37" t="str">
        <f t="shared" si="17"/>
        <v>Demand</v>
      </c>
      <c r="D32" s="80">
        <f t="shared" si="17"/>
        <v>173615030.8849197</v>
      </c>
      <c r="E32" s="78">
        <f t="shared" si="17"/>
        <v>30953690.512642734</v>
      </c>
      <c r="F32" s="78">
        <f t="shared" si="17"/>
        <v>24470691.298573297</v>
      </c>
      <c r="G32" s="78">
        <f t="shared" si="17"/>
        <v>6965872.6384671424</v>
      </c>
      <c r="H32" s="78">
        <f t="shared" si="17"/>
        <v>142195.34524178933</v>
      </c>
      <c r="I32" s="78">
        <f t="shared" si="17"/>
        <v>340545.81260664924</v>
      </c>
      <c r="J32" s="78">
        <f t="shared" si="17"/>
        <v>49533.205986693189</v>
      </c>
      <c r="K32" s="78">
        <f t="shared" si="17"/>
        <v>24073298.608270951</v>
      </c>
      <c r="L32" s="78">
        <f t="shared" si="17"/>
        <v>2331258.4809745275</v>
      </c>
      <c r="M32" s="78">
        <f t="shared" si="17"/>
        <v>2974185.5658667972</v>
      </c>
      <c r="N32" s="78">
        <f t="shared" si="17"/>
        <v>919257.85863103438</v>
      </c>
      <c r="O32" s="78">
        <f t="shared" si="17"/>
        <v>3311905.7275544922</v>
      </c>
      <c r="P32" s="78">
        <f t="shared" si="17"/>
        <v>903266.78228112566</v>
      </c>
      <c r="Q32" s="81">
        <f t="shared" si="17"/>
        <v>101327.10855100733</v>
      </c>
      <c r="R32" s="390">
        <f t="shared" si="18"/>
        <v>271152059.8305679</v>
      </c>
      <c r="S32" s="74"/>
      <c r="T32" s="57"/>
      <c r="U32" s="57"/>
      <c r="V32" s="47"/>
      <c r="W32" s="48"/>
      <c r="X32" s="3"/>
      <c r="Y32" s="3"/>
      <c r="Z32" s="3"/>
      <c r="AA32" s="3"/>
      <c r="AB32" s="3"/>
    </row>
    <row r="33" spans="1:28" x14ac:dyDescent="0.2">
      <c r="B33" s="38"/>
      <c r="C33" s="11" t="str">
        <f t="shared" si="17"/>
        <v>Outflow</v>
      </c>
      <c r="D33" s="84">
        <f t="shared" si="17"/>
        <v>141154541.91299999</v>
      </c>
      <c r="E33" s="75">
        <f t="shared" si="17"/>
        <v>38985621.222899996</v>
      </c>
      <c r="F33" s="75">
        <f t="shared" si="17"/>
        <v>10141069.62094</v>
      </c>
      <c r="G33" s="75">
        <f t="shared" si="17"/>
        <v>6707692.6607100004</v>
      </c>
      <c r="H33" s="75">
        <f t="shared" si="17"/>
        <v>46254.969896400005</v>
      </c>
      <c r="I33" s="75">
        <f t="shared" si="17"/>
        <v>217648.67217099998</v>
      </c>
      <c r="J33" s="75">
        <f t="shared" si="17"/>
        <v>145576.02634450002</v>
      </c>
      <c r="K33" s="75">
        <f t="shared" si="17"/>
        <v>3140290.2836499996</v>
      </c>
      <c r="L33" s="75">
        <f t="shared" si="17"/>
        <v>496943.10682099999</v>
      </c>
      <c r="M33" s="75">
        <f t="shared" si="17"/>
        <v>523972.77852670004</v>
      </c>
      <c r="N33" s="75">
        <f t="shared" si="17"/>
        <v>178343.75918200001</v>
      </c>
      <c r="O33" s="75">
        <f t="shared" si="17"/>
        <v>1521498.21575</v>
      </c>
      <c r="P33" s="75">
        <f t="shared" si="17"/>
        <v>273957.79631700006</v>
      </c>
      <c r="Q33" s="85">
        <f t="shared" si="17"/>
        <v>0</v>
      </c>
      <c r="R33" s="47"/>
      <c r="S33" s="74">
        <f t="shared" ref="S33" si="20">SUM(D33:Q33)</f>
        <v>203533411.02620864</v>
      </c>
      <c r="T33" s="128">
        <f>SUM(D33:Q33)/SUM(D32:Q32)</f>
        <v>0.75062461687876736</v>
      </c>
      <c r="U33" s="57"/>
      <c r="V33" s="47"/>
      <c r="W33" s="48"/>
      <c r="X33" s="3"/>
      <c r="Y33" s="3"/>
      <c r="Z33" s="3"/>
      <c r="AA33" s="3"/>
      <c r="AB33" s="3"/>
    </row>
    <row r="34" spans="1:28" ht="16" thickBot="1" x14ac:dyDescent="0.25">
      <c r="B34" s="17"/>
      <c r="C34" s="10" t="str">
        <f t="shared" si="17"/>
        <v>Secondary</v>
      </c>
      <c r="D34" s="82">
        <f>Current_best_RR!F38</f>
        <v>63590121.131806493</v>
      </c>
      <c r="E34" s="76">
        <f>Current_best_RR!H38</f>
        <v>11452865.489677809</v>
      </c>
      <c r="F34" s="76">
        <f>Current_best_RR!G38</f>
        <v>6117672.8246433241</v>
      </c>
      <c r="G34" s="76">
        <f>Current_best_RR!I38</f>
        <v>6372308.0276744999</v>
      </c>
      <c r="H34" s="76">
        <f>Current_best_RR!Y38</f>
        <v>43942.221401580013</v>
      </c>
      <c r="I34" s="76">
        <f>Current_best_RR!X38</f>
        <v>206766.23856244999</v>
      </c>
      <c r="J34" s="76">
        <f>Current_best_RR!Z38</f>
        <v>49533.205986693189</v>
      </c>
      <c r="K34" s="76">
        <f>Current_best_RR!U38+Current_best_RR!T38</f>
        <v>2983275.7694675</v>
      </c>
      <c r="L34" s="76">
        <f>Current_best_RR!Q38</f>
        <v>472095.95147994999</v>
      </c>
      <c r="M34" s="76">
        <f>Current_best_RR!P38</f>
        <v>497774.13960036502</v>
      </c>
      <c r="N34" s="76">
        <f>Current_best_RR!W38</f>
        <v>160509.3832638</v>
      </c>
      <c r="O34" s="76">
        <f>SUM(Current_best_RR!J38:'Current_best_RR'!O38)+Current_best_RR!R38</f>
        <v>831879.14946131245</v>
      </c>
      <c r="P34" s="76">
        <f>Current_best_RR!V38</f>
        <v>0</v>
      </c>
      <c r="Q34" s="83">
        <f>Current_best_RR!AA38</f>
        <v>0</v>
      </c>
      <c r="R34" s="384"/>
      <c r="S34" s="385">
        <f>SUM(D34:Q34)</f>
        <v>92778743.533025801</v>
      </c>
      <c r="T34" s="129">
        <f>SUM(D34:Q34)/SUM(D32:Q32)</f>
        <v>0.34216499624232816</v>
      </c>
      <c r="U34" s="129">
        <f>SUM(D34:Q34)/SUM(D33:Q33)</f>
        <v>0.45584036087853336</v>
      </c>
      <c r="V34" s="392">
        <f>S34-S23</f>
        <v>33670676.564047068</v>
      </c>
      <c r="W34" s="393">
        <f>S45-S34</f>
        <v>1622449.2004169375</v>
      </c>
      <c r="X34" s="3"/>
      <c r="Y34" s="3"/>
      <c r="Z34" s="3"/>
      <c r="AA34" s="3"/>
      <c r="AB34" s="3"/>
    </row>
    <row r="35" spans="1:28" ht="16" thickBot="1" x14ac:dyDescent="0.25">
      <c r="X35" s="3"/>
      <c r="Y35" s="3"/>
      <c r="Z35" s="3"/>
      <c r="AA35" s="3"/>
      <c r="AB35" s="3"/>
    </row>
    <row r="36" spans="1:28" ht="37" thickBot="1" x14ac:dyDescent="0.25">
      <c r="A36" s="387" t="s">
        <v>465</v>
      </c>
      <c r="B36" s="138" t="s">
        <v>233</v>
      </c>
      <c r="C36" s="139" t="s">
        <v>242</v>
      </c>
      <c r="D36" s="146" t="s">
        <v>88</v>
      </c>
      <c r="E36" s="147" t="s">
        <v>191</v>
      </c>
      <c r="F36" s="147" t="s">
        <v>177</v>
      </c>
      <c r="G36" s="147" t="s">
        <v>193</v>
      </c>
      <c r="H36" s="147" t="s">
        <v>87</v>
      </c>
      <c r="I36" s="147" t="s">
        <v>86</v>
      </c>
      <c r="J36" s="147" t="s">
        <v>218</v>
      </c>
      <c r="K36" s="147" t="s">
        <v>93</v>
      </c>
      <c r="L36" s="147" t="s">
        <v>92</v>
      </c>
      <c r="M36" s="147" t="s">
        <v>205</v>
      </c>
      <c r="N36" s="147" t="s">
        <v>180</v>
      </c>
      <c r="O36" s="147" t="s">
        <v>94</v>
      </c>
      <c r="P36" s="147" t="s">
        <v>214</v>
      </c>
      <c r="Q36" s="148" t="s">
        <v>220</v>
      </c>
      <c r="R36" s="383"/>
      <c r="S36" s="4"/>
      <c r="T36" s="12" t="s">
        <v>261</v>
      </c>
      <c r="U36" s="37" t="s">
        <v>264</v>
      </c>
      <c r="X36" s="3"/>
      <c r="Y36" s="3"/>
      <c r="Z36" s="3"/>
      <c r="AA36" s="3"/>
      <c r="AB36" s="3"/>
    </row>
    <row r="37" spans="1:28" x14ac:dyDescent="0.2">
      <c r="B37" s="16" t="s">
        <v>378</v>
      </c>
      <c r="C37" s="37" t="s">
        <v>242</v>
      </c>
      <c r="D37" s="80">
        <v>366813981.51889849</v>
      </c>
      <c r="E37" s="78">
        <v>35650261.356656238</v>
      </c>
      <c r="F37" s="78">
        <v>51212318.121497348</v>
      </c>
      <c r="G37" s="78">
        <v>8309761.2027299423</v>
      </c>
      <c r="H37" s="78">
        <v>142195.34524178933</v>
      </c>
      <c r="I37" s="78">
        <v>513572.41971872188</v>
      </c>
      <c r="J37" s="78">
        <v>49651.048453446921</v>
      </c>
      <c r="K37" s="78">
        <v>17485146.313779932</v>
      </c>
      <c r="L37" s="78">
        <v>2331258.4809745275</v>
      </c>
      <c r="M37" s="78">
        <v>2974185.5658667972</v>
      </c>
      <c r="N37" s="78">
        <v>838200.16560693912</v>
      </c>
      <c r="O37" s="78">
        <v>4984066.6212024251</v>
      </c>
      <c r="P37" s="78">
        <v>927122.10934046446</v>
      </c>
      <c r="Q37" s="81">
        <v>101327.10855100733</v>
      </c>
      <c r="R37" s="47"/>
      <c r="S37" s="57"/>
      <c r="T37" s="57"/>
      <c r="U37" s="61"/>
      <c r="X37" s="3"/>
      <c r="Y37" s="3"/>
      <c r="Z37" s="3"/>
      <c r="AA37" s="3"/>
      <c r="AB37" s="3"/>
    </row>
    <row r="38" spans="1:28" x14ac:dyDescent="0.2">
      <c r="B38" s="38"/>
      <c r="C38" s="11" t="s">
        <v>259</v>
      </c>
      <c r="D38" s="84">
        <v>141154541.91299999</v>
      </c>
      <c r="E38" s="75">
        <v>38985621.222899996</v>
      </c>
      <c r="F38" s="75">
        <v>10141069.62094</v>
      </c>
      <c r="G38" s="75">
        <v>6707692.6607100004</v>
      </c>
      <c r="H38" s="75">
        <v>46254.969896400005</v>
      </c>
      <c r="I38" s="75">
        <v>217648.67217099998</v>
      </c>
      <c r="J38" s="75">
        <v>145576.02634450002</v>
      </c>
      <c r="K38" s="75">
        <v>3140290.2836499996</v>
      </c>
      <c r="L38" s="75">
        <v>496943.10682099999</v>
      </c>
      <c r="M38" s="75">
        <v>523972.77852670004</v>
      </c>
      <c r="N38" s="75">
        <v>178343.75918200001</v>
      </c>
      <c r="O38" s="75">
        <v>1521498.21575</v>
      </c>
      <c r="P38" s="75">
        <v>273957.79631700006</v>
      </c>
      <c r="Q38" s="85">
        <v>0</v>
      </c>
      <c r="R38" s="47"/>
      <c r="S38" s="74">
        <f>SUM(D38:Q38)</f>
        <v>203533411.02620864</v>
      </c>
      <c r="T38" s="128">
        <f>SUM(D38:Q38)/SUM(D37:Q37)</f>
        <v>0.41340594971218131</v>
      </c>
      <c r="U38" s="61"/>
      <c r="X38" s="3"/>
      <c r="Y38" s="3"/>
      <c r="Z38" s="3"/>
      <c r="AA38" s="3"/>
      <c r="AB38" s="3"/>
    </row>
    <row r="39" spans="1:28" ht="16" thickBot="1" x14ac:dyDescent="0.25">
      <c r="B39" s="17"/>
      <c r="C39" s="10" t="s">
        <v>244</v>
      </c>
      <c r="D39" s="82">
        <f>Max_RR!F2</f>
        <v>135721173.1619924</v>
      </c>
      <c r="E39" s="76">
        <f>Max_RR!H2</f>
        <v>13190596.70196281</v>
      </c>
      <c r="F39" s="76">
        <f>Max_RR!G2</f>
        <v>10141069.62094</v>
      </c>
      <c r="G39" s="76">
        <f>Max_RR!J2</f>
        <v>6707692.6607100004</v>
      </c>
      <c r="H39" s="76">
        <f>Max_RR!Z2</f>
        <v>46254.969896400013</v>
      </c>
      <c r="I39" s="76">
        <f>Max_RR!Y2</f>
        <v>217648.67217100001</v>
      </c>
      <c r="J39" s="76">
        <f>Max_RR!AA2</f>
        <v>49651.048453446921</v>
      </c>
      <c r="K39" s="76">
        <f>Max_RR!U2+Max_RR!V2</f>
        <v>3140290.2836500001</v>
      </c>
      <c r="L39" s="76">
        <f>Max_RR!R2</f>
        <v>496943.10682099999</v>
      </c>
      <c r="M39" s="76">
        <f>Max_RR!Q2</f>
        <v>523972.77852669999</v>
      </c>
      <c r="N39" s="76">
        <f>Max_RR!X2</f>
        <v>178343.75918200001</v>
      </c>
      <c r="O39" s="76">
        <f>SUM(Max_RR!K2:'Max_RR'!P2)+Max_RR!S2</f>
        <v>1043952.7236619586</v>
      </c>
      <c r="P39" s="76">
        <f>Max_RR!W2</f>
        <v>0</v>
      </c>
      <c r="Q39" s="83">
        <f>Max_RR!AB2</f>
        <v>0</v>
      </c>
      <c r="R39" s="47"/>
      <c r="S39" s="74">
        <f t="shared" ref="S39" si="21">SUM(D39:Q39)</f>
        <v>171457589.48796773</v>
      </c>
      <c r="T39" s="128">
        <f>SUM(D39:Q39)/SUM(D37:Q37)</f>
        <v>0.34825529263353877</v>
      </c>
      <c r="U39" s="133">
        <f>SUM(D39:Q39)/SUM(D38:Q38)</f>
        <v>0.84240512957299885</v>
      </c>
      <c r="X39" s="3"/>
      <c r="Y39" s="3"/>
      <c r="Z39" s="3"/>
      <c r="AA39" s="3"/>
      <c r="AB39" s="3"/>
    </row>
    <row r="40" spans="1:28" x14ac:dyDescent="0.2">
      <c r="B40" s="38" t="s">
        <v>236</v>
      </c>
      <c r="C40" s="11" t="s">
        <v>242</v>
      </c>
      <c r="D40" s="84">
        <v>120809984.73808014</v>
      </c>
      <c r="E40" s="75">
        <v>36173560.571772642</v>
      </c>
      <c r="F40" s="75">
        <v>13721915.138128513</v>
      </c>
      <c r="G40" s="75">
        <v>4596200.9979896126</v>
      </c>
      <c r="H40" s="75">
        <v>142195.34524178933</v>
      </c>
      <c r="I40" s="75">
        <v>342985.32054930454</v>
      </c>
      <c r="J40" s="75">
        <v>45105.889522897189</v>
      </c>
      <c r="K40" s="75">
        <v>57807878.325695544</v>
      </c>
      <c r="L40" s="75">
        <v>2331258.4809745275</v>
      </c>
      <c r="M40" s="75">
        <v>2974185.5658667972</v>
      </c>
      <c r="N40" s="75">
        <v>855982.58819151332</v>
      </c>
      <c r="O40" s="75">
        <v>3681045.6087662792</v>
      </c>
      <c r="P40" s="75">
        <v>1254830.0946821314</v>
      </c>
      <c r="Q40" s="85">
        <v>380362.19277958805</v>
      </c>
      <c r="R40" s="47"/>
      <c r="S40" s="74"/>
      <c r="T40" s="57"/>
      <c r="U40" s="61"/>
      <c r="X40" s="3"/>
      <c r="Y40" s="3"/>
      <c r="Z40" s="3"/>
      <c r="AA40" s="3"/>
      <c r="AB40" s="3"/>
    </row>
    <row r="41" spans="1:28" x14ac:dyDescent="0.2">
      <c r="B41" s="38"/>
      <c r="C41" s="11" t="s">
        <v>259</v>
      </c>
      <c r="D41" s="84">
        <v>141154541.91299999</v>
      </c>
      <c r="E41" s="75">
        <v>38985621.222899996</v>
      </c>
      <c r="F41" s="75">
        <v>10141069.62094</v>
      </c>
      <c r="G41" s="75">
        <v>6707692.6607100004</v>
      </c>
      <c r="H41" s="75">
        <v>46254.969896400005</v>
      </c>
      <c r="I41" s="75">
        <v>217648.67217099998</v>
      </c>
      <c r="J41" s="75">
        <v>145576.02634450002</v>
      </c>
      <c r="K41" s="75">
        <v>3140290.2836499996</v>
      </c>
      <c r="L41" s="75">
        <v>496943.10682099999</v>
      </c>
      <c r="M41" s="75">
        <v>523972.77852670004</v>
      </c>
      <c r="N41" s="75">
        <v>178343.75918200001</v>
      </c>
      <c r="O41" s="75">
        <v>1521498.21575</v>
      </c>
      <c r="P41" s="75">
        <v>273957.79631700006</v>
      </c>
      <c r="Q41" s="85">
        <v>0</v>
      </c>
      <c r="R41" s="47"/>
      <c r="S41" s="74">
        <f t="shared" ref="S41:S42" si="22">SUM(D41:Q41)</f>
        <v>203533411.02620864</v>
      </c>
      <c r="T41" s="128">
        <f>SUM(D41:Q41)/SUM(D40:Q40)</f>
        <v>0.83035041813445298</v>
      </c>
      <c r="U41" s="61"/>
      <c r="X41" s="3"/>
      <c r="Y41" s="3"/>
      <c r="Z41" s="3"/>
      <c r="AA41" s="3"/>
      <c r="AB41" s="3"/>
    </row>
    <row r="42" spans="1:28" ht="16" thickBot="1" x14ac:dyDescent="0.25">
      <c r="B42" s="17"/>
      <c r="C42" s="10" t="s">
        <v>244</v>
      </c>
      <c r="D42" s="82">
        <f>Max_RR!F20</f>
        <v>44699694.353089653</v>
      </c>
      <c r="E42" s="76">
        <f>Max_RR!H20</f>
        <v>13384217.411555881</v>
      </c>
      <c r="F42" s="76">
        <f>Max_RR!G20</f>
        <v>3430478.7845321279</v>
      </c>
      <c r="G42" s="76">
        <f>Max_RR!J20</f>
        <v>4596200.9979896126</v>
      </c>
      <c r="H42" s="76">
        <f>Max_RR!Z20</f>
        <v>46254.969896400013</v>
      </c>
      <c r="I42" s="76">
        <f>Max_RR!Y20</f>
        <v>217648.67217100001</v>
      </c>
      <c r="J42" s="76">
        <f>Max_RR!AA20</f>
        <v>45105.889522897189</v>
      </c>
      <c r="K42" s="76">
        <f>Max_RR!U20+Max_RR!V20</f>
        <v>3140290.2836500001</v>
      </c>
      <c r="L42" s="76">
        <f>Max_RR!R20</f>
        <v>496943.10682099999</v>
      </c>
      <c r="M42" s="76">
        <f>Max_RR!Q20</f>
        <v>523972.77852669999</v>
      </c>
      <c r="N42" s="76">
        <f>Max_RR!X20</f>
        <v>178343.75918200001</v>
      </c>
      <c r="O42" s="76">
        <f>SUM(Max_RR!K20:'Max_RR'!P20)+Max_RR!S20</f>
        <v>1232413.5547575001</v>
      </c>
      <c r="P42" s="76">
        <f>Max_RR!W20</f>
        <v>0</v>
      </c>
      <c r="Q42" s="83">
        <f>Max_RR!AB20</f>
        <v>0</v>
      </c>
      <c r="R42" s="47"/>
      <c r="S42" s="74">
        <f t="shared" si="22"/>
        <v>71991564.561694771</v>
      </c>
      <c r="T42" s="128">
        <f>SUM(D42:Q42)/SUM(D40:Q40)</f>
        <v>0.29370227440574453</v>
      </c>
      <c r="U42" s="133">
        <f>SUM(D42:Q42)/SUM(D41:Q41)</f>
        <v>0.35370882941879522</v>
      </c>
      <c r="X42" s="3"/>
      <c r="Y42" s="3"/>
      <c r="Z42" s="3"/>
      <c r="AA42" s="3"/>
      <c r="AB42" s="3"/>
    </row>
    <row r="43" spans="1:28" x14ac:dyDescent="0.2">
      <c r="B43" s="16" t="s">
        <v>241</v>
      </c>
      <c r="C43" s="37" t="s">
        <v>242</v>
      </c>
      <c r="D43" s="80">
        <v>173615030.8849197</v>
      </c>
      <c r="E43" s="78">
        <v>30953690.512642734</v>
      </c>
      <c r="F43" s="78">
        <v>24470691.298573297</v>
      </c>
      <c r="G43" s="78">
        <v>6965872.6384671424</v>
      </c>
      <c r="H43" s="78">
        <v>142195.34524178933</v>
      </c>
      <c r="I43" s="78">
        <v>340545.81260664924</v>
      </c>
      <c r="J43" s="78">
        <v>49533.205986693189</v>
      </c>
      <c r="K43" s="78">
        <v>24073298.608270951</v>
      </c>
      <c r="L43" s="78">
        <v>2331258.4809745275</v>
      </c>
      <c r="M43" s="78">
        <v>2974185.5658667972</v>
      </c>
      <c r="N43" s="78">
        <v>919257.85863103438</v>
      </c>
      <c r="O43" s="78">
        <v>3311905.7275544922</v>
      </c>
      <c r="P43" s="78">
        <v>903266.78228112566</v>
      </c>
      <c r="Q43" s="81">
        <v>101327.10855100733</v>
      </c>
      <c r="R43" s="47"/>
      <c r="S43" s="74"/>
      <c r="T43" s="57"/>
      <c r="U43" s="61"/>
      <c r="X43" s="3"/>
      <c r="Y43" s="3"/>
      <c r="Z43" s="3"/>
      <c r="AA43" s="3"/>
      <c r="AB43" s="3"/>
    </row>
    <row r="44" spans="1:28" x14ac:dyDescent="0.2">
      <c r="B44" s="38"/>
      <c r="C44" s="11" t="s">
        <v>259</v>
      </c>
      <c r="D44" s="84">
        <v>141154541.91299999</v>
      </c>
      <c r="E44" s="75">
        <v>38985621.222899996</v>
      </c>
      <c r="F44" s="75">
        <v>10141069.62094</v>
      </c>
      <c r="G44" s="75">
        <v>6707692.6607100004</v>
      </c>
      <c r="H44" s="75">
        <v>46254.969896400005</v>
      </c>
      <c r="I44" s="75">
        <v>217648.67217099998</v>
      </c>
      <c r="J44" s="75">
        <v>145576.02634450002</v>
      </c>
      <c r="K44" s="75">
        <v>3140290.2836499996</v>
      </c>
      <c r="L44" s="75">
        <v>496943.10682099999</v>
      </c>
      <c r="M44" s="75">
        <v>523972.77852670004</v>
      </c>
      <c r="N44" s="75">
        <v>178343.75918200001</v>
      </c>
      <c r="O44" s="75">
        <v>1521498.21575</v>
      </c>
      <c r="P44" s="75">
        <v>273957.79631700006</v>
      </c>
      <c r="Q44" s="85">
        <v>0</v>
      </c>
      <c r="R44" s="47"/>
      <c r="S44" s="74">
        <f t="shared" ref="S44" si="23">SUM(D44:Q44)</f>
        <v>203533411.02620864</v>
      </c>
      <c r="T44" s="128">
        <f>SUM(D44:Q44)/SUM(D43:Q43)</f>
        <v>0.75062461687876736</v>
      </c>
      <c r="U44" s="61"/>
      <c r="X44" s="3"/>
      <c r="Y44" s="3"/>
      <c r="Z44" s="3"/>
      <c r="AA44" s="3"/>
      <c r="AB44" s="3"/>
    </row>
    <row r="45" spans="1:28" ht="16" thickBot="1" x14ac:dyDescent="0.25">
      <c r="B45" s="17"/>
      <c r="C45" s="10" t="s">
        <v>244</v>
      </c>
      <c r="D45" s="82">
        <f>Max_RR!F38</f>
        <v>64237561.427420288</v>
      </c>
      <c r="E45" s="76">
        <f>Max_RR!H38</f>
        <v>11452865.489677809</v>
      </c>
      <c r="F45" s="76">
        <f>Max_RR!G38</f>
        <v>6117672.8246433241</v>
      </c>
      <c r="G45" s="76">
        <f>Max_RR!J38</f>
        <v>6707692.6607100004</v>
      </c>
      <c r="H45" s="76">
        <f>Max_RR!Z38</f>
        <v>46254.969896400013</v>
      </c>
      <c r="I45" s="76">
        <f>Max_RR!Y38</f>
        <v>217648.67217100001</v>
      </c>
      <c r="J45" s="76">
        <f>Max_RR!AA38</f>
        <v>49533.205986693189</v>
      </c>
      <c r="K45" s="76">
        <f>Max_RR!U38+Max_RR!V38</f>
        <v>3140290.2836500001</v>
      </c>
      <c r="L45" s="76">
        <f>Max_RR!R38</f>
        <v>496943.10682099999</v>
      </c>
      <c r="M45" s="76">
        <f>Max_RR!Q38</f>
        <v>523972.77852669999</v>
      </c>
      <c r="N45" s="76">
        <f>Max_RR!X38</f>
        <v>178343.75918200001</v>
      </c>
      <c r="O45" s="76">
        <f>SUM(Max_RR!K38:'Max_RR'!P38)+Max_RR!S38</f>
        <v>1232413.5547575001</v>
      </c>
      <c r="P45" s="76">
        <f>Max_RR!W38</f>
        <v>0</v>
      </c>
      <c r="Q45" s="83">
        <f>Max_RR!AB38</f>
        <v>0</v>
      </c>
      <c r="R45" s="384"/>
      <c r="S45" s="385">
        <f>SUM(D45:Q45)</f>
        <v>94401192.733442739</v>
      </c>
      <c r="T45" s="129">
        <f>SUM(D45:Q45)/SUM(D43:Q43)</f>
        <v>0.34814853625832781</v>
      </c>
      <c r="U45" s="134">
        <f>SUM(D45:Q45)/SUM(D44:Q44)</f>
        <v>0.46381177545973945</v>
      </c>
    </row>
  </sheetData>
  <mergeCells count="1">
    <mergeCell ref="V24:W24"/>
  </mergeCells>
  <pageMargins left="0.7" right="0.7" top="0.75" bottom="0.75" header="0.3" footer="0.3"/>
  <pageSetup paperSize="9" orientation="portrait" horizontalDpi="4294967293"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8D32-5A80-49F7-8432-3994CE3361FB}">
  <sheetPr>
    <tabColor theme="4" tint="0.39997558519241921"/>
  </sheetPr>
  <dimension ref="A1:Z21"/>
  <sheetViews>
    <sheetView zoomScale="85" zoomScaleNormal="85" workbookViewId="0">
      <selection activeCell="N40" sqref="N40"/>
    </sheetView>
  </sheetViews>
  <sheetFormatPr baseColWidth="10" defaultColWidth="8.83203125" defaultRowHeight="11" x14ac:dyDescent="0.15"/>
  <cols>
    <col min="1" max="3" width="8.83203125" style="130"/>
    <col min="4" max="4" width="14.33203125" style="130" bestFit="1" customWidth="1"/>
    <col min="5" max="6" width="13.1640625" style="130" bestFit="1" customWidth="1"/>
    <col min="7" max="13" width="11.83203125" style="130" bestFit="1" customWidth="1"/>
    <col min="14" max="14" width="9.6640625" style="130" bestFit="1" customWidth="1"/>
    <col min="15" max="17" width="11.83203125" style="130" bestFit="1" customWidth="1"/>
    <col min="18" max="18" width="13.1640625" style="130" bestFit="1" customWidth="1"/>
    <col min="19" max="19" width="11.83203125" style="130" bestFit="1" customWidth="1"/>
    <col min="20" max="20" width="9.6640625" style="130" bestFit="1" customWidth="1"/>
    <col min="21" max="26" width="11.83203125" style="130" bestFit="1" customWidth="1"/>
    <col min="27" max="16384" width="8.83203125" style="130"/>
  </cols>
  <sheetData>
    <row r="1" spans="1:26" ht="40.75" customHeight="1" thickBot="1" x14ac:dyDescent="0.2">
      <c r="A1" s="297" t="s">
        <v>368</v>
      </c>
      <c r="B1" s="298" t="s">
        <v>370</v>
      </c>
      <c r="C1" s="298" t="s">
        <v>371</v>
      </c>
      <c r="D1" s="138" t="str">
        <f>Demand!E1</f>
        <v>Concrete</v>
      </c>
      <c r="E1" s="300" t="str">
        <f>Demand!F1</f>
        <v>Clay brick</v>
      </c>
      <c r="F1" s="300" t="str">
        <f>Demand!G1</f>
        <v>Other construction materials</v>
      </c>
      <c r="G1" s="300" t="str">
        <f>Demand!H1</f>
        <v>Steel &amp; iron</v>
      </c>
      <c r="H1" s="300" t="str">
        <f>Demand!I1</f>
        <v>Insulation</v>
      </c>
      <c r="I1" s="300" t="str">
        <f>Demand!J1</f>
        <v>Stone wool</v>
      </c>
      <c r="J1" s="300" t="str">
        <f>Demand!K1</f>
        <v>Glass wool</v>
      </c>
      <c r="K1" s="300" t="str">
        <f>Demand!L1</f>
        <v>EPS</v>
      </c>
      <c r="L1" s="300" t="str">
        <f>Demand!M1</f>
        <v>XPS</v>
      </c>
      <c r="M1" s="300" t="str">
        <f>Demand!N1</f>
        <v>PUR</v>
      </c>
      <c r="N1" s="300" t="str">
        <f>Demand!O1</f>
        <v>Woodfibre insulation</v>
      </c>
      <c r="O1" s="300" t="str">
        <f>Demand!P1</f>
        <v>Ceramics</v>
      </c>
      <c r="P1" s="300" t="str">
        <f>Demand!Q1</f>
        <v>Glass</v>
      </c>
      <c r="Q1" s="300" t="str">
        <f>Demand!R1</f>
        <v>Wood</v>
      </c>
      <c r="R1" s="300" t="str">
        <f>Demand!S1</f>
        <v>Wood beam</v>
      </c>
      <c r="S1" s="300" t="str">
        <f>Demand!T1</f>
        <v>Wood board</v>
      </c>
      <c r="T1" s="300" t="str">
        <f>Demand!U1</f>
        <v>CLT</v>
      </c>
      <c r="U1" s="300" t="str">
        <f>Demand!V1</f>
        <v>Other</v>
      </c>
      <c r="V1" s="300" t="str">
        <f>Demand!W1</f>
        <v>Plastics</v>
      </c>
      <c r="W1" s="300" t="str">
        <f>Demand!X1</f>
        <v>Aluminum</v>
      </c>
      <c r="X1" s="300" t="str">
        <f>Demand!Y1</f>
        <v>Copper</v>
      </c>
      <c r="Y1" s="300" t="str">
        <f>Demand!Z1</f>
        <v>Other metals</v>
      </c>
      <c r="Z1" s="139" t="str">
        <f>Demand!AA1</f>
        <v>Other biobased materials</v>
      </c>
    </row>
    <row r="2" spans="1:26" x14ac:dyDescent="0.15">
      <c r="A2" s="299"/>
      <c r="B2" s="130" t="s">
        <v>369</v>
      </c>
      <c r="C2" s="130" t="s">
        <v>242</v>
      </c>
      <c r="D2" s="302">
        <f>Demand!E2</f>
        <v>366813981.51889849</v>
      </c>
      <c r="E2" s="302">
        <f>Demand!F2</f>
        <v>51212318.121497348</v>
      </c>
      <c r="F2" s="302">
        <f>Demand!G2</f>
        <v>35650261.356656238</v>
      </c>
      <c r="G2" s="302">
        <f>Demand!H2</f>
        <v>8309761.2027299423</v>
      </c>
      <c r="H2" s="302">
        <f>Demand!I2</f>
        <v>4984066.6212024251</v>
      </c>
      <c r="I2" s="302">
        <f>Demand!J2</f>
        <v>1096494.6566645335</v>
      </c>
      <c r="J2" s="302">
        <f>Demand!K2</f>
        <v>1844104.6498448972</v>
      </c>
      <c r="K2" s="302">
        <f>Demand!L2</f>
        <v>1345697.9877246548</v>
      </c>
      <c r="L2" s="302">
        <f>Demand!M2</f>
        <v>299043.99727214547</v>
      </c>
      <c r="M2" s="302">
        <f>Demand!N2</f>
        <v>398725.32969619404</v>
      </c>
      <c r="N2" s="302">
        <f>Demand!O2</f>
        <v>0</v>
      </c>
      <c r="O2" s="302">
        <f>Demand!P2</f>
        <v>2974185.5658667972</v>
      </c>
      <c r="P2" s="302">
        <f>Demand!Q2</f>
        <v>2331258.4809745275</v>
      </c>
      <c r="Q2" s="302">
        <f>Demand!R2</f>
        <v>17485146.313779932</v>
      </c>
      <c r="R2" s="302">
        <f>Demand!S2</f>
        <v>14337819.977299543</v>
      </c>
      <c r="S2" s="302">
        <f>Demand!T2</f>
        <v>3147326.3364803875</v>
      </c>
      <c r="T2" s="302">
        <f>Demand!U2</f>
        <v>0</v>
      </c>
      <c r="U2" s="302">
        <f>Demand!V2</f>
        <v>927122.10934046446</v>
      </c>
      <c r="V2" s="302">
        <f>Demand!W2</f>
        <v>838200.16560693912</v>
      </c>
      <c r="W2" s="302">
        <f>Demand!X2</f>
        <v>513572.41971872188</v>
      </c>
      <c r="X2" s="302">
        <f>Demand!Y2</f>
        <v>142195.34524178933</v>
      </c>
      <c r="Y2" s="302">
        <f>Demand!Z2</f>
        <v>49651.048453446921</v>
      </c>
      <c r="Z2" s="302">
        <f>Demand!AA2</f>
        <v>101327.10855100733</v>
      </c>
    </row>
    <row r="3" spans="1:26" x14ac:dyDescent="0.15">
      <c r="B3" s="130" t="s">
        <v>272</v>
      </c>
      <c r="C3" s="130" t="s">
        <v>242</v>
      </c>
      <c r="D3" s="302">
        <f>Demand!E3</f>
        <v>353857260.19331282</v>
      </c>
      <c r="E3" s="302">
        <f>Demand!F3</f>
        <v>46439002.120224282</v>
      </c>
      <c r="F3" s="302">
        <f>Demand!G3</f>
        <v>36001698.452452712</v>
      </c>
      <c r="G3" s="302">
        <f>Demand!H3</f>
        <v>8075378.6645695055</v>
      </c>
      <c r="H3" s="302">
        <f>Demand!I3</f>
        <v>5371159.2740458101</v>
      </c>
      <c r="I3" s="302">
        <f>Demand!J3</f>
        <v>1181655.0402900781</v>
      </c>
      <c r="J3" s="302">
        <f>Demand!K3</f>
        <v>1987328.9313969498</v>
      </c>
      <c r="K3" s="302">
        <f>Demand!L3</f>
        <v>1450213.0039923689</v>
      </c>
      <c r="L3" s="302">
        <f>Demand!M3</f>
        <v>322269.55644274858</v>
      </c>
      <c r="M3" s="302">
        <f>Demand!N3</f>
        <v>429692.74192366481</v>
      </c>
      <c r="N3" s="302">
        <f>Demand!O3</f>
        <v>0</v>
      </c>
      <c r="O3" s="302">
        <f>Demand!P3</f>
        <v>2546164.6054775598</v>
      </c>
      <c r="P3" s="302">
        <f>Demand!Q3</f>
        <v>2289359.7653631628</v>
      </c>
      <c r="Q3" s="302">
        <f>Demand!R3</f>
        <v>17434870.199128523</v>
      </c>
      <c r="R3" s="302">
        <f>Demand!S3</f>
        <v>14296593.563285388</v>
      </c>
      <c r="S3" s="302">
        <f>Demand!T3</f>
        <v>3138276.635843134</v>
      </c>
      <c r="T3" s="302">
        <f>Demand!U3</f>
        <v>0</v>
      </c>
      <c r="U3" s="302">
        <f>Demand!V3</f>
        <v>880464.02334673586</v>
      </c>
      <c r="V3" s="302">
        <f>Demand!W3</f>
        <v>786645.18798104359</v>
      </c>
      <c r="W3" s="302">
        <f>Demand!X3</f>
        <v>483114.94611398841</v>
      </c>
      <c r="X3" s="302">
        <f>Demand!Y3</f>
        <v>137986.18403285198</v>
      </c>
      <c r="Y3" s="302">
        <f>Demand!Z3</f>
        <v>46795.463580676871</v>
      </c>
      <c r="Z3" s="302">
        <f>Demand!AA3</f>
        <v>109333.68255917942</v>
      </c>
    </row>
    <row r="4" spans="1:26" x14ac:dyDescent="0.15">
      <c r="B4" s="130" t="s">
        <v>273</v>
      </c>
      <c r="C4" s="130" t="s">
        <v>242</v>
      </c>
      <c r="D4" s="302">
        <f>Demand!E4</f>
        <v>356036978.39279366</v>
      </c>
      <c r="E4" s="302">
        <f>Demand!F4</f>
        <v>43079344.354460411</v>
      </c>
      <c r="F4" s="302">
        <f>Demand!G4</f>
        <v>39124790.091571227</v>
      </c>
      <c r="G4" s="302">
        <f>Demand!H4</f>
        <v>8061795.3172355555</v>
      </c>
      <c r="H4" s="302">
        <f>Demand!I4</f>
        <v>6425922.3394961916</v>
      </c>
      <c r="I4" s="302">
        <f>Demand!J4</f>
        <v>1413702.914689162</v>
      </c>
      <c r="J4" s="302">
        <f>Demand!K4</f>
        <v>2377591.2656135908</v>
      </c>
      <c r="K4" s="302">
        <f>Demand!L4</f>
        <v>1734999.031663972</v>
      </c>
      <c r="L4" s="302">
        <f>Demand!M4</f>
        <v>385555.34036977147</v>
      </c>
      <c r="M4" s="302">
        <f>Demand!N4</f>
        <v>514073.78715969535</v>
      </c>
      <c r="N4" s="302">
        <f>Demand!O4</f>
        <v>0</v>
      </c>
      <c r="O4" s="302">
        <f>Demand!P4</f>
        <v>2056048.6989208588</v>
      </c>
      <c r="P4" s="302">
        <f>Demand!Q4</f>
        <v>2405380.6467982605</v>
      </c>
      <c r="Q4" s="302">
        <f>Demand!R4</f>
        <v>18864741.980994508</v>
      </c>
      <c r="R4" s="302">
        <f>Demand!S4</f>
        <v>15469088.424415495</v>
      </c>
      <c r="S4" s="302">
        <f>Demand!T4</f>
        <v>3395653.556579011</v>
      </c>
      <c r="T4" s="302">
        <f>Demand!U4</f>
        <v>0</v>
      </c>
      <c r="U4" s="302">
        <f>Demand!V4</f>
        <v>875923.4906572816</v>
      </c>
      <c r="V4" s="302">
        <f>Demand!W4</f>
        <v>758091.84785659937</v>
      </c>
      <c r="W4" s="302">
        <f>Demand!X4</f>
        <v>469056.16260244476</v>
      </c>
      <c r="X4" s="302">
        <f>Demand!Y4</f>
        <v>142120.18628677871</v>
      </c>
      <c r="Y4" s="302">
        <f>Demand!Z4</f>
        <v>44941.471040910503</v>
      </c>
      <c r="Z4" s="302">
        <f>Demand!AA4</f>
        <v>131027.97462448188</v>
      </c>
    </row>
    <row r="6" spans="1:26" x14ac:dyDescent="0.15">
      <c r="B6" s="130" t="s">
        <v>369</v>
      </c>
      <c r="C6" s="130" t="s">
        <v>259</v>
      </c>
      <c r="D6" s="301">
        <f>Demolition!C2</f>
        <v>141154541.91299999</v>
      </c>
      <c r="E6" s="301">
        <f>Demolition!D2</f>
        <v>10141069.62094</v>
      </c>
      <c r="F6" s="301">
        <f>Demolition!E2</f>
        <v>38985621.222899996</v>
      </c>
      <c r="G6" s="301">
        <f>Demolition!F2</f>
        <v>6707692.6607100004</v>
      </c>
      <c r="H6" s="301">
        <f>Demolition!G2</f>
        <v>1521498.21575</v>
      </c>
      <c r="I6" s="301">
        <f>Demolition!H2</f>
        <v>334729.60746500001</v>
      </c>
      <c r="J6" s="301">
        <f>Demolition!I2</f>
        <v>547739.35766999994</v>
      </c>
      <c r="K6" s="301">
        <f>Demolition!J2</f>
        <v>410804.51825250004</v>
      </c>
      <c r="L6" s="301">
        <f>Demolition!K2</f>
        <v>91289.892945</v>
      </c>
      <c r="M6" s="301">
        <f>Demolition!L2</f>
        <v>121719.85726</v>
      </c>
      <c r="N6" s="301">
        <f>Demolition!M2</f>
        <v>15214.982157500001</v>
      </c>
      <c r="O6" s="301">
        <f>Demolition!N2</f>
        <v>523972.77852670004</v>
      </c>
      <c r="P6" s="301">
        <f>Demolition!O2</f>
        <v>496943.10682099999</v>
      </c>
      <c r="Q6" s="301">
        <f>Demolition!P2</f>
        <v>3140290.2836499996</v>
      </c>
      <c r="R6" s="301">
        <f>Demolition!Q2</f>
        <v>2575038.0325929997</v>
      </c>
      <c r="S6" s="301">
        <f>Demolition!R2</f>
        <v>565252.2510569999</v>
      </c>
      <c r="T6" s="301"/>
      <c r="U6" s="301">
        <f>Demolition!S2</f>
        <v>273957.79631700006</v>
      </c>
      <c r="V6" s="301">
        <f>Demolition!T2</f>
        <v>178343.75918200001</v>
      </c>
      <c r="W6" s="301">
        <f>Demolition!U2</f>
        <v>217648.67217099998</v>
      </c>
      <c r="X6" s="301">
        <f>Demolition!V2</f>
        <v>46254.969896400005</v>
      </c>
      <c r="Y6" s="301">
        <f>Demolition!W2</f>
        <v>145576.02634450002</v>
      </c>
      <c r="Z6" s="301">
        <f>Demolition!X2</f>
        <v>0</v>
      </c>
    </row>
    <row r="7" spans="1:26" x14ac:dyDescent="0.15">
      <c r="B7" s="130" t="s">
        <v>272</v>
      </c>
      <c r="C7" s="130" t="s">
        <v>259</v>
      </c>
      <c r="D7" s="301">
        <f>Demolition!C3</f>
        <v>78234071.199000001</v>
      </c>
      <c r="E7" s="301">
        <f>Demolition!D3</f>
        <v>4830213.6899400009</v>
      </c>
      <c r="F7" s="301">
        <f>Demolition!E3</f>
        <v>17398346.400900003</v>
      </c>
      <c r="G7" s="301">
        <f>Demolition!F3</f>
        <v>4224987.0418600002</v>
      </c>
      <c r="H7" s="301">
        <f>Demolition!G3</f>
        <v>912953.02296000009</v>
      </c>
      <c r="I7" s="301">
        <f>Demolition!H3</f>
        <v>200849.66505120002</v>
      </c>
      <c r="J7" s="301">
        <f>Demolition!I3</f>
        <v>328663.08826560003</v>
      </c>
      <c r="K7" s="301">
        <f>Demolition!J3</f>
        <v>246497.31619920005</v>
      </c>
      <c r="L7" s="301">
        <f>Demolition!K3</f>
        <v>54777.181377600005</v>
      </c>
      <c r="M7" s="301">
        <f>Demolition!L3</f>
        <v>73036.241836800007</v>
      </c>
      <c r="N7" s="301">
        <f>Demolition!M3</f>
        <v>9129.5302296000009</v>
      </c>
      <c r="O7" s="301">
        <f>Demolition!N3</f>
        <v>302123.343674</v>
      </c>
      <c r="P7" s="301">
        <f>Demolition!O3</f>
        <v>298435.11041999998</v>
      </c>
      <c r="Q7" s="301">
        <f>Demolition!P3</f>
        <v>1517130.1023599999</v>
      </c>
      <c r="R7" s="301">
        <f>Demolition!Q3</f>
        <v>1244046.6839351999</v>
      </c>
      <c r="S7" s="301">
        <f>Demolition!R3</f>
        <v>273083.41842479998</v>
      </c>
      <c r="T7" s="301"/>
      <c r="U7" s="301">
        <f>Demolition!S3</f>
        <v>163273.62600600001</v>
      </c>
      <c r="V7" s="301">
        <f>Demolition!T3</f>
        <v>100822.35825399998</v>
      </c>
      <c r="W7" s="301">
        <f>Demolition!U3</f>
        <v>176143.03432399998</v>
      </c>
      <c r="X7" s="301">
        <f>Demolition!V3</f>
        <v>22187.755996700002</v>
      </c>
      <c r="Y7" s="301">
        <f>Demolition!W3</f>
        <v>61021.232108299999</v>
      </c>
      <c r="Z7" s="301">
        <f>Demolition!X3</f>
        <v>0</v>
      </c>
    </row>
    <row r="8" spans="1:26" x14ac:dyDescent="0.15">
      <c r="B8" s="130" t="s">
        <v>273</v>
      </c>
      <c r="C8" s="130" t="s">
        <v>259</v>
      </c>
      <c r="D8" s="301">
        <f>Demolition!C4</f>
        <v>1605136.8791399999</v>
      </c>
      <c r="E8" s="301">
        <f>Demolition!D4</f>
        <v>107367.202618</v>
      </c>
      <c r="F8" s="301">
        <f>Demolition!E4</f>
        <v>261865.82901000002</v>
      </c>
      <c r="G8" s="301">
        <f>Demolition!F4</f>
        <v>121420.9825963</v>
      </c>
      <c r="H8" s="301">
        <f>Demolition!G4</f>
        <v>29831.177969700002</v>
      </c>
      <c r="I8" s="301">
        <f>Demolition!H4</f>
        <v>6562.8591533340004</v>
      </c>
      <c r="J8" s="301">
        <f>Demolition!I4</f>
        <v>10739.224069092001</v>
      </c>
      <c r="K8" s="301">
        <f>Demolition!J4</f>
        <v>8054.4180518190014</v>
      </c>
      <c r="L8" s="301">
        <f>Demolition!K4</f>
        <v>1789.8706781820001</v>
      </c>
      <c r="M8" s="301">
        <f>Demolition!L4</f>
        <v>2386.4942375760002</v>
      </c>
      <c r="N8" s="301">
        <f>Demolition!M4</f>
        <v>298.31177969700002</v>
      </c>
      <c r="O8" s="301">
        <f>Demolition!N4</f>
        <v>6922.8745786299987</v>
      </c>
      <c r="P8" s="301">
        <f>Demolition!O4</f>
        <v>3692.27418717</v>
      </c>
      <c r="Q8" s="301">
        <f>Demolition!P4</f>
        <v>44041.715482999993</v>
      </c>
      <c r="R8" s="301">
        <f>Demolition!Q4</f>
        <v>36114.206696059991</v>
      </c>
      <c r="S8" s="301">
        <f>Demolition!R4</f>
        <v>7927.5087869399986</v>
      </c>
      <c r="T8" s="301"/>
      <c r="U8" s="301">
        <f>Demolition!S4</f>
        <v>1746.75608023</v>
      </c>
      <c r="V8" s="301">
        <f>Demolition!T4</f>
        <v>2996.570031621</v>
      </c>
      <c r="W8" s="301">
        <f>Demolition!U4</f>
        <v>1683.901945371</v>
      </c>
      <c r="X8" s="301">
        <f>Demolition!V4</f>
        <v>580.90059358200006</v>
      </c>
      <c r="Y8" s="301">
        <f>Demolition!W4</f>
        <v>1144.3752086900001</v>
      </c>
      <c r="Z8" s="301">
        <f>Demolition!X4</f>
        <v>0</v>
      </c>
    </row>
    <row r="9" spans="1:26" x14ac:dyDescent="0.15">
      <c r="T9" s="142"/>
    </row>
    <row r="10" spans="1:26" ht="12" thickBot="1" x14ac:dyDescent="0.2"/>
    <row r="11" spans="1:26" ht="37" thickBot="1" x14ac:dyDescent="0.2">
      <c r="B11" s="138" t="s">
        <v>233</v>
      </c>
      <c r="C11" s="139" t="s">
        <v>371</v>
      </c>
      <c r="D11" s="146" t="s">
        <v>88</v>
      </c>
      <c r="E11" s="147" t="s">
        <v>191</v>
      </c>
      <c r="F11" s="147" t="s">
        <v>177</v>
      </c>
      <c r="G11" s="147" t="s">
        <v>193</v>
      </c>
      <c r="H11" s="147" t="s">
        <v>87</v>
      </c>
      <c r="I11" s="147" t="s">
        <v>86</v>
      </c>
      <c r="J11" s="147" t="s">
        <v>218</v>
      </c>
      <c r="K11" s="147" t="s">
        <v>93</v>
      </c>
      <c r="L11" s="147" t="s">
        <v>92</v>
      </c>
      <c r="M11" s="147" t="s">
        <v>205</v>
      </c>
      <c r="N11" s="147" t="s">
        <v>180</v>
      </c>
      <c r="O11" s="147" t="s">
        <v>94</v>
      </c>
      <c r="P11" s="147" t="s">
        <v>214</v>
      </c>
      <c r="Q11" s="148" t="s">
        <v>220</v>
      </c>
    </row>
    <row r="12" spans="1:26" x14ac:dyDescent="0.15">
      <c r="B12" s="586" t="s">
        <v>369</v>
      </c>
      <c r="C12" s="130" t="s">
        <v>372</v>
      </c>
      <c r="D12" s="142">
        <f>D2</f>
        <v>366813981.51889849</v>
      </c>
      <c r="E12" s="142">
        <f>F2</f>
        <v>35650261.356656238</v>
      </c>
      <c r="F12" s="142">
        <f>E2</f>
        <v>51212318.121497348</v>
      </c>
      <c r="G12" s="142">
        <f>G2</f>
        <v>8309761.2027299423</v>
      </c>
      <c r="H12" s="142">
        <f>X2</f>
        <v>142195.34524178933</v>
      </c>
      <c r="I12" s="142">
        <f>W2</f>
        <v>513572.41971872188</v>
      </c>
      <c r="J12" s="142">
        <f>Y2</f>
        <v>49651.048453446921</v>
      </c>
      <c r="K12" s="142">
        <f>Q2</f>
        <v>17485146.313779932</v>
      </c>
      <c r="L12" s="142">
        <f>P2</f>
        <v>2331258.4809745275</v>
      </c>
      <c r="M12" s="142">
        <f>O2</f>
        <v>2974185.5658667972</v>
      </c>
      <c r="N12" s="142">
        <f>V2</f>
        <v>838200.16560693912</v>
      </c>
      <c r="O12" s="142">
        <f>H2</f>
        <v>4984066.6212024251</v>
      </c>
      <c r="P12" s="142">
        <f>U2</f>
        <v>927122.10934046446</v>
      </c>
      <c r="Q12" s="142">
        <f>Z2</f>
        <v>101327.10855100733</v>
      </c>
    </row>
    <row r="13" spans="1:26" x14ac:dyDescent="0.15">
      <c r="B13" s="587"/>
      <c r="C13" s="130" t="s">
        <v>259</v>
      </c>
      <c r="D13" s="142">
        <f>D6</f>
        <v>141154541.91299999</v>
      </c>
      <c r="E13" s="142">
        <f>F6</f>
        <v>38985621.222899996</v>
      </c>
      <c r="F13" s="142">
        <f>E6</f>
        <v>10141069.62094</v>
      </c>
      <c r="G13" s="142">
        <f>G6</f>
        <v>6707692.6607100004</v>
      </c>
      <c r="H13" s="142">
        <f>X6</f>
        <v>46254.969896400005</v>
      </c>
      <c r="I13" s="142">
        <f>W6</f>
        <v>217648.67217099998</v>
      </c>
      <c r="J13" s="142">
        <f>Y6</f>
        <v>145576.02634450002</v>
      </c>
      <c r="K13" s="142">
        <f>Q6</f>
        <v>3140290.2836499996</v>
      </c>
      <c r="L13" s="142">
        <f>P6</f>
        <v>496943.10682099999</v>
      </c>
      <c r="M13" s="142">
        <f>O6</f>
        <v>523972.77852670004</v>
      </c>
      <c r="N13" s="142">
        <f>V6</f>
        <v>178343.75918200001</v>
      </c>
      <c r="O13" s="142">
        <f>H6</f>
        <v>1521498.21575</v>
      </c>
      <c r="P13" s="142">
        <f>U6</f>
        <v>273957.79631700006</v>
      </c>
      <c r="Q13" s="130">
        <v>0</v>
      </c>
    </row>
    <row r="14" spans="1:26" x14ac:dyDescent="0.15">
      <c r="B14" s="587" t="s">
        <v>272</v>
      </c>
      <c r="C14" s="130" t="s">
        <v>372</v>
      </c>
      <c r="D14" s="142">
        <f>D3</f>
        <v>353857260.19331282</v>
      </c>
      <c r="E14" s="142">
        <f>F3</f>
        <v>36001698.452452712</v>
      </c>
      <c r="F14" s="142">
        <f>E3</f>
        <v>46439002.120224282</v>
      </c>
      <c r="G14" s="142">
        <f>G3</f>
        <v>8075378.6645695055</v>
      </c>
      <c r="H14" s="142">
        <f>X3</f>
        <v>137986.18403285198</v>
      </c>
      <c r="I14" s="142">
        <f>W3</f>
        <v>483114.94611398841</v>
      </c>
      <c r="J14" s="142">
        <f>Y3</f>
        <v>46795.463580676871</v>
      </c>
      <c r="K14" s="142">
        <f>Q3</f>
        <v>17434870.199128523</v>
      </c>
      <c r="L14" s="142">
        <f>P3</f>
        <v>2289359.7653631628</v>
      </c>
      <c r="M14" s="142">
        <f>O3</f>
        <v>2546164.6054775598</v>
      </c>
      <c r="N14" s="142">
        <f>V3</f>
        <v>786645.18798104359</v>
      </c>
      <c r="O14" s="142">
        <f>H3</f>
        <v>5371159.2740458101</v>
      </c>
      <c r="P14" s="142">
        <f>U3</f>
        <v>880464.02334673586</v>
      </c>
      <c r="Q14" s="142">
        <f>Z3</f>
        <v>109333.68255917942</v>
      </c>
    </row>
    <row r="15" spans="1:26" x14ac:dyDescent="0.15">
      <c r="B15" s="587"/>
      <c r="C15" s="130" t="s">
        <v>259</v>
      </c>
      <c r="D15" s="142">
        <f>D7</f>
        <v>78234071.199000001</v>
      </c>
      <c r="E15" s="142">
        <f>F7</f>
        <v>17398346.400900003</v>
      </c>
      <c r="F15" s="142">
        <f>E7</f>
        <v>4830213.6899400009</v>
      </c>
      <c r="G15" s="142">
        <f>G7</f>
        <v>4224987.0418600002</v>
      </c>
      <c r="H15" s="142">
        <f>X7</f>
        <v>22187.755996700002</v>
      </c>
      <c r="I15" s="142">
        <f>W7</f>
        <v>176143.03432399998</v>
      </c>
      <c r="J15" s="142">
        <f>Y7</f>
        <v>61021.232108299999</v>
      </c>
      <c r="K15" s="142">
        <f>Q7</f>
        <v>1517130.1023599999</v>
      </c>
      <c r="L15" s="142">
        <f>P7</f>
        <v>298435.11041999998</v>
      </c>
      <c r="M15" s="142">
        <f>O7</f>
        <v>302123.343674</v>
      </c>
      <c r="N15" s="142">
        <f>V7</f>
        <v>100822.35825399998</v>
      </c>
      <c r="O15" s="142">
        <f>H7</f>
        <v>912953.02296000009</v>
      </c>
      <c r="P15" s="142">
        <f>U7</f>
        <v>163273.62600600001</v>
      </c>
      <c r="Q15" s="130">
        <v>0</v>
      </c>
    </row>
    <row r="16" spans="1:26" x14ac:dyDescent="0.15">
      <c r="B16" s="587" t="s">
        <v>273</v>
      </c>
      <c r="C16" s="130" t="s">
        <v>372</v>
      </c>
      <c r="D16" s="142">
        <f>D4</f>
        <v>356036978.39279366</v>
      </c>
      <c r="E16" s="142">
        <f>F4</f>
        <v>39124790.091571227</v>
      </c>
      <c r="F16" s="142">
        <f>E4</f>
        <v>43079344.354460411</v>
      </c>
      <c r="G16" s="142">
        <f>G4</f>
        <v>8061795.3172355555</v>
      </c>
      <c r="H16" s="142">
        <f>X4</f>
        <v>142120.18628677871</v>
      </c>
      <c r="I16" s="142">
        <f>W4</f>
        <v>469056.16260244476</v>
      </c>
      <c r="J16" s="142">
        <f>Y4</f>
        <v>44941.471040910503</v>
      </c>
      <c r="K16" s="142">
        <f>Q4</f>
        <v>18864741.980994508</v>
      </c>
      <c r="L16" s="142">
        <f>P4</f>
        <v>2405380.6467982605</v>
      </c>
      <c r="M16" s="142">
        <f>O4</f>
        <v>2056048.6989208588</v>
      </c>
      <c r="N16" s="142">
        <f>V4</f>
        <v>758091.84785659937</v>
      </c>
      <c r="O16" s="142">
        <f>H4</f>
        <v>6425922.3394961916</v>
      </c>
      <c r="P16" s="142">
        <f>U4</f>
        <v>875923.4906572816</v>
      </c>
      <c r="Q16" s="142">
        <f>Z4</f>
        <v>131027.97462448188</v>
      </c>
    </row>
    <row r="17" spans="2:19" x14ac:dyDescent="0.15">
      <c r="B17" s="587"/>
      <c r="C17" s="130" t="s">
        <v>259</v>
      </c>
      <c r="D17" s="142">
        <f>D8</f>
        <v>1605136.8791399999</v>
      </c>
      <c r="E17" s="142">
        <f>F8</f>
        <v>261865.82901000002</v>
      </c>
      <c r="F17" s="142">
        <f>E8</f>
        <v>107367.202618</v>
      </c>
      <c r="G17" s="142">
        <f>G8</f>
        <v>121420.9825963</v>
      </c>
      <c r="H17" s="142">
        <f>X8</f>
        <v>580.90059358200006</v>
      </c>
      <c r="I17" s="142">
        <f>W8</f>
        <v>1683.901945371</v>
      </c>
      <c r="J17" s="142">
        <f>Y8</f>
        <v>1144.3752086900001</v>
      </c>
      <c r="K17" s="142">
        <f>Q8</f>
        <v>44041.715482999993</v>
      </c>
      <c r="L17" s="142">
        <f>P8</f>
        <v>3692.27418717</v>
      </c>
      <c r="M17" s="142">
        <f>O8</f>
        <v>6922.8745786299987</v>
      </c>
      <c r="N17" s="142">
        <f>V8</f>
        <v>2996.570031621</v>
      </c>
      <c r="O17" s="142">
        <f>H8</f>
        <v>29831.177969700002</v>
      </c>
      <c r="P17" s="142">
        <f>U8</f>
        <v>1746.75608023</v>
      </c>
      <c r="Q17" s="130">
        <v>0</v>
      </c>
    </row>
    <row r="18" spans="2:19" x14ac:dyDescent="0.15">
      <c r="S18" s="303"/>
    </row>
    <row r="19" spans="2:19" x14ac:dyDescent="0.15">
      <c r="S19" s="303"/>
    </row>
    <row r="20" spans="2:19" x14ac:dyDescent="0.15">
      <c r="S20" s="303"/>
    </row>
    <row r="21" spans="2:19" x14ac:dyDescent="0.15">
      <c r="S21" s="303"/>
    </row>
  </sheetData>
  <mergeCells count="3">
    <mergeCell ref="B12:B13"/>
    <mergeCell ref="B14:B15"/>
    <mergeCell ref="B16:B17"/>
  </mergeCells>
  <pageMargins left="0.7" right="0.7" top="0.75" bottom="0.75" header="0.3" footer="0.3"/>
  <pageSetup paperSize="9"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611B-4DD4-43FD-844F-794A76526AFE}">
  <sheetPr>
    <tabColor theme="4" tint="0.39997558519241921"/>
  </sheetPr>
  <dimension ref="A1:X9"/>
  <sheetViews>
    <sheetView workbookViewId="0">
      <selection activeCell="I36" sqref="I36"/>
    </sheetView>
  </sheetViews>
  <sheetFormatPr baseColWidth="10" defaultColWidth="8.83203125" defaultRowHeight="15" x14ac:dyDescent="0.2"/>
  <cols>
    <col min="3" max="16" width="9.33203125" bestFit="1" customWidth="1"/>
    <col min="17" max="18" width="8.1640625" customWidth="1"/>
    <col min="19" max="24" width="9.33203125" bestFit="1" customWidth="1"/>
  </cols>
  <sheetData>
    <row r="1" spans="1:24" ht="48" x14ac:dyDescent="0.2">
      <c r="A1" s="532" t="s">
        <v>234</v>
      </c>
      <c r="B1" s="533" t="s">
        <v>382</v>
      </c>
      <c r="C1" s="534" t="s">
        <v>88</v>
      </c>
      <c r="D1" s="534" t="s">
        <v>177</v>
      </c>
      <c r="E1" s="534" t="s">
        <v>191</v>
      </c>
      <c r="F1" s="534" t="s">
        <v>193</v>
      </c>
      <c r="G1" s="535" t="s">
        <v>94</v>
      </c>
      <c r="H1" s="534" t="s">
        <v>237</v>
      </c>
      <c r="I1" s="534" t="s">
        <v>199</v>
      </c>
      <c r="J1" s="534" t="s">
        <v>197</v>
      </c>
      <c r="K1" s="534" t="s">
        <v>196</v>
      </c>
      <c r="L1" s="534" t="s">
        <v>194</v>
      </c>
      <c r="M1" s="534" t="s">
        <v>238</v>
      </c>
      <c r="N1" s="534" t="s">
        <v>205</v>
      </c>
      <c r="O1" s="534" t="s">
        <v>92</v>
      </c>
      <c r="P1" s="535" t="s">
        <v>93</v>
      </c>
      <c r="Q1" s="534" t="s">
        <v>239</v>
      </c>
      <c r="R1" s="534" t="s">
        <v>240</v>
      </c>
      <c r="S1" s="534" t="s">
        <v>214</v>
      </c>
      <c r="T1" s="534" t="s">
        <v>180</v>
      </c>
      <c r="U1" s="534" t="s">
        <v>86</v>
      </c>
      <c r="V1" s="534" t="s">
        <v>87</v>
      </c>
      <c r="W1" s="534" t="s">
        <v>218</v>
      </c>
      <c r="X1" s="536" t="s">
        <v>220</v>
      </c>
    </row>
    <row r="2" spans="1:24" x14ac:dyDescent="0.2">
      <c r="A2" s="524" t="s">
        <v>381</v>
      </c>
      <c r="B2" s="525" t="s">
        <v>369</v>
      </c>
      <c r="C2" s="142">
        <v>141154541.91299999</v>
      </c>
      <c r="D2" s="142">
        <v>10141069.62094</v>
      </c>
      <c r="E2" s="142">
        <v>38985621.222899996</v>
      </c>
      <c r="F2" s="142">
        <v>6707692.6607100004</v>
      </c>
      <c r="G2" s="342">
        <v>1521498.21575</v>
      </c>
      <c r="H2" s="142">
        <f>0.22*G2</f>
        <v>334729.60746500001</v>
      </c>
      <c r="I2" s="142">
        <f>0.36*G2</f>
        <v>547739.35766999994</v>
      </c>
      <c r="J2" s="142">
        <f>0.27*G2</f>
        <v>410804.51825250004</v>
      </c>
      <c r="K2" s="142">
        <f>0.06*G2</f>
        <v>91289.892945</v>
      </c>
      <c r="L2" s="142">
        <f>0.08*G2</f>
        <v>121719.85726</v>
      </c>
      <c r="M2" s="142">
        <f>0.01*G2</f>
        <v>15214.982157500001</v>
      </c>
      <c r="N2" s="142">
        <v>523972.77852670004</v>
      </c>
      <c r="O2" s="142">
        <v>496943.10682099999</v>
      </c>
      <c r="P2" s="342">
        <v>3140290.2836499996</v>
      </c>
      <c r="Q2" s="142">
        <f>P2*0.82</f>
        <v>2575038.0325929997</v>
      </c>
      <c r="R2" s="142">
        <f>P2*0.18</f>
        <v>565252.2510569999</v>
      </c>
      <c r="S2" s="142">
        <v>273957.79631700006</v>
      </c>
      <c r="T2" s="142">
        <v>178343.75918200001</v>
      </c>
      <c r="U2" s="142">
        <v>217648.67217099998</v>
      </c>
      <c r="V2" s="142">
        <v>46254.969896400005</v>
      </c>
      <c r="W2" s="142">
        <v>145576.02634450002</v>
      </c>
      <c r="X2" s="528">
        <v>0</v>
      </c>
    </row>
    <row r="3" spans="1:24" x14ac:dyDescent="0.2">
      <c r="A3" s="524" t="s">
        <v>381</v>
      </c>
      <c r="B3" s="525" t="s">
        <v>272</v>
      </c>
      <c r="C3" s="142">
        <v>78234071.199000001</v>
      </c>
      <c r="D3" s="142">
        <v>4830213.6899400009</v>
      </c>
      <c r="E3" s="142">
        <v>17398346.400900003</v>
      </c>
      <c r="F3" s="142">
        <v>4224987.0418600002</v>
      </c>
      <c r="G3" s="342">
        <v>912953.02296000009</v>
      </c>
      <c r="H3" s="142">
        <f t="shared" ref="H3:H7" si="0">0.22*G3</f>
        <v>200849.66505120002</v>
      </c>
      <c r="I3" s="142">
        <f t="shared" ref="I3:I7" si="1">0.36*G3</f>
        <v>328663.08826560003</v>
      </c>
      <c r="J3" s="142">
        <f t="shared" ref="J3:J7" si="2">0.27*G3</f>
        <v>246497.31619920005</v>
      </c>
      <c r="K3" s="142">
        <f t="shared" ref="K3:K7" si="3">0.06*G3</f>
        <v>54777.181377600005</v>
      </c>
      <c r="L3" s="142">
        <f t="shared" ref="L3:L7" si="4">0.08*G3</f>
        <v>73036.241836800007</v>
      </c>
      <c r="M3" s="142">
        <f t="shared" ref="M3:M7" si="5">0.01*G3</f>
        <v>9129.5302296000009</v>
      </c>
      <c r="N3" s="142">
        <v>302123.343674</v>
      </c>
      <c r="O3" s="142">
        <v>298435.11041999998</v>
      </c>
      <c r="P3" s="342">
        <v>1517130.1023599999</v>
      </c>
      <c r="Q3" s="142">
        <f t="shared" ref="Q3:Q7" si="6">P3*0.82</f>
        <v>1244046.6839351999</v>
      </c>
      <c r="R3" s="142">
        <f t="shared" ref="R3:R7" si="7">P3*0.18</f>
        <v>273083.41842479998</v>
      </c>
      <c r="S3" s="142">
        <v>163273.62600600001</v>
      </c>
      <c r="T3" s="142">
        <v>100822.35825399998</v>
      </c>
      <c r="U3" s="142">
        <v>176143.03432399998</v>
      </c>
      <c r="V3" s="142">
        <v>22187.755996700002</v>
      </c>
      <c r="W3" s="142">
        <v>61021.232108299999</v>
      </c>
      <c r="X3" s="528">
        <v>0</v>
      </c>
    </row>
    <row r="4" spans="1:24" x14ac:dyDescent="0.2">
      <c r="A4" s="524" t="s">
        <v>381</v>
      </c>
      <c r="B4" s="525" t="s">
        <v>273</v>
      </c>
      <c r="C4" s="142">
        <v>1605136.8791399999</v>
      </c>
      <c r="D4" s="142">
        <v>107367.202618</v>
      </c>
      <c r="E4" s="142">
        <v>261865.82901000002</v>
      </c>
      <c r="F4" s="142">
        <v>121420.9825963</v>
      </c>
      <c r="G4" s="342">
        <v>29831.177969700002</v>
      </c>
      <c r="H4" s="142">
        <f t="shared" si="0"/>
        <v>6562.8591533340004</v>
      </c>
      <c r="I4" s="142">
        <f t="shared" si="1"/>
        <v>10739.224069092001</v>
      </c>
      <c r="J4" s="142">
        <f t="shared" si="2"/>
        <v>8054.4180518190014</v>
      </c>
      <c r="K4" s="142">
        <f t="shared" si="3"/>
        <v>1789.8706781820001</v>
      </c>
      <c r="L4" s="142">
        <f t="shared" si="4"/>
        <v>2386.4942375760002</v>
      </c>
      <c r="M4" s="142">
        <f t="shared" si="5"/>
        <v>298.31177969700002</v>
      </c>
      <c r="N4" s="142">
        <v>6922.8745786299987</v>
      </c>
      <c r="O4" s="142">
        <v>3692.27418717</v>
      </c>
      <c r="P4" s="342">
        <v>44041.715482999993</v>
      </c>
      <c r="Q4" s="142">
        <f t="shared" si="6"/>
        <v>36114.206696059991</v>
      </c>
      <c r="R4" s="142">
        <f t="shared" si="7"/>
        <v>7927.5087869399986</v>
      </c>
      <c r="S4" s="142">
        <v>1746.75608023</v>
      </c>
      <c r="T4" s="142">
        <v>2996.570031621</v>
      </c>
      <c r="U4" s="142">
        <v>1683.901945371</v>
      </c>
      <c r="V4" s="142">
        <v>580.90059358200006</v>
      </c>
      <c r="W4" s="142">
        <v>1144.3752086900001</v>
      </c>
      <c r="X4" s="528">
        <v>0</v>
      </c>
    </row>
    <row r="5" spans="1:24" x14ac:dyDescent="0.2">
      <c r="A5" s="524" t="s">
        <v>380</v>
      </c>
      <c r="B5" s="525" t="s">
        <v>369</v>
      </c>
      <c r="C5" s="142">
        <v>60689963.056399994</v>
      </c>
      <c r="D5" s="142">
        <v>4479392.229061</v>
      </c>
      <c r="E5" s="142">
        <v>16699092.02943</v>
      </c>
      <c r="F5" s="142">
        <v>2786956.9508799999</v>
      </c>
      <c r="G5" s="342">
        <v>637173.81326100009</v>
      </c>
      <c r="H5" s="142">
        <f t="shared" si="0"/>
        <v>140178.23891742001</v>
      </c>
      <c r="I5" s="142">
        <f t="shared" si="1"/>
        <v>229382.57277396001</v>
      </c>
      <c r="J5" s="142">
        <f t="shared" si="2"/>
        <v>172036.92958047002</v>
      </c>
      <c r="K5" s="142">
        <f t="shared" si="3"/>
        <v>38230.428795660002</v>
      </c>
      <c r="L5" s="142">
        <f t="shared" si="4"/>
        <v>50973.90506088001</v>
      </c>
      <c r="M5" s="142">
        <f t="shared" si="5"/>
        <v>6371.7381326100012</v>
      </c>
      <c r="N5" s="142">
        <v>223300.76884140001</v>
      </c>
      <c r="O5" s="142">
        <v>204013.43084380002</v>
      </c>
      <c r="P5" s="342">
        <v>1420477.0487230001</v>
      </c>
      <c r="Q5" s="142">
        <f t="shared" si="6"/>
        <v>1164791.1799528601</v>
      </c>
      <c r="R5" s="142">
        <f t="shared" si="7"/>
        <v>255685.86877014002</v>
      </c>
      <c r="S5" s="142">
        <v>121502.98990829999</v>
      </c>
      <c r="T5" s="142">
        <v>75227.434335700003</v>
      </c>
      <c r="U5" s="142">
        <v>83840.012366400013</v>
      </c>
      <c r="V5" s="142">
        <v>19414.018525890002</v>
      </c>
      <c r="W5" s="142">
        <v>63106.237929000003</v>
      </c>
      <c r="X5" s="528">
        <v>0</v>
      </c>
    </row>
    <row r="6" spans="1:24" x14ac:dyDescent="0.2">
      <c r="A6" s="524" t="s">
        <v>380</v>
      </c>
      <c r="B6" s="525" t="s">
        <v>272</v>
      </c>
      <c r="C6" s="142">
        <v>37795772.937100001</v>
      </c>
      <c r="D6" s="142">
        <v>2556610.7596660005</v>
      </c>
      <c r="E6" s="142">
        <v>8395787.444670001</v>
      </c>
      <c r="F6" s="142">
        <v>1881023.9464299998</v>
      </c>
      <c r="G6" s="342">
        <v>424156.76831099996</v>
      </c>
      <c r="H6" s="142">
        <f t="shared" si="0"/>
        <v>93314.489028419994</v>
      </c>
      <c r="I6" s="142">
        <f t="shared" si="1"/>
        <v>152696.43659195999</v>
      </c>
      <c r="J6" s="142">
        <f t="shared" si="2"/>
        <v>114522.32744397</v>
      </c>
      <c r="K6" s="142">
        <f t="shared" si="3"/>
        <v>25449.406098659998</v>
      </c>
      <c r="L6" s="142">
        <f t="shared" si="4"/>
        <v>33932.54146488</v>
      </c>
      <c r="M6" s="142">
        <f t="shared" si="5"/>
        <v>4241.56768311</v>
      </c>
      <c r="N6" s="142">
        <v>145252.45233430003</v>
      </c>
      <c r="O6" s="142">
        <v>131341.64414870003</v>
      </c>
      <c r="P6" s="342">
        <v>822516.64385899995</v>
      </c>
      <c r="Q6" s="142">
        <f t="shared" si="6"/>
        <v>674463.64796437987</v>
      </c>
      <c r="R6" s="142">
        <f t="shared" si="7"/>
        <v>148052.99589461999</v>
      </c>
      <c r="S6" s="142">
        <v>85173.714554599996</v>
      </c>
      <c r="T6" s="142">
        <v>45827.910949300007</v>
      </c>
      <c r="U6" s="142">
        <v>70100.515589899995</v>
      </c>
      <c r="V6" s="142">
        <v>10359.67060404</v>
      </c>
      <c r="W6" s="142">
        <v>30581.918916099999</v>
      </c>
      <c r="X6" s="528">
        <v>0</v>
      </c>
    </row>
    <row r="7" spans="1:24" x14ac:dyDescent="0.2">
      <c r="A7" s="526" t="s">
        <v>380</v>
      </c>
      <c r="B7" s="527" t="s">
        <v>273</v>
      </c>
      <c r="C7" s="529">
        <v>251034.93669900004</v>
      </c>
      <c r="D7" s="529">
        <v>32569.915782759999</v>
      </c>
      <c r="E7" s="529">
        <v>63884.882414399995</v>
      </c>
      <c r="F7" s="529">
        <v>14115.561301799999</v>
      </c>
      <c r="G7" s="530">
        <v>3320.8043873299998</v>
      </c>
      <c r="H7" s="529">
        <f t="shared" si="0"/>
        <v>730.57696521259993</v>
      </c>
      <c r="I7" s="529">
        <f t="shared" si="1"/>
        <v>1195.4895794387999</v>
      </c>
      <c r="J7" s="529">
        <f t="shared" si="2"/>
        <v>896.61718457910001</v>
      </c>
      <c r="K7" s="529">
        <f t="shared" si="3"/>
        <v>199.2482632398</v>
      </c>
      <c r="L7" s="529">
        <f t="shared" si="4"/>
        <v>265.6643509864</v>
      </c>
      <c r="M7" s="529">
        <f t="shared" si="5"/>
        <v>33.208043873299999</v>
      </c>
      <c r="N7" s="529">
        <v>2127.4658460350001</v>
      </c>
      <c r="O7" s="529">
        <v>915.2988718119999</v>
      </c>
      <c r="P7" s="530">
        <v>11226.254001560003</v>
      </c>
      <c r="Q7" s="529">
        <f t="shared" si="6"/>
        <v>9205.5282812792011</v>
      </c>
      <c r="R7" s="529">
        <f t="shared" si="7"/>
        <v>2020.7257202808005</v>
      </c>
      <c r="S7" s="529">
        <v>413.53692053200001</v>
      </c>
      <c r="T7" s="529">
        <v>318.76496647699997</v>
      </c>
      <c r="U7" s="529">
        <v>308.09361708200004</v>
      </c>
      <c r="V7" s="529">
        <v>106.32769188020001</v>
      </c>
      <c r="W7" s="529">
        <v>290.32766857299998</v>
      </c>
      <c r="X7" s="531">
        <v>0</v>
      </c>
    </row>
    <row r="8" spans="1:24" x14ac:dyDescent="0.2">
      <c r="C8" s="59"/>
      <c r="D8" s="59"/>
      <c r="E8" s="59"/>
      <c r="F8" s="59"/>
      <c r="G8" s="59"/>
      <c r="H8" s="59"/>
      <c r="I8" s="59"/>
      <c r="J8" s="59"/>
      <c r="K8" s="59"/>
      <c r="L8" s="59"/>
      <c r="M8" s="59"/>
      <c r="N8" s="59"/>
      <c r="O8" s="59"/>
      <c r="P8" s="59"/>
      <c r="Q8" s="59"/>
      <c r="R8" s="59"/>
      <c r="S8" s="59"/>
      <c r="T8" s="59"/>
      <c r="U8" s="59"/>
      <c r="V8" s="59"/>
      <c r="W8" s="59"/>
      <c r="X8" s="59"/>
    </row>
    <row r="9" spans="1:24" x14ac:dyDescent="0.2">
      <c r="X9" s="5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5568-D1AC-4582-8011-22D28965E9D9}">
  <sheetPr>
    <tabColor theme="4" tint="0.39997558519241921"/>
  </sheetPr>
  <dimension ref="A1:AC282"/>
  <sheetViews>
    <sheetView zoomScale="76" zoomScaleNormal="55" workbookViewId="0">
      <selection activeCell="AB15" sqref="AB15"/>
    </sheetView>
  </sheetViews>
  <sheetFormatPr baseColWidth="10" defaultColWidth="8.83203125" defaultRowHeight="14" x14ac:dyDescent="0.2"/>
  <cols>
    <col min="1" max="1" width="12.5" style="57" customWidth="1"/>
    <col min="2" max="2" width="8.83203125" style="60"/>
    <col min="3" max="3" width="13" style="61" customWidth="1"/>
    <col min="4" max="4" width="12.1640625" style="57" bestFit="1" customWidth="1"/>
    <col min="5" max="5" width="10.5" style="57" bestFit="1" customWidth="1"/>
    <col min="6" max="6" width="11.83203125" style="57" bestFit="1" customWidth="1"/>
    <col min="7" max="7" width="9.5" style="57" bestFit="1" customWidth="1"/>
    <col min="8" max="8" width="9.6640625" style="57" bestFit="1" customWidth="1"/>
    <col min="9" max="9" width="9.5" style="57" bestFit="1" customWidth="1"/>
    <col min="10" max="10" width="10.1640625" style="57" bestFit="1" customWidth="1"/>
    <col min="11" max="11" width="9.5" style="57" bestFit="1" customWidth="1"/>
    <col min="12" max="15" width="9.33203125" style="57" bestFit="1" customWidth="1"/>
    <col min="16" max="16" width="9" style="57" bestFit="1" customWidth="1"/>
    <col min="17" max="17" width="10.1640625" style="57" bestFit="1" customWidth="1"/>
    <col min="18" max="18" width="9" style="57" bestFit="1" customWidth="1"/>
    <col min="19" max="19" width="9" style="57" customWidth="1"/>
    <col min="20" max="22" width="9" style="57" bestFit="1" customWidth="1"/>
    <col min="23" max="23" width="9.33203125" style="57" bestFit="1" customWidth="1"/>
    <col min="24" max="25" width="9" style="57" bestFit="1" customWidth="1"/>
    <col min="26" max="26" width="8.83203125" style="57"/>
    <col min="27" max="27" width="9.33203125" style="57" bestFit="1" customWidth="1"/>
    <col min="28" max="16384" width="8.83203125" style="57"/>
  </cols>
  <sheetData>
    <row r="1" spans="1:29" s="65" customFormat="1" ht="59.5" customHeight="1" thickBot="1" x14ac:dyDescent="0.25">
      <c r="A1" s="77" t="s">
        <v>254</v>
      </c>
      <c r="B1" s="62" t="s">
        <v>233</v>
      </c>
      <c r="C1" s="63" t="s">
        <v>242</v>
      </c>
      <c r="D1" s="62" t="s">
        <v>88</v>
      </c>
      <c r="E1" s="64" t="s">
        <v>177</v>
      </c>
      <c r="F1" s="64" t="s">
        <v>191</v>
      </c>
      <c r="G1" s="64" t="s">
        <v>193</v>
      </c>
      <c r="H1" s="64" t="s">
        <v>237</v>
      </c>
      <c r="I1" s="64" t="s">
        <v>199</v>
      </c>
      <c r="J1" s="64" t="s">
        <v>197</v>
      </c>
      <c r="K1" s="64" t="s">
        <v>196</v>
      </c>
      <c r="L1" s="64" t="s">
        <v>194</v>
      </c>
      <c r="M1" s="64" t="s">
        <v>246</v>
      </c>
      <c r="N1" s="64" t="s">
        <v>205</v>
      </c>
      <c r="O1" s="64" t="s">
        <v>92</v>
      </c>
      <c r="P1" s="64" t="s">
        <v>247</v>
      </c>
      <c r="Q1" s="64" t="s">
        <v>239</v>
      </c>
      <c r="R1" s="64" t="s">
        <v>240</v>
      </c>
      <c r="S1" s="64" t="s">
        <v>344</v>
      </c>
      <c r="T1" s="64" t="s">
        <v>214</v>
      </c>
      <c r="U1" s="64" t="s">
        <v>180</v>
      </c>
      <c r="V1" s="64" t="s">
        <v>86</v>
      </c>
      <c r="W1" s="64" t="s">
        <v>87</v>
      </c>
      <c r="X1" s="64" t="s">
        <v>218</v>
      </c>
      <c r="Y1" s="63" t="s">
        <v>220</v>
      </c>
      <c r="AA1" s="65" t="s">
        <v>253</v>
      </c>
      <c r="AC1" s="65" t="s">
        <v>543</v>
      </c>
    </row>
    <row r="2" spans="1:29" s="79" customFormat="1" ht="15" thickBot="1" x14ac:dyDescent="0.25">
      <c r="A2" s="72"/>
      <c r="B2" s="69" t="s">
        <v>235</v>
      </c>
      <c r="C2" s="70" t="s">
        <v>243</v>
      </c>
      <c r="D2" s="80">
        <f>Demand!E2-Current_best_RR!F2</f>
        <v>303223860.38709199</v>
      </c>
      <c r="E2" s="78">
        <f>Demand!F2-Current_best_RR!G2</f>
        <v>41578301.981604353</v>
      </c>
      <c r="F2" s="78">
        <f>Demand!G2-Current_best_RR!H2</f>
        <v>22459664.654693428</v>
      </c>
      <c r="G2" s="78">
        <f>Demand!H2-Current_best_RR!I2</f>
        <v>1937453.1750554424</v>
      </c>
      <c r="H2" s="78">
        <f>Demand!J2-Current_best_RR!J2</f>
        <v>870552.17162565852</v>
      </c>
      <c r="I2" s="78">
        <f>Demand!K2-Current_best_RR!K2-Current_best_RR!R2</f>
        <v>1474380.5834176473</v>
      </c>
      <c r="J2" s="78">
        <f>Demand!L2-Current_best_RR!L2</f>
        <v>1184214.2291976963</v>
      </c>
      <c r="K2" s="78">
        <f>Demand!M2-Current_best_RR!M2</f>
        <v>299043.99727214547</v>
      </c>
      <c r="L2" s="78">
        <f>Demand!N2-Current_best_RR!N2</f>
        <v>398725.32969619404</v>
      </c>
      <c r="M2" s="78">
        <f>Demand!O2-Current_best_RR!O2</f>
        <v>0</v>
      </c>
      <c r="N2" s="78">
        <f>Demand!P2-Current_best_RR!P2</f>
        <v>2476411.4262664323</v>
      </c>
      <c r="O2" s="78">
        <f>Demand!Q2-Current_best_RR!Q2</f>
        <v>1859162.5294945776</v>
      </c>
      <c r="P2" s="78">
        <v>0</v>
      </c>
      <c r="Q2" s="78">
        <f>Demand!S2-Current_best_RR!T2</f>
        <v>11891533.846336193</v>
      </c>
      <c r="R2" s="78">
        <f>Demand!T2-Current_best_RR!U2</f>
        <v>2610336.6979762376</v>
      </c>
      <c r="S2" s="78">
        <v>0</v>
      </c>
      <c r="T2" s="78">
        <f>Demand!V2-Current_best_RR!V2</f>
        <v>927122.10934046446</v>
      </c>
      <c r="U2" s="78">
        <f>Demand!W2-Current_best_RR!W2</f>
        <v>677690.78234313917</v>
      </c>
      <c r="V2" s="78">
        <f>Demand!X2-Current_best_RR!X2</f>
        <v>306806.18115627189</v>
      </c>
      <c r="W2" s="78">
        <f>Demand!Y2-Current_best_RR!Y2</f>
        <v>98253.123840209315</v>
      </c>
      <c r="X2" s="78">
        <f>Demand!Z2-Current_best_RR!Z2</f>
        <v>0</v>
      </c>
      <c r="Y2" s="81">
        <f>Demand!AA2-Current_best_RR!AA2</f>
        <v>101327.10855100733</v>
      </c>
      <c r="AA2" s="385">
        <f>SUM(D2:Y2)</f>
        <v>394374840.31495911</v>
      </c>
    </row>
    <row r="3" spans="1:29" s="68" customFormat="1" ht="15" thickBot="1" x14ac:dyDescent="0.25">
      <c r="A3" s="73"/>
      <c r="B3" s="66"/>
      <c r="C3" s="67" t="s">
        <v>244</v>
      </c>
      <c r="D3" s="82">
        <f>Current_best_RR!F2</f>
        <v>63590121.131806493</v>
      </c>
      <c r="E3" s="76">
        <f>Current_best_RR!G2</f>
        <v>9634016.1398929991</v>
      </c>
      <c r="F3" s="76">
        <f>Current_best_RR!H2</f>
        <v>13190596.70196281</v>
      </c>
      <c r="G3" s="76">
        <f>Current_best_RR!I2</f>
        <v>6372308.0276744999</v>
      </c>
      <c r="H3" s="76">
        <f>Current_best_RR!J2</f>
        <v>225942.48503887499</v>
      </c>
      <c r="I3" s="76">
        <f>Current_best_RR!K2</f>
        <v>369724.06642724999</v>
      </c>
      <c r="J3" s="76">
        <f>Current_best_RR!L2</f>
        <v>161483.75852695861</v>
      </c>
      <c r="K3" s="76">
        <f>Current_best_RR!M2</f>
        <v>0</v>
      </c>
      <c r="L3" s="76">
        <f>Current_best_RR!N2</f>
        <v>0</v>
      </c>
      <c r="M3" s="76">
        <f>Current_best_RR!O2</f>
        <v>0</v>
      </c>
      <c r="N3" s="76">
        <f>Current_best_RR!P2</f>
        <v>497774.13960036502</v>
      </c>
      <c r="O3" s="76">
        <f>Current_best_RR!Q2</f>
        <v>472095.95147994999</v>
      </c>
      <c r="P3" s="76">
        <f>Current_best_RR!R2</f>
        <v>0</v>
      </c>
      <c r="Q3" s="76">
        <f>Current_best_RR!T2</f>
        <v>2446286.1309633502</v>
      </c>
      <c r="R3" s="76">
        <f>Current_best_RR!U2</f>
        <v>536989.63850414986</v>
      </c>
      <c r="S3" s="76">
        <v>0</v>
      </c>
      <c r="T3" s="76">
        <f>Current_best_RR!V2</f>
        <v>0</v>
      </c>
      <c r="U3" s="76">
        <f>Current_best_RR!W2</f>
        <v>160509.3832638</v>
      </c>
      <c r="V3" s="76">
        <f>Current_best_RR!X2</f>
        <v>206766.23856244999</v>
      </c>
      <c r="W3" s="76">
        <f>Current_best_RR!Y2</f>
        <v>43942.221401580013</v>
      </c>
      <c r="X3" s="76">
        <f>Current_best_RR!Z2</f>
        <v>49651.048453446921</v>
      </c>
      <c r="Y3" s="83">
        <f>Current_best_RR!AA2</f>
        <v>0</v>
      </c>
      <c r="AA3" s="385">
        <f>SUM(D3:Y3)</f>
        <v>97958207.063558996</v>
      </c>
    </row>
    <row r="4" spans="1:29" s="79" customFormat="1" ht="15" thickBot="1" x14ac:dyDescent="0.25">
      <c r="A4" s="72"/>
      <c r="B4" s="69" t="s">
        <v>236</v>
      </c>
      <c r="C4" s="70" t="s">
        <v>243</v>
      </c>
      <c r="D4" s="80">
        <f>Demand!E20-Current_best_RR!F20</f>
        <v>76110290.384990484</v>
      </c>
      <c r="E4" s="78">
        <f>Demand!F20-Current_best_RR!G20</f>
        <v>10291436.353596386</v>
      </c>
      <c r="F4" s="78">
        <f>Demand!G20-Current_best_RR!H20</f>
        <v>22789343.160216764</v>
      </c>
      <c r="G4" s="78">
        <f>Demand!H20-Current_best_RR!I20</f>
        <v>0</v>
      </c>
      <c r="H4" s="78">
        <f>Demand!J20-Current_best_RR!J20</f>
        <v>583887.54888970638</v>
      </c>
      <c r="I4" s="78">
        <f>Demand!K20-Current_best_RR!K20-Current_best_RR!R20</f>
        <v>992262.80881627346</v>
      </c>
      <c r="J4" s="78">
        <v>0</v>
      </c>
      <c r="K4" s="78">
        <f>Demand!M20-Current_best_RR!M20</f>
        <v>0</v>
      </c>
      <c r="L4" s="78">
        <f>Demand!N20-Current_best_RR!N20</f>
        <v>0</v>
      </c>
      <c r="M4" s="78">
        <f>Demand!O20-Current_best_RR!O20</f>
        <v>1498958.5866378618</v>
      </c>
      <c r="N4" s="78">
        <f>Demand!P20-Current_best_RR!P20</f>
        <v>2476411.4262664323</v>
      </c>
      <c r="O4" s="78">
        <f>Demand!Q20-Current_best_RR!Q20</f>
        <v>1859162.5294945776</v>
      </c>
      <c r="P4" s="78">
        <v>0</v>
      </c>
      <c r="Q4" s="78">
        <f>Demand!S20-Current_best_RR!T20</f>
        <v>22852406.892224088</v>
      </c>
      <c r="R4" s="78">
        <f>Demand!T20-Current_best_RR!U20</f>
        <v>5016382.0007321183</v>
      </c>
      <c r="S4" s="78">
        <f>Demand!U20</f>
        <v>26955813.663271833</v>
      </c>
      <c r="T4" s="78">
        <f>Demand!V20-Current_best_RR!V20</f>
        <v>1254830.0946821314</v>
      </c>
      <c r="U4" s="78">
        <f>Demand!W20-Current_best_RR!W20</f>
        <v>695473.20492771338</v>
      </c>
      <c r="V4" s="78">
        <f>Demand!X20-Current_best_RR!X20</f>
        <v>136219.08198685455</v>
      </c>
      <c r="W4" s="78">
        <f>Demand!Y20-Current_best_RR!Y20</f>
        <v>98253.123840209315</v>
      </c>
      <c r="X4" s="78">
        <f>Demand!Z20-Current_best_RR!Z20</f>
        <v>0</v>
      </c>
      <c r="Y4" s="81">
        <f>Demand!AA20-Current_best_RR!AA20</f>
        <v>380362.19277958805</v>
      </c>
      <c r="AA4" s="385">
        <f>SUM(D4:Y4)</f>
        <v>173991493.05335304</v>
      </c>
      <c r="AC4" s="516">
        <f>1-AA4/AA2</f>
        <v>0.5588169546657733</v>
      </c>
    </row>
    <row r="5" spans="1:29" s="68" customFormat="1" ht="15" thickBot="1" x14ac:dyDescent="0.25">
      <c r="A5" s="73"/>
      <c r="B5" s="66"/>
      <c r="C5" s="67" t="s">
        <v>244</v>
      </c>
      <c r="D5" s="82">
        <f>Current_best_RR!F20</f>
        <v>44699694.353089653</v>
      </c>
      <c r="E5" s="76">
        <f>Current_best_RR!G20</f>
        <v>3430478.7845321279</v>
      </c>
      <c r="F5" s="76">
        <f>Current_best_RR!H20</f>
        <v>13384217.411555881</v>
      </c>
      <c r="G5" s="76">
        <f>Current_best_RR!I20</f>
        <v>4596200.9979896126</v>
      </c>
      <c r="H5" s="76">
        <f>Current_best_RR!J20</f>
        <v>225942.48503887499</v>
      </c>
      <c r="I5" s="76">
        <f>Current_best_RR!K20</f>
        <v>369724.06642724999</v>
      </c>
      <c r="J5" s="76">
        <v>0</v>
      </c>
      <c r="K5" s="76">
        <f>Current_best_RR!M20</f>
        <v>0</v>
      </c>
      <c r="L5" s="76">
        <f>Current_best_RR!N20</f>
        <v>0</v>
      </c>
      <c r="M5" s="76">
        <f>Current_best_RR!O20</f>
        <v>10270.1129563125</v>
      </c>
      <c r="N5" s="76">
        <f>Current_best_RR!P20</f>
        <v>497774.13960036502</v>
      </c>
      <c r="O5" s="76">
        <f>Current_best_RR!Q20</f>
        <v>472095.95147994999</v>
      </c>
      <c r="P5" s="76">
        <f>Current_best_RR!R20</f>
        <v>0</v>
      </c>
      <c r="Q5" s="76">
        <f>Current_best_RR!T20</f>
        <v>2446286.1309633502</v>
      </c>
      <c r="R5" s="76">
        <f>Current_best_RR!U20</f>
        <v>536989.63850414986</v>
      </c>
      <c r="S5" s="76">
        <v>0</v>
      </c>
      <c r="T5" s="76">
        <f>Current_best_RR!V20</f>
        <v>0</v>
      </c>
      <c r="U5" s="76">
        <f>Current_best_RR!W20</f>
        <v>160509.3832638</v>
      </c>
      <c r="V5" s="76">
        <f>Current_best_RR!X20</f>
        <v>206766.23856244999</v>
      </c>
      <c r="W5" s="76">
        <f>Current_best_RR!Y20</f>
        <v>43942.221401580013</v>
      </c>
      <c r="X5" s="76">
        <f>Current_best_RR!Z20</f>
        <v>45105.889522897189</v>
      </c>
      <c r="Y5" s="83">
        <f>Current_best_RR!AA20</f>
        <v>0</v>
      </c>
      <c r="AA5" s="385">
        <f t="shared" ref="AA5:AA7" si="0">SUM(D5:Y5)</f>
        <v>71125997.804888263</v>
      </c>
    </row>
    <row r="6" spans="1:29" ht="15" thickBot="1" x14ac:dyDescent="0.25">
      <c r="A6" s="71"/>
      <c r="B6" s="60" t="s">
        <v>241</v>
      </c>
      <c r="C6" s="61" t="s">
        <v>243</v>
      </c>
      <c r="D6" s="84">
        <f>Demand!E38-Current_best_RR!F38</f>
        <v>110024909.75311321</v>
      </c>
      <c r="E6" s="75">
        <f>Demand!F38-Current_best_RR!G38</f>
        <v>18353018.473929971</v>
      </c>
      <c r="F6" s="75">
        <f>Demand!G38-Current_best_RR!H38</f>
        <v>19500825.022964925</v>
      </c>
      <c r="G6" s="75">
        <f>Demand!H38-Current_best_RR!I38</f>
        <v>593564.61079264246</v>
      </c>
      <c r="H6" s="75">
        <f>Demand!J38-Current_best_RR!J38</f>
        <v>502676.77502311324</v>
      </c>
      <c r="I6" s="75">
        <f>Demand!K38-Current_best_RR!K38-Current_best_RR!R38</f>
        <v>855681.05276791216</v>
      </c>
      <c r="J6" s="75">
        <v>0</v>
      </c>
      <c r="K6" s="75">
        <f>Demand!M38-Current_best_RR!M38</f>
        <v>0</v>
      </c>
      <c r="L6" s="75">
        <f>Demand!N38-Current_best_RR!N38</f>
        <v>264952.4582043594</v>
      </c>
      <c r="M6" s="75">
        <f>Demand!O38-Current_best_RR!O38</f>
        <v>1082658.77713667</v>
      </c>
      <c r="N6" s="75">
        <f>Demand!P38-Current_best_RR!P38</f>
        <v>2476411.4262664323</v>
      </c>
      <c r="O6" s="75">
        <f>Demand!Q38-Current_best_RR!Q38</f>
        <v>1859162.5294945776</v>
      </c>
      <c r="P6" s="75">
        <v>0</v>
      </c>
      <c r="Q6" s="75">
        <f>Demand!S38-Current_best_RR!T38</f>
        <v>17293818.727818828</v>
      </c>
      <c r="R6" s="75">
        <f>Demand!T38-Current_best_RR!U38</f>
        <v>3796204.1109846211</v>
      </c>
      <c r="S6" s="75">
        <v>0</v>
      </c>
      <c r="T6" s="75">
        <f>Demand!V38-Current_best_RR!V38</f>
        <v>903266.78228112566</v>
      </c>
      <c r="U6" s="75">
        <f>Demand!W38-Current_best_RR!W38</f>
        <v>758748.47536723432</v>
      </c>
      <c r="V6" s="75">
        <f>Demand!X38-Current_best_RR!X38</f>
        <v>133779.57404419925</v>
      </c>
      <c r="W6" s="75">
        <f>Demand!Y38-Current_best_RR!Y38</f>
        <v>98253.123840209315</v>
      </c>
      <c r="X6" s="75">
        <f>Demand!Z38-Current_best_RR!Z38</f>
        <v>0</v>
      </c>
      <c r="Y6" s="85">
        <f>Demand!AA38-Current_best_RR!AA38</f>
        <v>101327.10855100733</v>
      </c>
      <c r="AA6" s="385">
        <f t="shared" si="0"/>
        <v>178599258.78258103</v>
      </c>
      <c r="AC6" s="128">
        <f>1-AA6/AA2</f>
        <v>0.54713323334737451</v>
      </c>
    </row>
    <row r="7" spans="1:29" s="68" customFormat="1" ht="15" thickBot="1" x14ac:dyDescent="0.25">
      <c r="A7" s="73"/>
      <c r="B7" s="66"/>
      <c r="C7" s="67" t="s">
        <v>244</v>
      </c>
      <c r="D7" s="82">
        <f>Current_best_RR!F38</f>
        <v>63590121.131806493</v>
      </c>
      <c r="E7" s="76">
        <f>Current_best_RR!G38</f>
        <v>6117672.8246433241</v>
      </c>
      <c r="F7" s="76">
        <f>Current_best_RR!H38</f>
        <v>11452865.489677809</v>
      </c>
      <c r="G7" s="76">
        <f>Current_best_RR!I38</f>
        <v>6372308.0276744999</v>
      </c>
      <c r="H7" s="76">
        <f>Current_best_RR!J38</f>
        <v>225942.48503887499</v>
      </c>
      <c r="I7" s="76">
        <f>Current_best_RR!K38</f>
        <v>369724.06642724999</v>
      </c>
      <c r="J7" s="76">
        <v>0</v>
      </c>
      <c r="K7" s="76">
        <f>Current_best_RR!M38</f>
        <v>0</v>
      </c>
      <c r="L7" s="76">
        <f>Current_best_RR!N38</f>
        <v>0</v>
      </c>
      <c r="M7" s="76">
        <f>Current_best_RR!O38</f>
        <v>10270.1129563125</v>
      </c>
      <c r="N7" s="76">
        <f>Current_best_RR!P38</f>
        <v>497774.13960036502</v>
      </c>
      <c r="O7" s="76">
        <f>Current_best_RR!Q38</f>
        <v>472095.95147994999</v>
      </c>
      <c r="P7" s="76">
        <f>Current_best_RR!R38</f>
        <v>0</v>
      </c>
      <c r="Q7" s="76">
        <f>Current_best_RR!T38</f>
        <v>2446286.1309633502</v>
      </c>
      <c r="R7" s="76">
        <f>Current_best_RR!U38</f>
        <v>536989.63850414986</v>
      </c>
      <c r="S7" s="76">
        <v>0</v>
      </c>
      <c r="T7" s="76">
        <f>Current_best_RR!V38</f>
        <v>0</v>
      </c>
      <c r="U7" s="76">
        <f>Current_best_RR!W38</f>
        <v>160509.3832638</v>
      </c>
      <c r="V7" s="76">
        <f>Current_best_RR!X38</f>
        <v>206766.23856244999</v>
      </c>
      <c r="W7" s="76">
        <f>Current_best_RR!Y38</f>
        <v>43942.221401580013</v>
      </c>
      <c r="X7" s="76">
        <f>Current_best_RR!Z38</f>
        <v>49533.205986693189</v>
      </c>
      <c r="Y7" s="83">
        <f>Current_best_RR!AA38</f>
        <v>0</v>
      </c>
      <c r="AA7" s="385">
        <f t="shared" si="0"/>
        <v>92552801.04798691</v>
      </c>
    </row>
    <row r="9" spans="1:29" x14ac:dyDescent="0.2">
      <c r="B9" s="57"/>
      <c r="C9" s="57"/>
      <c r="Q9" s="74"/>
    </row>
    <row r="10" spans="1:29" x14ac:dyDescent="0.2">
      <c r="B10" s="57"/>
      <c r="C10" s="57"/>
    </row>
    <row r="11" spans="1:29" s="306" customFormat="1" ht="11" x14ac:dyDescent="0.15"/>
    <row r="12" spans="1:29" s="306" customFormat="1" ht="11" x14ac:dyDescent="0.15"/>
    <row r="13" spans="1:29" s="306" customFormat="1" ht="11" x14ac:dyDescent="0.15"/>
    <row r="14" spans="1:29" s="306" customFormat="1" ht="11" x14ac:dyDescent="0.15"/>
    <row r="15" spans="1:29" ht="15" thickBot="1" x14ac:dyDescent="0.25">
      <c r="A15" s="306"/>
      <c r="B15" s="306"/>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row>
    <row r="16" spans="1:29" x14ac:dyDescent="0.2">
      <c r="A16" s="306"/>
      <c r="B16" s="306"/>
      <c r="C16" s="306"/>
      <c r="D16" s="306"/>
      <c r="E16" s="306"/>
      <c r="F16" s="306"/>
      <c r="G16" s="306"/>
      <c r="H16" s="306"/>
      <c r="I16" s="306"/>
      <c r="J16" s="306"/>
      <c r="K16" s="306"/>
      <c r="L16" s="306"/>
      <c r="M16" s="306"/>
      <c r="N16" s="306"/>
      <c r="O16" s="306"/>
      <c r="P16" s="306"/>
      <c r="Q16" s="306"/>
      <c r="R16" s="140"/>
      <c r="S16" s="201"/>
      <c r="T16" s="243" t="s">
        <v>326</v>
      </c>
      <c r="U16" s="201"/>
      <c r="V16" s="201"/>
      <c r="W16" s="141"/>
      <c r="X16" s="306"/>
      <c r="Y16" s="306"/>
      <c r="Z16" s="306"/>
      <c r="AA16" s="306"/>
      <c r="AB16" s="306"/>
      <c r="AC16" s="306"/>
    </row>
    <row r="17" spans="1:29" x14ac:dyDescent="0.2">
      <c r="A17" s="306"/>
      <c r="B17" s="306"/>
      <c r="C17" s="306"/>
      <c r="D17" s="306"/>
      <c r="E17" s="306"/>
      <c r="F17" s="306"/>
      <c r="G17" s="306"/>
      <c r="H17" s="306"/>
      <c r="I17" s="306"/>
      <c r="J17" s="306"/>
      <c r="K17" s="306"/>
      <c r="L17" s="306"/>
      <c r="M17" s="306"/>
      <c r="N17" s="306"/>
      <c r="O17" s="306"/>
      <c r="P17" s="306"/>
      <c r="Q17" s="306"/>
      <c r="R17" s="241" t="s">
        <v>187</v>
      </c>
      <c r="S17" s="308"/>
      <c r="T17" s="130" t="s">
        <v>334</v>
      </c>
      <c r="U17" s="130" t="s">
        <v>335</v>
      </c>
      <c r="V17" s="130" t="s">
        <v>336</v>
      </c>
      <c r="W17" s="143" t="s">
        <v>341</v>
      </c>
      <c r="X17" s="306"/>
      <c r="Y17" s="306"/>
      <c r="Z17" s="306"/>
      <c r="AA17" s="306"/>
      <c r="AB17" s="306"/>
      <c r="AC17" s="306"/>
    </row>
    <row r="18" spans="1:29" x14ac:dyDescent="0.2">
      <c r="A18" s="306"/>
      <c r="B18" s="306"/>
      <c r="C18" s="306"/>
      <c r="D18" s="306"/>
      <c r="E18" s="306"/>
      <c r="F18" s="306"/>
      <c r="G18" s="306"/>
      <c r="H18" s="306"/>
      <c r="I18" s="306"/>
      <c r="J18" s="306"/>
      <c r="K18" s="306"/>
      <c r="L18" s="306"/>
      <c r="M18" s="306"/>
      <c r="N18" s="306"/>
      <c r="O18" s="306"/>
      <c r="P18" s="306"/>
      <c r="Q18" s="306"/>
      <c r="R18" s="132" t="s">
        <v>235</v>
      </c>
      <c r="S18" s="130"/>
      <c r="T18" s="142">
        <f>R2*1000</f>
        <v>2610336697.9762378</v>
      </c>
      <c r="U18" s="142">
        <f>Q2*0.65*1000</f>
        <v>7729497000.1185255</v>
      </c>
      <c r="V18" s="142">
        <f>Q2*0.35*1000</f>
        <v>4162036846.2176671</v>
      </c>
      <c r="W18" s="153">
        <v>0</v>
      </c>
      <c r="X18" s="306"/>
      <c r="Y18" s="306"/>
      <c r="Z18" s="306"/>
      <c r="AA18" s="306"/>
      <c r="AB18" s="306"/>
      <c r="AC18" s="306"/>
    </row>
    <row r="19" spans="1:29" x14ac:dyDescent="0.2">
      <c r="A19" s="306"/>
      <c r="B19" s="306"/>
      <c r="C19" s="306"/>
      <c r="D19" s="306"/>
      <c r="E19" s="306"/>
      <c r="F19" s="306"/>
      <c r="G19" s="306"/>
      <c r="H19" s="306"/>
      <c r="I19" s="306"/>
      <c r="J19" s="306"/>
      <c r="K19" s="306"/>
      <c r="L19" s="306"/>
      <c r="M19" s="306"/>
      <c r="N19" s="306"/>
      <c r="O19" s="306"/>
      <c r="P19" s="306"/>
      <c r="Q19" s="306"/>
      <c r="R19" s="132" t="s">
        <v>236</v>
      </c>
      <c r="S19" s="130"/>
      <c r="T19" s="142">
        <f>R4*1000</f>
        <v>5016382000.7321186</v>
      </c>
      <c r="U19" s="142">
        <f>Q4*0.65*1000</f>
        <v>14854064479.945658</v>
      </c>
      <c r="V19" s="142">
        <f>Q4*0.35*1000</f>
        <v>7998342412.2784309</v>
      </c>
      <c r="W19" s="153">
        <f>S4*1000</f>
        <v>26955813663.271832</v>
      </c>
      <c r="X19" s="306"/>
      <c r="Y19" s="306"/>
      <c r="Z19" s="306"/>
      <c r="AA19" s="306"/>
      <c r="AB19" s="306"/>
      <c r="AC19" s="306"/>
    </row>
    <row r="20" spans="1:29" ht="15" thickBot="1" x14ac:dyDescent="0.25">
      <c r="A20" s="306"/>
      <c r="B20" s="306"/>
      <c r="C20" s="306"/>
      <c r="D20" s="306"/>
      <c r="E20" s="306"/>
      <c r="F20" s="306"/>
      <c r="G20" s="306"/>
      <c r="H20" s="306"/>
      <c r="I20" s="306"/>
      <c r="J20" s="306"/>
      <c r="K20" s="306"/>
      <c r="L20" s="306"/>
      <c r="M20" s="306"/>
      <c r="N20" s="306"/>
      <c r="O20" s="306"/>
      <c r="P20" s="306"/>
      <c r="Q20" s="306"/>
      <c r="R20" s="144" t="s">
        <v>241</v>
      </c>
      <c r="S20" s="202"/>
      <c r="T20" s="155">
        <f>R6*1000</f>
        <v>3796204110.984621</v>
      </c>
      <c r="U20" s="155">
        <f>Q6*0.65*1000</f>
        <v>11240982173.082237</v>
      </c>
      <c r="V20" s="155">
        <f>Q6*0.35*1000</f>
        <v>6052836554.7365894</v>
      </c>
      <c r="W20" s="156">
        <f>0</f>
        <v>0</v>
      </c>
      <c r="X20" s="306"/>
      <c r="Y20" s="306"/>
      <c r="Z20" s="306"/>
      <c r="AA20" s="306"/>
      <c r="AB20" s="306"/>
      <c r="AC20" s="306"/>
    </row>
    <row r="21" spans="1:29" x14ac:dyDescent="0.2">
      <c r="A21" s="306"/>
      <c r="B21" s="306"/>
      <c r="C21" s="306"/>
      <c r="D21" s="306"/>
      <c r="E21" s="306"/>
      <c r="F21" s="306"/>
      <c r="G21" s="306"/>
      <c r="H21" s="306"/>
      <c r="I21" s="306"/>
      <c r="J21" s="306"/>
      <c r="K21" s="306"/>
      <c r="L21" s="306"/>
      <c r="M21" s="306"/>
      <c r="N21" s="306"/>
      <c r="O21" s="306"/>
      <c r="P21" s="306"/>
      <c r="Q21" s="306"/>
      <c r="R21" s="306"/>
      <c r="S21" s="306"/>
      <c r="T21" s="306"/>
      <c r="U21" s="306"/>
      <c r="V21" s="306"/>
      <c r="W21" s="306"/>
      <c r="X21" s="306"/>
      <c r="Y21" s="306"/>
      <c r="Z21" s="306"/>
      <c r="AA21" s="306"/>
      <c r="AB21" s="306"/>
      <c r="AC21" s="306"/>
    </row>
    <row r="22" spans="1:29" x14ac:dyDescent="0.2">
      <c r="A22" s="306"/>
      <c r="B22" s="306"/>
      <c r="C22" s="306"/>
      <c r="D22" s="306"/>
      <c r="E22" s="306"/>
      <c r="F22" s="306"/>
      <c r="G22" s="306"/>
      <c r="H22" s="306"/>
      <c r="I22" s="306"/>
      <c r="J22" s="306"/>
      <c r="K22" s="306"/>
      <c r="L22" s="306"/>
      <c r="M22" s="306"/>
      <c r="N22" s="306"/>
      <c r="O22" s="306"/>
      <c r="P22" s="306"/>
      <c r="Q22" s="306"/>
      <c r="R22" s="306"/>
      <c r="S22" s="306"/>
      <c r="T22" s="306"/>
      <c r="U22" s="306"/>
      <c r="V22" s="306"/>
      <c r="W22" s="306"/>
      <c r="X22" s="306"/>
      <c r="Y22" s="306"/>
      <c r="Z22" s="306"/>
      <c r="AA22" s="306"/>
      <c r="AB22" s="306"/>
      <c r="AC22" s="306"/>
    </row>
    <row r="23" spans="1:29" x14ac:dyDescent="0.2">
      <c r="A23" s="306"/>
      <c r="B23" s="306"/>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c r="AA23" s="306"/>
      <c r="AB23" s="306"/>
      <c r="AC23" s="306"/>
    </row>
    <row r="24" spans="1:29" x14ac:dyDescent="0.2">
      <c r="A24" s="306"/>
      <c r="B24" s="306"/>
      <c r="C24" s="306"/>
      <c r="D24" s="306"/>
      <c r="E24" s="306"/>
      <c r="F24" s="306"/>
      <c r="G24" s="306"/>
      <c r="H24" s="306"/>
      <c r="I24" s="306"/>
      <c r="J24" s="306"/>
      <c r="K24" s="306"/>
      <c r="L24" s="306"/>
      <c r="M24" s="306"/>
      <c r="N24" s="306"/>
      <c r="O24" s="306"/>
      <c r="P24" s="306"/>
      <c r="Q24" s="306"/>
      <c r="R24" s="306"/>
      <c r="S24" s="306"/>
      <c r="T24" s="306"/>
      <c r="U24" s="306"/>
      <c r="V24" s="306"/>
      <c r="W24" s="306"/>
      <c r="X24" s="306"/>
      <c r="Y24" s="306"/>
      <c r="Z24" s="306"/>
      <c r="AA24" s="306"/>
      <c r="AB24" s="306"/>
      <c r="AC24" s="306"/>
    </row>
    <row r="25" spans="1:29" x14ac:dyDescent="0.2">
      <c r="A25" s="306"/>
      <c r="B25" s="306"/>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c r="AA25" s="306"/>
      <c r="AB25" s="306"/>
      <c r="AC25" s="306"/>
    </row>
    <row r="26" spans="1:29" x14ac:dyDescent="0.2">
      <c r="A26" s="306"/>
      <c r="B26" s="306"/>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c r="AA26" s="306"/>
      <c r="AB26" s="306"/>
      <c r="AC26" s="306"/>
    </row>
    <row r="27" spans="1:29" x14ac:dyDescent="0.2">
      <c r="A27" s="306"/>
      <c r="B27" s="306"/>
      <c r="C27" s="306"/>
      <c r="D27" s="306"/>
      <c r="E27" s="306"/>
      <c r="F27" s="306"/>
      <c r="G27" s="306"/>
      <c r="H27" s="306"/>
      <c r="I27" s="306"/>
      <c r="J27" s="306"/>
      <c r="K27" s="306"/>
      <c r="L27" s="306"/>
      <c r="M27" s="306"/>
      <c r="N27" s="306"/>
      <c r="O27" s="306"/>
      <c r="P27" s="306"/>
      <c r="Q27" s="306"/>
      <c r="R27" s="306"/>
      <c r="S27" s="306"/>
      <c r="T27" s="306"/>
      <c r="U27" s="306"/>
      <c r="V27" s="306"/>
      <c r="W27" s="306"/>
      <c r="X27" s="306"/>
      <c r="Y27" s="306"/>
      <c r="Z27" s="306"/>
      <c r="AA27" s="306"/>
      <c r="AB27" s="306"/>
      <c r="AC27" s="306"/>
    </row>
    <row r="28" spans="1:29" x14ac:dyDescent="0.2">
      <c r="A28" s="306"/>
      <c r="B28" s="306"/>
      <c r="C28" s="306"/>
      <c r="D28" s="306"/>
      <c r="E28" s="306"/>
      <c r="F28" s="306"/>
      <c r="G28" s="306"/>
      <c r="H28" s="306"/>
      <c r="I28" s="306"/>
      <c r="J28" s="306"/>
      <c r="K28" s="306"/>
      <c r="L28" s="306"/>
      <c r="M28" s="306"/>
      <c r="N28" s="306"/>
      <c r="O28" s="306"/>
      <c r="P28" s="306"/>
      <c r="Q28" s="306"/>
      <c r="R28" s="306"/>
      <c r="S28" s="306"/>
      <c r="T28" s="306"/>
      <c r="U28" s="306"/>
      <c r="V28" s="306"/>
      <c r="W28" s="306"/>
      <c r="X28" s="306"/>
      <c r="Y28" s="306"/>
      <c r="Z28" s="306"/>
      <c r="AA28" s="306"/>
      <c r="AB28" s="306"/>
      <c r="AC28" s="306"/>
    </row>
    <row r="29" spans="1:29" x14ac:dyDescent="0.2">
      <c r="A29" s="306"/>
      <c r="B29" s="306"/>
      <c r="C29" s="306"/>
      <c r="D29" s="306"/>
      <c r="E29" s="306"/>
      <c r="F29" s="306"/>
      <c r="G29" s="306"/>
      <c r="H29" s="306"/>
      <c r="I29" s="306"/>
      <c r="J29" s="306"/>
      <c r="K29" s="306"/>
      <c r="L29" s="306"/>
      <c r="M29" s="306"/>
      <c r="N29" s="306"/>
      <c r="O29" s="306"/>
      <c r="P29" s="306"/>
      <c r="Q29" s="306"/>
      <c r="R29" s="306"/>
      <c r="S29" s="306"/>
      <c r="T29" s="306"/>
      <c r="U29" s="306"/>
      <c r="V29" s="306"/>
      <c r="W29" s="306"/>
      <c r="X29" s="306"/>
      <c r="Y29" s="306"/>
      <c r="Z29" s="306"/>
      <c r="AA29" s="306"/>
      <c r="AB29" s="306"/>
      <c r="AC29" s="306"/>
    </row>
    <row r="30" spans="1:29" x14ac:dyDescent="0.2">
      <c r="B30" s="306"/>
      <c r="C30" s="306"/>
      <c r="D30" s="306"/>
      <c r="E30" s="306"/>
      <c r="F30" s="306"/>
      <c r="G30" s="306"/>
      <c r="H30" s="306"/>
      <c r="I30" s="306"/>
      <c r="J30" s="306"/>
      <c r="K30" s="306"/>
      <c r="L30" s="306"/>
      <c r="M30" s="306"/>
      <c r="N30" s="306"/>
      <c r="O30" s="306"/>
    </row>
    <row r="31" spans="1:29" x14ac:dyDescent="0.2">
      <c r="B31" s="306"/>
      <c r="C31" s="306"/>
      <c r="D31" s="306"/>
      <c r="E31" s="306"/>
      <c r="F31" s="306"/>
      <c r="G31" s="306"/>
      <c r="H31" s="306"/>
      <c r="I31" s="306"/>
      <c r="J31" s="306"/>
      <c r="K31" s="306"/>
      <c r="L31" s="306"/>
      <c r="M31" s="306"/>
      <c r="N31" s="306"/>
      <c r="O31" s="306"/>
    </row>
    <row r="32" spans="1:29" x14ac:dyDescent="0.2">
      <c r="B32" s="306"/>
      <c r="C32" s="306"/>
      <c r="D32" s="306"/>
      <c r="E32" s="306"/>
      <c r="F32" s="306"/>
      <c r="G32" s="306"/>
      <c r="H32" s="306"/>
      <c r="I32" s="306"/>
      <c r="J32" s="306"/>
      <c r="K32" s="306"/>
      <c r="L32" s="306"/>
      <c r="M32" s="306"/>
      <c r="N32" s="306"/>
      <c r="O32" s="306"/>
    </row>
    <row r="33" spans="2:15" x14ac:dyDescent="0.2">
      <c r="B33" s="306"/>
      <c r="C33" s="306"/>
      <c r="D33" s="306"/>
      <c r="E33" s="306"/>
      <c r="F33" s="306"/>
      <c r="G33" s="306"/>
      <c r="H33" s="306"/>
      <c r="I33" s="306"/>
      <c r="J33" s="306"/>
      <c r="K33" s="306"/>
      <c r="L33" s="306"/>
      <c r="M33" s="306"/>
      <c r="N33" s="306"/>
      <c r="O33" s="306"/>
    </row>
    <row r="34" spans="2:15" x14ac:dyDescent="0.2">
      <c r="B34" s="306"/>
      <c r="C34" s="306"/>
      <c r="D34" s="306"/>
      <c r="E34" s="306"/>
      <c r="F34" s="306"/>
      <c r="G34" s="306"/>
      <c r="H34" s="306"/>
      <c r="I34" s="306"/>
      <c r="J34" s="306"/>
      <c r="K34" s="306"/>
      <c r="L34" s="306"/>
      <c r="M34" s="306"/>
      <c r="N34" s="306"/>
      <c r="O34" s="306"/>
    </row>
    <row r="35" spans="2:15" x14ac:dyDescent="0.2">
      <c r="B35" s="306"/>
      <c r="C35" s="306"/>
      <c r="D35" s="306"/>
      <c r="E35" s="306"/>
      <c r="F35" s="306"/>
      <c r="G35" s="306"/>
      <c r="H35" s="306"/>
      <c r="I35" s="306"/>
      <c r="J35" s="306"/>
      <c r="K35" s="306"/>
      <c r="L35" s="306"/>
      <c r="M35" s="306"/>
      <c r="N35" s="306"/>
      <c r="O35" s="306"/>
    </row>
    <row r="36" spans="2:15" x14ac:dyDescent="0.2">
      <c r="B36" s="306"/>
      <c r="C36" s="306"/>
      <c r="D36" s="306"/>
      <c r="E36" s="306"/>
      <c r="F36" s="306"/>
      <c r="G36" s="306"/>
      <c r="H36" s="306"/>
      <c r="I36" s="306"/>
      <c r="J36" s="306"/>
      <c r="K36" s="306"/>
      <c r="L36" s="306"/>
      <c r="M36" s="306"/>
      <c r="N36" s="306"/>
      <c r="O36" s="306"/>
    </row>
    <row r="37" spans="2:15" x14ac:dyDescent="0.2">
      <c r="B37" s="306"/>
      <c r="C37" s="306"/>
      <c r="D37" s="306"/>
      <c r="E37" s="306"/>
      <c r="F37" s="306"/>
      <c r="G37" s="306"/>
      <c r="H37" s="306"/>
      <c r="I37" s="306"/>
      <c r="J37" s="306"/>
      <c r="K37" s="306"/>
      <c r="L37" s="306"/>
      <c r="M37" s="306"/>
      <c r="N37" s="306"/>
      <c r="O37" s="306"/>
    </row>
    <row r="38" spans="2:15" x14ac:dyDescent="0.2">
      <c r="B38" s="57"/>
      <c r="C38" s="57"/>
    </row>
    <row r="39" spans="2:15" x14ac:dyDescent="0.2">
      <c r="B39" s="57"/>
      <c r="C39" s="57"/>
    </row>
    <row r="40" spans="2:15" x14ac:dyDescent="0.2">
      <c r="B40" s="57"/>
      <c r="C40" s="57"/>
    </row>
    <row r="41" spans="2:15" x14ac:dyDescent="0.2">
      <c r="B41" s="57"/>
      <c r="C41" s="57"/>
    </row>
    <row r="42" spans="2:15" x14ac:dyDescent="0.2">
      <c r="B42" s="57"/>
      <c r="C42" s="57"/>
    </row>
    <row r="43" spans="2:15" x14ac:dyDescent="0.2">
      <c r="B43" s="57"/>
      <c r="C43" s="57"/>
    </row>
    <row r="44" spans="2:15" x14ac:dyDescent="0.2">
      <c r="B44" s="57"/>
      <c r="C44" s="57"/>
    </row>
    <row r="45" spans="2:15" x14ac:dyDescent="0.2">
      <c r="B45" s="57"/>
      <c r="C45" s="57"/>
    </row>
    <row r="46" spans="2:15" x14ac:dyDescent="0.2">
      <c r="B46" s="57"/>
      <c r="C46" s="57"/>
    </row>
    <row r="47" spans="2:15" x14ac:dyDescent="0.2">
      <c r="B47" s="57"/>
      <c r="C47" s="57"/>
    </row>
    <row r="48" spans="2:15" x14ac:dyDescent="0.2">
      <c r="B48" s="57"/>
      <c r="C48" s="57"/>
    </row>
    <row r="49" s="57" customFormat="1" x14ac:dyDescent="0.2"/>
    <row r="50" s="57" customFormat="1" x14ac:dyDescent="0.2"/>
    <row r="51" s="57" customFormat="1" x14ac:dyDescent="0.2"/>
    <row r="52" s="57" customFormat="1" x14ac:dyDescent="0.2"/>
    <row r="53" s="57" customFormat="1" x14ac:dyDescent="0.2"/>
    <row r="54" s="57" customFormat="1" x14ac:dyDescent="0.2"/>
    <row r="55" s="57" customFormat="1" x14ac:dyDescent="0.2"/>
    <row r="56" s="57" customFormat="1" x14ac:dyDescent="0.2"/>
    <row r="57" s="57" customFormat="1" x14ac:dyDescent="0.2"/>
    <row r="58" s="57" customFormat="1" x14ac:dyDescent="0.2"/>
    <row r="59" s="57" customFormat="1" x14ac:dyDescent="0.2"/>
    <row r="60" s="57" customFormat="1" x14ac:dyDescent="0.2"/>
    <row r="61" s="57" customFormat="1" x14ac:dyDescent="0.2"/>
    <row r="62" s="57" customFormat="1" x14ac:dyDescent="0.2"/>
    <row r="63" s="57" customFormat="1" x14ac:dyDescent="0.2"/>
    <row r="64" s="57" customFormat="1" x14ac:dyDescent="0.2"/>
    <row r="65" s="57" customFormat="1" x14ac:dyDescent="0.2"/>
    <row r="66" s="57" customFormat="1" x14ac:dyDescent="0.2"/>
    <row r="67" s="57" customFormat="1" x14ac:dyDescent="0.2"/>
    <row r="68" s="57" customFormat="1" x14ac:dyDescent="0.2"/>
    <row r="69" s="57" customFormat="1" x14ac:dyDescent="0.2"/>
    <row r="70" s="57" customFormat="1" x14ac:dyDescent="0.2"/>
    <row r="71" s="57" customFormat="1" x14ac:dyDescent="0.2"/>
    <row r="72" s="57" customFormat="1" x14ac:dyDescent="0.2"/>
    <row r="73" s="57" customFormat="1" x14ac:dyDescent="0.2"/>
    <row r="74" s="57" customFormat="1" x14ac:dyDescent="0.2"/>
    <row r="75" s="57" customFormat="1" x14ac:dyDescent="0.2"/>
    <row r="76" s="57" customFormat="1" x14ac:dyDescent="0.2"/>
    <row r="77" s="57" customFormat="1" x14ac:dyDescent="0.2"/>
    <row r="78" s="57" customFormat="1" x14ac:dyDescent="0.2"/>
    <row r="79" s="57" customFormat="1" x14ac:dyDescent="0.2"/>
    <row r="80" s="57" customFormat="1" x14ac:dyDescent="0.2"/>
    <row r="81" s="57" customFormat="1" x14ac:dyDescent="0.2"/>
    <row r="82" s="57" customFormat="1" x14ac:dyDescent="0.2"/>
    <row r="83" s="57" customFormat="1" x14ac:dyDescent="0.2"/>
    <row r="84" s="57" customFormat="1" x14ac:dyDescent="0.2"/>
    <row r="85" s="57" customFormat="1" x14ac:dyDescent="0.2"/>
    <row r="86" s="57" customFormat="1" x14ac:dyDescent="0.2"/>
    <row r="87" s="57" customFormat="1" x14ac:dyDescent="0.2"/>
    <row r="88" s="57" customFormat="1" x14ac:dyDescent="0.2"/>
    <row r="89" s="57" customFormat="1" x14ac:dyDescent="0.2"/>
    <row r="90" s="57" customFormat="1" x14ac:dyDescent="0.2"/>
    <row r="91" s="57" customFormat="1" x14ac:dyDescent="0.2"/>
    <row r="92" s="57" customFormat="1" x14ac:dyDescent="0.2"/>
    <row r="93" s="57" customFormat="1" x14ac:dyDescent="0.2"/>
    <row r="94" s="57" customFormat="1" x14ac:dyDescent="0.2"/>
    <row r="95" s="57" customFormat="1" x14ac:dyDescent="0.2"/>
    <row r="96" s="57" customFormat="1" x14ac:dyDescent="0.2"/>
    <row r="97" s="57" customFormat="1" x14ac:dyDescent="0.2"/>
    <row r="98" s="57" customFormat="1" x14ac:dyDescent="0.2"/>
    <row r="99" s="57" customFormat="1" x14ac:dyDescent="0.2"/>
    <row r="100" s="57" customFormat="1" x14ac:dyDescent="0.2"/>
    <row r="101" s="57" customFormat="1" x14ac:dyDescent="0.2"/>
    <row r="102" s="57" customFormat="1" x14ac:dyDescent="0.2"/>
    <row r="103" s="57" customFormat="1" x14ac:dyDescent="0.2"/>
    <row r="104" s="57" customFormat="1" x14ac:dyDescent="0.2"/>
    <row r="105" s="57" customFormat="1" x14ac:dyDescent="0.2"/>
    <row r="106" s="57" customFormat="1" x14ac:dyDescent="0.2"/>
    <row r="107" s="57" customFormat="1" x14ac:dyDescent="0.2"/>
    <row r="108" s="57" customFormat="1" x14ac:dyDescent="0.2"/>
    <row r="109" s="57" customFormat="1" x14ac:dyDescent="0.2"/>
    <row r="110" s="57" customFormat="1" x14ac:dyDescent="0.2"/>
    <row r="111" s="57" customFormat="1" x14ac:dyDescent="0.2"/>
    <row r="112" s="57" customFormat="1" x14ac:dyDescent="0.2"/>
    <row r="113" s="57" customFormat="1" x14ac:dyDescent="0.2"/>
    <row r="114" s="57" customFormat="1" x14ac:dyDescent="0.2"/>
    <row r="115" s="57" customFormat="1" x14ac:dyDescent="0.2"/>
    <row r="116" s="57" customFormat="1" x14ac:dyDescent="0.2"/>
    <row r="117" s="57" customFormat="1" x14ac:dyDescent="0.2"/>
    <row r="118" s="57" customFormat="1" x14ac:dyDescent="0.2"/>
    <row r="119" s="57" customFormat="1" x14ac:dyDescent="0.2"/>
    <row r="120" s="57" customFormat="1" x14ac:dyDescent="0.2"/>
    <row r="121" s="57" customFormat="1" x14ac:dyDescent="0.2"/>
    <row r="122" s="57" customFormat="1" x14ac:dyDescent="0.2"/>
    <row r="123" s="57" customFormat="1" x14ac:dyDescent="0.2"/>
    <row r="124" s="57" customFormat="1" x14ac:dyDescent="0.2"/>
    <row r="125" s="57" customFormat="1" x14ac:dyDescent="0.2"/>
    <row r="126" s="57" customFormat="1" x14ac:dyDescent="0.2"/>
    <row r="127" s="57" customFormat="1" x14ac:dyDescent="0.2"/>
    <row r="128" s="57" customFormat="1" x14ac:dyDescent="0.2"/>
    <row r="129" s="57" customFormat="1" x14ac:dyDescent="0.2"/>
    <row r="130" s="57" customFormat="1" x14ac:dyDescent="0.2"/>
    <row r="131" s="57" customFormat="1" x14ac:dyDescent="0.2"/>
    <row r="132" s="57" customFormat="1" x14ac:dyDescent="0.2"/>
    <row r="133" s="57" customFormat="1" x14ac:dyDescent="0.2"/>
    <row r="134" s="57" customFormat="1" x14ac:dyDescent="0.2"/>
    <row r="135" s="57" customFormat="1" x14ac:dyDescent="0.2"/>
    <row r="136" s="57" customFormat="1" x14ac:dyDescent="0.2"/>
    <row r="137" s="57" customFormat="1" x14ac:dyDescent="0.2"/>
    <row r="138" s="57" customFormat="1" x14ac:dyDescent="0.2"/>
    <row r="139" s="57" customFormat="1" x14ac:dyDescent="0.2"/>
    <row r="140" s="57" customFormat="1" x14ac:dyDescent="0.2"/>
    <row r="141" s="57" customFormat="1" x14ac:dyDescent="0.2"/>
    <row r="142" s="57" customFormat="1" x14ac:dyDescent="0.2"/>
    <row r="143" s="57" customFormat="1" x14ac:dyDescent="0.2"/>
    <row r="144" s="57" customFormat="1" x14ac:dyDescent="0.2"/>
    <row r="145" s="57" customFormat="1" x14ac:dyDescent="0.2"/>
    <row r="146" s="57" customFormat="1" x14ac:dyDescent="0.2"/>
    <row r="147" s="57" customFormat="1" x14ac:dyDescent="0.2"/>
    <row r="148" s="57" customFormat="1" x14ac:dyDescent="0.2"/>
    <row r="149" s="57" customFormat="1" x14ac:dyDescent="0.2"/>
    <row r="150" s="57" customFormat="1" x14ac:dyDescent="0.2"/>
    <row r="151" s="57" customFormat="1" x14ac:dyDescent="0.2"/>
    <row r="152" s="57" customFormat="1" x14ac:dyDescent="0.2"/>
    <row r="153" s="57" customFormat="1" x14ac:dyDescent="0.2"/>
    <row r="154" s="57" customFormat="1" x14ac:dyDescent="0.2"/>
    <row r="155" s="57" customFormat="1" x14ac:dyDescent="0.2"/>
    <row r="156" s="57" customFormat="1" x14ac:dyDescent="0.2"/>
    <row r="157" s="57" customFormat="1" x14ac:dyDescent="0.2"/>
    <row r="158" s="57" customFormat="1" x14ac:dyDescent="0.2"/>
    <row r="159" s="57" customFormat="1" x14ac:dyDescent="0.2"/>
    <row r="160" s="57" customFormat="1" x14ac:dyDescent="0.2"/>
    <row r="161" s="57" customFormat="1" x14ac:dyDescent="0.2"/>
    <row r="162" s="57" customFormat="1" x14ac:dyDescent="0.2"/>
    <row r="163" s="57" customFormat="1" x14ac:dyDescent="0.2"/>
    <row r="164" s="57" customFormat="1" x14ac:dyDescent="0.2"/>
    <row r="165" s="57" customFormat="1" x14ac:dyDescent="0.2"/>
    <row r="166" s="57" customFormat="1" x14ac:dyDescent="0.2"/>
    <row r="167" s="57" customFormat="1" x14ac:dyDescent="0.2"/>
    <row r="168" s="57" customFormat="1" x14ac:dyDescent="0.2"/>
    <row r="169" s="57" customFormat="1" x14ac:dyDescent="0.2"/>
    <row r="170" s="57" customFormat="1" x14ac:dyDescent="0.2"/>
    <row r="171" s="57" customFormat="1" x14ac:dyDescent="0.2"/>
    <row r="172" s="57" customFormat="1" x14ac:dyDescent="0.2"/>
    <row r="173" s="57" customFormat="1" x14ac:dyDescent="0.2"/>
    <row r="174" s="57" customFormat="1" x14ac:dyDescent="0.2"/>
    <row r="175" s="57" customFormat="1" x14ac:dyDescent="0.2"/>
    <row r="176" s="57" customFormat="1" x14ac:dyDescent="0.2"/>
    <row r="177" s="57" customFormat="1" x14ac:dyDescent="0.2"/>
    <row r="178" s="57" customFormat="1" x14ac:dyDescent="0.2"/>
    <row r="179" s="57" customFormat="1" x14ac:dyDescent="0.2"/>
    <row r="180" s="57" customFormat="1" x14ac:dyDescent="0.2"/>
    <row r="181" s="57" customFormat="1" x14ac:dyDescent="0.2"/>
    <row r="182" s="57" customFormat="1" x14ac:dyDescent="0.2"/>
    <row r="183" s="57" customFormat="1" x14ac:dyDescent="0.2"/>
    <row r="184" s="57" customFormat="1" x14ac:dyDescent="0.2"/>
    <row r="185" s="57" customFormat="1" x14ac:dyDescent="0.2"/>
    <row r="186" s="57" customFormat="1" x14ac:dyDescent="0.2"/>
    <row r="187" s="57" customFormat="1" x14ac:dyDescent="0.2"/>
    <row r="188" s="57" customFormat="1" x14ac:dyDescent="0.2"/>
    <row r="189" s="57" customFormat="1" x14ac:dyDescent="0.2"/>
    <row r="190" s="57" customFormat="1" x14ac:dyDescent="0.2"/>
    <row r="191" s="57" customFormat="1" x14ac:dyDescent="0.2"/>
    <row r="192" s="57" customFormat="1" x14ac:dyDescent="0.2"/>
    <row r="193" s="57" customFormat="1" x14ac:dyDescent="0.2"/>
    <row r="194" s="57" customFormat="1" x14ac:dyDescent="0.2"/>
    <row r="195" s="57" customFormat="1" x14ac:dyDescent="0.2"/>
    <row r="196" s="57" customFormat="1" x14ac:dyDescent="0.2"/>
    <row r="197" s="57" customFormat="1" x14ac:dyDescent="0.2"/>
    <row r="198" s="57" customFormat="1" x14ac:dyDescent="0.2"/>
    <row r="199" s="57" customFormat="1" x14ac:dyDescent="0.2"/>
    <row r="200" s="57" customFormat="1" x14ac:dyDescent="0.2"/>
    <row r="201" s="57" customFormat="1" x14ac:dyDescent="0.2"/>
    <row r="202" s="57" customFormat="1" x14ac:dyDescent="0.2"/>
    <row r="203" s="57" customFormat="1" x14ac:dyDescent="0.2"/>
    <row r="204" s="57" customFormat="1" x14ac:dyDescent="0.2"/>
    <row r="205" s="57" customFormat="1" x14ac:dyDescent="0.2"/>
    <row r="206" s="57" customFormat="1" x14ac:dyDescent="0.2"/>
    <row r="207" s="57" customFormat="1" x14ac:dyDescent="0.2"/>
    <row r="208" s="57" customFormat="1" x14ac:dyDescent="0.2"/>
    <row r="209" s="57" customFormat="1" x14ac:dyDescent="0.2"/>
    <row r="210" s="57" customFormat="1" x14ac:dyDescent="0.2"/>
    <row r="211" s="57" customFormat="1" x14ac:dyDescent="0.2"/>
    <row r="212" s="57" customFormat="1" x14ac:dyDescent="0.2"/>
    <row r="213" s="57" customFormat="1" x14ac:dyDescent="0.2"/>
    <row r="214" s="57" customFormat="1" x14ac:dyDescent="0.2"/>
    <row r="215" s="57" customFormat="1" x14ac:dyDescent="0.2"/>
    <row r="216" s="57" customFormat="1" x14ac:dyDescent="0.2"/>
    <row r="217" s="57" customFormat="1" x14ac:dyDescent="0.2"/>
    <row r="218" s="57" customFormat="1" x14ac:dyDescent="0.2"/>
    <row r="219" s="57" customFormat="1" x14ac:dyDescent="0.2"/>
    <row r="220" s="57" customFormat="1" x14ac:dyDescent="0.2"/>
    <row r="221" s="57" customFormat="1" x14ac:dyDescent="0.2"/>
    <row r="222" s="57" customFormat="1" x14ac:dyDescent="0.2"/>
    <row r="223" s="57" customFormat="1" x14ac:dyDescent="0.2"/>
    <row r="224" s="57" customFormat="1" x14ac:dyDescent="0.2"/>
    <row r="225" s="57" customFormat="1" x14ac:dyDescent="0.2"/>
    <row r="226" s="57" customFormat="1" x14ac:dyDescent="0.2"/>
    <row r="227" s="57" customFormat="1" x14ac:dyDescent="0.2"/>
    <row r="228" s="57" customFormat="1" x14ac:dyDescent="0.2"/>
    <row r="229" s="57" customFormat="1" x14ac:dyDescent="0.2"/>
    <row r="230" s="57" customFormat="1" x14ac:dyDescent="0.2"/>
    <row r="231" s="57" customFormat="1" x14ac:dyDescent="0.2"/>
    <row r="232" s="57" customFormat="1" x14ac:dyDescent="0.2"/>
    <row r="233" s="57" customFormat="1" x14ac:dyDescent="0.2"/>
    <row r="234" s="57" customFormat="1" x14ac:dyDescent="0.2"/>
    <row r="235" s="57" customFormat="1" x14ac:dyDescent="0.2"/>
    <row r="236" s="57" customFormat="1" x14ac:dyDescent="0.2"/>
    <row r="237" s="57" customFormat="1" x14ac:dyDescent="0.2"/>
    <row r="238" s="57" customFormat="1" x14ac:dyDescent="0.2"/>
    <row r="239" s="57" customFormat="1" x14ac:dyDescent="0.2"/>
    <row r="240" s="57" customFormat="1" x14ac:dyDescent="0.2"/>
    <row r="241" s="57" customFormat="1" x14ac:dyDescent="0.2"/>
    <row r="242" s="57" customFormat="1" x14ac:dyDescent="0.2"/>
    <row r="243" s="57" customFormat="1" x14ac:dyDescent="0.2"/>
    <row r="244" s="57" customFormat="1" x14ac:dyDescent="0.2"/>
    <row r="245" s="57" customFormat="1" x14ac:dyDescent="0.2"/>
    <row r="246" s="57" customFormat="1" x14ac:dyDescent="0.2"/>
    <row r="247" s="57" customFormat="1" x14ac:dyDescent="0.2"/>
    <row r="248" s="57" customFormat="1" x14ac:dyDescent="0.2"/>
    <row r="249" s="57" customFormat="1" x14ac:dyDescent="0.2"/>
    <row r="250" s="57" customFormat="1" x14ac:dyDescent="0.2"/>
    <row r="251" s="57" customFormat="1" x14ac:dyDescent="0.2"/>
    <row r="252" s="57" customFormat="1" x14ac:dyDescent="0.2"/>
    <row r="253" s="57" customFormat="1" x14ac:dyDescent="0.2"/>
    <row r="254" s="57" customFormat="1" x14ac:dyDescent="0.2"/>
    <row r="255" s="57" customFormat="1" x14ac:dyDescent="0.2"/>
    <row r="256" s="57" customFormat="1" x14ac:dyDescent="0.2"/>
    <row r="257" s="57" customFormat="1" x14ac:dyDescent="0.2"/>
    <row r="258" s="57" customFormat="1" x14ac:dyDescent="0.2"/>
    <row r="259" s="57" customFormat="1" x14ac:dyDescent="0.2"/>
    <row r="260" s="57" customFormat="1" x14ac:dyDescent="0.2"/>
    <row r="261" s="57" customFormat="1" x14ac:dyDescent="0.2"/>
    <row r="262" s="57" customFormat="1" x14ac:dyDescent="0.2"/>
    <row r="263" s="57" customFormat="1" x14ac:dyDescent="0.2"/>
    <row r="264" s="57" customFormat="1" x14ac:dyDescent="0.2"/>
    <row r="265" s="57" customFormat="1" x14ac:dyDescent="0.2"/>
    <row r="266" s="57" customFormat="1" x14ac:dyDescent="0.2"/>
    <row r="267" s="57" customFormat="1" x14ac:dyDescent="0.2"/>
    <row r="268" s="57" customFormat="1" x14ac:dyDescent="0.2"/>
    <row r="269" s="57" customFormat="1" x14ac:dyDescent="0.2"/>
    <row r="270" s="57" customFormat="1" x14ac:dyDescent="0.2"/>
    <row r="271" s="57" customFormat="1" x14ac:dyDescent="0.2"/>
    <row r="272" s="57" customFormat="1" x14ac:dyDescent="0.2"/>
    <row r="273" s="57" customFormat="1" x14ac:dyDescent="0.2"/>
    <row r="274" s="57" customFormat="1" x14ac:dyDescent="0.2"/>
    <row r="275" s="57" customFormat="1" x14ac:dyDescent="0.2"/>
    <row r="276" s="57" customFormat="1" x14ac:dyDescent="0.2"/>
    <row r="277" s="57" customFormat="1" x14ac:dyDescent="0.2"/>
    <row r="278" s="57" customFormat="1" x14ac:dyDescent="0.2"/>
    <row r="279" s="57" customFormat="1" x14ac:dyDescent="0.2"/>
    <row r="280" s="57" customFormat="1" x14ac:dyDescent="0.2"/>
    <row r="281" s="57" customFormat="1" x14ac:dyDescent="0.2"/>
    <row r="282" s="57" customFormat="1" x14ac:dyDescent="0.2"/>
  </sheetData>
  <pageMargins left="0.7" right="0.7" top="0.75" bottom="0.75" header="0.3" footer="0.3"/>
  <pageSetup paperSize="9" orientation="portrait" horizontalDpi="4294967293"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6E631-DD42-45CC-95A7-440C565DB771}">
  <sheetPr>
    <tabColor theme="4" tint="0.39997558519241921"/>
  </sheetPr>
  <dimension ref="A1:AG58"/>
  <sheetViews>
    <sheetView zoomScale="70" zoomScaleNormal="70" workbookViewId="0">
      <selection activeCell="E38" sqref="E38:E39"/>
    </sheetView>
  </sheetViews>
  <sheetFormatPr baseColWidth="10" defaultColWidth="8.83203125" defaultRowHeight="13" x14ac:dyDescent="0.2"/>
  <cols>
    <col min="1" max="1" width="8.83203125" style="38"/>
    <col min="2" max="3" width="8.83203125" style="1"/>
    <col min="4" max="4" width="15" style="11" customWidth="1"/>
    <col min="5" max="20" width="9.33203125" style="1" bestFit="1" customWidth="1"/>
    <col min="21" max="21" width="9.33203125" style="1" customWidth="1"/>
    <col min="22" max="27" width="9.33203125" style="1" bestFit="1" customWidth="1"/>
    <col min="28" max="28" width="9.5" style="1" customWidth="1"/>
    <col min="29" max="29" width="8.83203125" style="109"/>
    <col min="30" max="16384" width="8.83203125" style="1"/>
  </cols>
  <sheetData>
    <row r="1" spans="1:33" s="402" customFormat="1" ht="57" thickBot="1" x14ac:dyDescent="0.25">
      <c r="A1" s="398" t="s">
        <v>385</v>
      </c>
      <c r="B1" s="399" t="s">
        <v>233</v>
      </c>
      <c r="C1" s="399" t="s">
        <v>234</v>
      </c>
      <c r="D1" s="400" t="s">
        <v>382</v>
      </c>
      <c r="E1" s="399" t="s">
        <v>88</v>
      </c>
      <c r="F1" s="399" t="s">
        <v>177</v>
      </c>
      <c r="G1" s="399" t="s">
        <v>191</v>
      </c>
      <c r="H1" s="399" t="s">
        <v>193</v>
      </c>
      <c r="I1" s="401" t="s">
        <v>94</v>
      </c>
      <c r="J1" s="399" t="s">
        <v>237</v>
      </c>
      <c r="K1" s="399" t="s">
        <v>199</v>
      </c>
      <c r="L1" s="399" t="s">
        <v>197</v>
      </c>
      <c r="M1" s="399" t="s">
        <v>196</v>
      </c>
      <c r="N1" s="399" t="s">
        <v>194</v>
      </c>
      <c r="O1" s="399" t="s">
        <v>238</v>
      </c>
      <c r="P1" s="399" t="s">
        <v>205</v>
      </c>
      <c r="Q1" s="399" t="s">
        <v>92</v>
      </c>
      <c r="R1" s="401" t="s">
        <v>93</v>
      </c>
      <c r="S1" s="399" t="s">
        <v>239</v>
      </c>
      <c r="T1" s="399" t="s">
        <v>240</v>
      </c>
      <c r="U1" s="399" t="s">
        <v>341</v>
      </c>
      <c r="V1" s="399" t="s">
        <v>214</v>
      </c>
      <c r="W1" s="399" t="s">
        <v>180</v>
      </c>
      <c r="X1" s="399" t="s">
        <v>86</v>
      </c>
      <c r="Y1" s="399" t="s">
        <v>87</v>
      </c>
      <c r="Z1" s="399" t="s">
        <v>218</v>
      </c>
      <c r="AA1" s="399" t="s">
        <v>220</v>
      </c>
    </row>
    <row r="2" spans="1:33" x14ac:dyDescent="0.2">
      <c r="A2" s="38" t="s">
        <v>378</v>
      </c>
      <c r="B2" s="1" t="s">
        <v>378</v>
      </c>
      <c r="C2" s="1" t="s">
        <v>381</v>
      </c>
      <c r="D2" s="11" t="s">
        <v>369</v>
      </c>
      <c r="E2" s="75">
        <v>366813981.51889849</v>
      </c>
      <c r="F2" s="75">
        <v>51212318.121497348</v>
      </c>
      <c r="G2" s="75">
        <v>35650261.356656238</v>
      </c>
      <c r="H2" s="75">
        <v>8309761.2027299423</v>
      </c>
      <c r="I2" s="75">
        <v>4984066.6212024251</v>
      </c>
      <c r="J2" s="75">
        <v>1096494.6566645335</v>
      </c>
      <c r="K2" s="75">
        <v>1844104.6498448972</v>
      </c>
      <c r="L2" s="75">
        <v>1345697.9877246548</v>
      </c>
      <c r="M2" s="75">
        <v>299043.99727214547</v>
      </c>
      <c r="N2" s="75">
        <v>398725.32969619404</v>
      </c>
      <c r="O2" s="75"/>
      <c r="P2" s="75">
        <v>2974185.5658667972</v>
      </c>
      <c r="Q2" s="75">
        <v>2331258.4809745275</v>
      </c>
      <c r="R2" s="75">
        <v>17485146.313779932</v>
      </c>
      <c r="S2" s="75">
        <v>14337819.977299543</v>
      </c>
      <c r="T2" s="75">
        <v>3147326.3364803875</v>
      </c>
      <c r="U2" s="75"/>
      <c r="V2" s="75">
        <v>927122.10934046446</v>
      </c>
      <c r="W2" s="75">
        <v>838200.16560693912</v>
      </c>
      <c r="X2" s="75">
        <v>513572.41971872188</v>
      </c>
      <c r="Y2" s="75">
        <v>142195.34524178933</v>
      </c>
      <c r="Z2" s="75">
        <v>49651.048453446921</v>
      </c>
      <c r="AA2" s="75">
        <v>101327.10855100733</v>
      </c>
      <c r="AB2" s="116"/>
      <c r="AC2" s="116"/>
      <c r="AD2" s="116"/>
      <c r="AE2" s="116"/>
      <c r="AF2" s="116"/>
      <c r="AG2" s="116"/>
    </row>
    <row r="3" spans="1:33" x14ac:dyDescent="0.2">
      <c r="A3" s="38" t="s">
        <v>378</v>
      </c>
      <c r="B3" s="1" t="s">
        <v>378</v>
      </c>
      <c r="C3" s="1" t="s">
        <v>381</v>
      </c>
      <c r="D3" s="11" t="s">
        <v>272</v>
      </c>
      <c r="E3" s="75">
        <v>353857260.19331282</v>
      </c>
      <c r="F3" s="75">
        <v>46439002.120224282</v>
      </c>
      <c r="G3" s="75">
        <v>36001698.452452712</v>
      </c>
      <c r="H3" s="75">
        <v>8075378.6645695055</v>
      </c>
      <c r="I3" s="75">
        <v>5371159.2740458101</v>
      </c>
      <c r="J3" s="75">
        <v>1181655.0402900781</v>
      </c>
      <c r="K3" s="75">
        <v>1987328.9313969498</v>
      </c>
      <c r="L3" s="75">
        <v>1450213.0039923689</v>
      </c>
      <c r="M3" s="75">
        <v>322269.55644274858</v>
      </c>
      <c r="N3" s="75">
        <v>429692.74192366481</v>
      </c>
      <c r="O3" s="75"/>
      <c r="P3" s="75">
        <v>2546164.6054775598</v>
      </c>
      <c r="Q3" s="75">
        <v>2289359.7653631628</v>
      </c>
      <c r="R3" s="75">
        <v>17434870.199128523</v>
      </c>
      <c r="S3" s="75">
        <v>14296593.563285388</v>
      </c>
      <c r="T3" s="75">
        <v>3138276.635843134</v>
      </c>
      <c r="U3" s="75"/>
      <c r="V3" s="75">
        <v>880464.02334673586</v>
      </c>
      <c r="W3" s="75">
        <v>786645.18798104359</v>
      </c>
      <c r="X3" s="75">
        <v>483114.94611398841</v>
      </c>
      <c r="Y3" s="75">
        <v>137986.18403285198</v>
      </c>
      <c r="Z3" s="75">
        <v>46795.463580676871</v>
      </c>
      <c r="AA3" s="75">
        <v>109333.68255917942</v>
      </c>
      <c r="AB3" s="116"/>
      <c r="AC3" s="116"/>
      <c r="AD3" s="116"/>
      <c r="AE3" s="116"/>
      <c r="AF3" s="116"/>
      <c r="AG3" s="116"/>
    </row>
    <row r="4" spans="1:33" x14ac:dyDescent="0.2">
      <c r="A4" s="38" t="s">
        <v>378</v>
      </c>
      <c r="B4" s="1" t="s">
        <v>378</v>
      </c>
      <c r="C4" s="1" t="s">
        <v>381</v>
      </c>
      <c r="D4" s="11" t="s">
        <v>273</v>
      </c>
      <c r="E4" s="75">
        <v>356036978.39279366</v>
      </c>
      <c r="F4" s="75">
        <v>43079344.354460411</v>
      </c>
      <c r="G4" s="75">
        <v>39124790.091571227</v>
      </c>
      <c r="H4" s="75">
        <v>8061795.3172355555</v>
      </c>
      <c r="I4" s="75">
        <v>6425922.3394961916</v>
      </c>
      <c r="J4" s="75">
        <v>1413702.914689162</v>
      </c>
      <c r="K4" s="75">
        <v>2377591.2656135908</v>
      </c>
      <c r="L4" s="75">
        <v>1734999.031663972</v>
      </c>
      <c r="M4" s="75">
        <v>385555.34036977147</v>
      </c>
      <c r="N4" s="75">
        <v>514073.78715969535</v>
      </c>
      <c r="O4" s="75"/>
      <c r="P4" s="75">
        <v>2056048.6989208588</v>
      </c>
      <c r="Q4" s="75">
        <v>2405380.6467982605</v>
      </c>
      <c r="R4" s="75">
        <v>18864741.980994508</v>
      </c>
      <c r="S4" s="75">
        <v>15469088.424415495</v>
      </c>
      <c r="T4" s="75">
        <v>3395653.556579011</v>
      </c>
      <c r="U4" s="75"/>
      <c r="V4" s="75">
        <v>875923.4906572816</v>
      </c>
      <c r="W4" s="75">
        <v>758091.84785659937</v>
      </c>
      <c r="X4" s="75">
        <v>469056.16260244476</v>
      </c>
      <c r="Y4" s="75">
        <v>142120.18628677871</v>
      </c>
      <c r="Z4" s="75">
        <v>44941.471040910503</v>
      </c>
      <c r="AA4" s="75">
        <v>131027.97462448188</v>
      </c>
      <c r="AB4" s="116"/>
      <c r="AC4" s="116"/>
      <c r="AD4" s="116"/>
      <c r="AE4" s="116"/>
      <c r="AF4" s="116"/>
      <c r="AG4" s="116"/>
    </row>
    <row r="5" spans="1:33" x14ac:dyDescent="0.2">
      <c r="A5" s="38" t="s">
        <v>378</v>
      </c>
      <c r="B5" s="1" t="s">
        <v>378</v>
      </c>
      <c r="C5" s="1" t="s">
        <v>380</v>
      </c>
      <c r="D5" s="11" t="s">
        <v>369</v>
      </c>
      <c r="E5" s="75">
        <v>153848132.14171356</v>
      </c>
      <c r="F5" s="75">
        <v>22525669.342882153</v>
      </c>
      <c r="G5" s="75">
        <v>15076796.877100969</v>
      </c>
      <c r="H5" s="75">
        <v>3464745.9094894878</v>
      </c>
      <c r="I5" s="75">
        <v>1927479.2418998079</v>
      </c>
      <c r="J5" s="75">
        <v>424045.43321795773</v>
      </c>
      <c r="K5" s="75">
        <v>713167.31950292888</v>
      </c>
      <c r="L5" s="75">
        <v>520419.39531294815</v>
      </c>
      <c r="M5" s="75">
        <v>115648.75451398848</v>
      </c>
      <c r="N5" s="75">
        <v>154198.33935198464</v>
      </c>
      <c r="O5" s="75"/>
      <c r="P5" s="75">
        <v>1345197.3904819493</v>
      </c>
      <c r="Q5" s="75">
        <v>944648.91809890827</v>
      </c>
      <c r="R5" s="75">
        <v>7230218.2235181006</v>
      </c>
      <c r="S5" s="75">
        <v>5928778.9432848422</v>
      </c>
      <c r="T5" s="75">
        <v>1301439.2802332581</v>
      </c>
      <c r="U5" s="75"/>
      <c r="V5" s="75">
        <v>392715.75715588295</v>
      </c>
      <c r="W5" s="75">
        <v>354331.82256821985</v>
      </c>
      <c r="X5" s="75">
        <v>227892.66767888219</v>
      </c>
      <c r="Y5" s="75">
        <v>60474.164821168721</v>
      </c>
      <c r="Z5" s="75">
        <v>22349.358946543722</v>
      </c>
      <c r="AA5" s="75">
        <v>39484.476841821073</v>
      </c>
      <c r="AB5" s="116"/>
      <c r="AC5" s="116"/>
      <c r="AD5" s="116"/>
      <c r="AE5" s="116"/>
      <c r="AF5" s="116"/>
      <c r="AG5" s="116"/>
    </row>
    <row r="6" spans="1:33" x14ac:dyDescent="0.2">
      <c r="A6" s="38" t="s">
        <v>378</v>
      </c>
      <c r="B6" s="1" t="s">
        <v>378</v>
      </c>
      <c r="C6" s="1" t="s">
        <v>380</v>
      </c>
      <c r="D6" s="11" t="s">
        <v>272</v>
      </c>
      <c r="E6" s="75">
        <v>148444505.55462143</v>
      </c>
      <c r="F6" s="75">
        <v>21132568.732455194</v>
      </c>
      <c r="G6" s="75">
        <v>14982912.327617094</v>
      </c>
      <c r="H6" s="75">
        <v>3364052.6182811689</v>
      </c>
      <c r="I6" s="75">
        <v>1996274.9341910137</v>
      </c>
      <c r="J6" s="75">
        <v>439180.48552202299</v>
      </c>
      <c r="K6" s="75">
        <v>738621.72565067501</v>
      </c>
      <c r="L6" s="75">
        <v>538994.23223157378</v>
      </c>
      <c r="M6" s="75">
        <v>119776.49605146081</v>
      </c>
      <c r="N6" s="75">
        <v>159701.9947352811</v>
      </c>
      <c r="O6" s="75"/>
      <c r="P6" s="75">
        <v>1226587.9046562747</v>
      </c>
      <c r="Q6" s="75">
        <v>925371.7383128457</v>
      </c>
      <c r="R6" s="75">
        <v>7126493.9235300515</v>
      </c>
      <c r="S6" s="75">
        <v>5843725.0172946416</v>
      </c>
      <c r="T6" s="75">
        <v>1282768.9062354092</v>
      </c>
      <c r="U6" s="75"/>
      <c r="V6" s="75">
        <v>377047.99402523425</v>
      </c>
      <c r="W6" s="75">
        <v>336920.39113475848</v>
      </c>
      <c r="X6" s="75">
        <v>218600.33759413648</v>
      </c>
      <c r="Y6" s="75">
        <v>58594.563694919321</v>
      </c>
      <c r="Z6" s="75">
        <v>21489.370900604168</v>
      </c>
      <c r="AA6" s="75">
        <v>40859.075215163561</v>
      </c>
      <c r="AB6" s="116"/>
      <c r="AC6" s="116"/>
      <c r="AD6" s="116"/>
      <c r="AE6" s="116"/>
      <c r="AF6" s="116"/>
      <c r="AG6" s="116"/>
    </row>
    <row r="7" spans="1:33" x14ac:dyDescent="0.2">
      <c r="A7" s="38" t="s">
        <v>378</v>
      </c>
      <c r="B7" s="1" t="s">
        <v>378</v>
      </c>
      <c r="C7" s="1" t="s">
        <v>380</v>
      </c>
      <c r="D7" s="11" t="s">
        <v>273</v>
      </c>
      <c r="E7" s="75">
        <v>150115445.47582743</v>
      </c>
      <c r="F7" s="75">
        <v>18689784.699217014</v>
      </c>
      <c r="G7" s="75">
        <v>16742705.051601434</v>
      </c>
      <c r="H7" s="75">
        <v>3394057.5985233993</v>
      </c>
      <c r="I7" s="75">
        <v>2576424.137432978</v>
      </c>
      <c r="J7" s="75">
        <v>566813.31023525517</v>
      </c>
      <c r="K7" s="75">
        <v>953276.93085020187</v>
      </c>
      <c r="L7" s="75">
        <v>695634.51710690407</v>
      </c>
      <c r="M7" s="75">
        <v>154585.44824597868</v>
      </c>
      <c r="N7" s="75">
        <v>206113.93099463824</v>
      </c>
      <c r="O7" s="75"/>
      <c r="P7" s="75">
        <v>927418.71518686914</v>
      </c>
      <c r="Q7" s="75">
        <v>974355.39766204241</v>
      </c>
      <c r="R7" s="75">
        <v>7836532.6971453913</v>
      </c>
      <c r="S7" s="75">
        <v>6425956.8116592206</v>
      </c>
      <c r="T7" s="75">
        <v>1410575.8854861704</v>
      </c>
      <c r="U7" s="75"/>
      <c r="V7" s="75">
        <v>368771.08956046961</v>
      </c>
      <c r="W7" s="75">
        <v>319501.56638133869</v>
      </c>
      <c r="X7" s="75">
        <v>207744.93635743723</v>
      </c>
      <c r="Y7" s="75">
        <v>60598.460041496692</v>
      </c>
      <c r="Z7" s="75">
        <v>20345.93852886909</v>
      </c>
      <c r="AA7" s="75">
        <v>53106.703470218003</v>
      </c>
      <c r="AB7" s="116"/>
      <c r="AC7" s="116"/>
      <c r="AD7" s="116"/>
      <c r="AE7" s="116"/>
      <c r="AF7" s="116"/>
      <c r="AG7" s="116"/>
    </row>
    <row r="8" spans="1:33" x14ac:dyDescent="0.2">
      <c r="A8" s="38" t="s">
        <v>381</v>
      </c>
      <c r="B8" s="1" t="s">
        <v>378</v>
      </c>
      <c r="C8" s="1" t="s">
        <v>381</v>
      </c>
      <c r="D8" s="11" t="s">
        <v>369</v>
      </c>
      <c r="E8" s="75">
        <v>432478883.51240909</v>
      </c>
      <c r="F8" s="75">
        <v>61148503.873338677</v>
      </c>
      <c r="G8" s="75">
        <v>41473490.570893668</v>
      </c>
      <c r="H8" s="75">
        <v>9583420.3745277561</v>
      </c>
      <c r="I8" s="75">
        <v>5862525.5766671291</v>
      </c>
      <c r="J8" s="75">
        <v>1289755.6268667683</v>
      </c>
      <c r="K8" s="75">
        <v>2169134.4633668377</v>
      </c>
      <c r="L8" s="75">
        <v>1582881.905700125</v>
      </c>
      <c r="M8" s="75">
        <v>351751.53460002772</v>
      </c>
      <c r="N8" s="75">
        <v>469002.04613337031</v>
      </c>
      <c r="O8" s="75"/>
      <c r="P8" s="75">
        <v>3543158.1980397888</v>
      </c>
      <c r="Q8" s="75">
        <v>2730207.603849994</v>
      </c>
      <c r="R8" s="75">
        <v>20727148.669650726</v>
      </c>
      <c r="S8" s="75">
        <v>16996261.909113593</v>
      </c>
      <c r="T8" s="75">
        <v>3730886.7605371308</v>
      </c>
      <c r="U8" s="75"/>
      <c r="V8" s="75">
        <v>1092352.8438432284</v>
      </c>
      <c r="W8" s="75">
        <v>992641.76143193361</v>
      </c>
      <c r="X8" s="75">
        <v>590750.91384109086</v>
      </c>
      <c r="Y8" s="75">
        <v>168997.41456762759</v>
      </c>
      <c r="Z8" s="75">
        <v>56530.177178284073</v>
      </c>
      <c r="AA8" s="75">
        <v>119579.92266604501</v>
      </c>
      <c r="AB8" s="116"/>
      <c r="AC8" s="116"/>
      <c r="AD8" s="116"/>
      <c r="AE8" s="116"/>
      <c r="AF8" s="116"/>
      <c r="AG8" s="116"/>
    </row>
    <row r="9" spans="1:33" x14ac:dyDescent="0.2">
      <c r="A9" s="38" t="s">
        <v>381</v>
      </c>
      <c r="B9" s="1" t="s">
        <v>378</v>
      </c>
      <c r="C9" s="1" t="s">
        <v>381</v>
      </c>
      <c r="D9" s="11" t="s">
        <v>272</v>
      </c>
      <c r="E9" s="75">
        <v>416908539.15459585</v>
      </c>
      <c r="F9" s="75">
        <v>55424668.61870677</v>
      </c>
      <c r="G9" s="75">
        <v>41917557.763505682</v>
      </c>
      <c r="H9" s="75">
        <v>9300410.3323725779</v>
      </c>
      <c r="I9" s="75">
        <v>6322411.7425842853</v>
      </c>
      <c r="J9" s="75">
        <v>1390930.5833685428</v>
      </c>
      <c r="K9" s="75">
        <v>2339292.3447561855</v>
      </c>
      <c r="L9" s="75">
        <v>1707051.1704977571</v>
      </c>
      <c r="M9" s="75">
        <v>379344.70455505711</v>
      </c>
      <c r="N9" s="75">
        <v>505792.93940674287</v>
      </c>
      <c r="O9" s="75"/>
      <c r="P9" s="75">
        <v>3030082.404346195</v>
      </c>
      <c r="Q9" s="75">
        <v>2679763.6533212406</v>
      </c>
      <c r="R9" s="75">
        <v>20664616.459816013</v>
      </c>
      <c r="S9" s="75">
        <v>16944985.49704913</v>
      </c>
      <c r="T9" s="75">
        <v>3719630.962766882</v>
      </c>
      <c r="U9" s="75"/>
      <c r="V9" s="75">
        <v>1036427.691299442</v>
      </c>
      <c r="W9" s="75">
        <v>930643.79257689836</v>
      </c>
      <c r="X9" s="75">
        <v>554603.68420734769</v>
      </c>
      <c r="Y9" s="75">
        <v>163947.97311678645</v>
      </c>
      <c r="Z9" s="75">
        <v>53160.537991189769</v>
      </c>
      <c r="AA9" s="75">
        <v>129199.52689721044</v>
      </c>
      <c r="AB9" s="116"/>
      <c r="AC9" s="116"/>
      <c r="AD9" s="116"/>
      <c r="AE9" s="116"/>
      <c r="AF9" s="116"/>
      <c r="AG9" s="116"/>
    </row>
    <row r="10" spans="1:33" x14ac:dyDescent="0.2">
      <c r="A10" s="38" t="s">
        <v>381</v>
      </c>
      <c r="B10" s="1" t="s">
        <v>378</v>
      </c>
      <c r="C10" s="1" t="s">
        <v>381</v>
      </c>
      <c r="D10" s="11" t="s">
        <v>273</v>
      </c>
      <c r="E10" s="75">
        <v>420260290.1335206</v>
      </c>
      <c r="F10" s="75">
        <v>51412791.832277238</v>
      </c>
      <c r="G10" s="75">
        <v>45735666.983613707</v>
      </c>
      <c r="H10" s="75">
        <v>9318806.0090312231</v>
      </c>
      <c r="I10" s="75">
        <v>7605508.6254892778</v>
      </c>
      <c r="J10" s="75">
        <v>1673211.8976076411</v>
      </c>
      <c r="K10" s="75">
        <v>2814038.191431033</v>
      </c>
      <c r="L10" s="75">
        <v>2053487.3288821052</v>
      </c>
      <c r="M10" s="75">
        <v>456330.51752935664</v>
      </c>
      <c r="N10" s="75">
        <v>608440.69003914227</v>
      </c>
      <c r="O10" s="75"/>
      <c r="P10" s="75">
        <v>2443091.7863373766</v>
      </c>
      <c r="Q10" s="75">
        <v>2826232.7029061201</v>
      </c>
      <c r="R10" s="75">
        <v>22408006.562848311</v>
      </c>
      <c r="S10" s="75">
        <v>18374565.381535612</v>
      </c>
      <c r="T10" s="75">
        <v>4033441.1813126956</v>
      </c>
      <c r="U10" s="75"/>
      <c r="V10" s="75">
        <v>1032773.3955906783</v>
      </c>
      <c r="W10" s="75">
        <v>897885.45523824694</v>
      </c>
      <c r="X10" s="75">
        <v>539105.85767213092</v>
      </c>
      <c r="Y10" s="75">
        <v>169038.37198306277</v>
      </c>
      <c r="Z10" s="75">
        <v>51076.69281429112</v>
      </c>
      <c r="AA10" s="75">
        <v>155428.66170538496</v>
      </c>
      <c r="AB10" s="116"/>
      <c r="AC10" s="116"/>
      <c r="AD10" s="116"/>
      <c r="AE10" s="116"/>
      <c r="AF10" s="116"/>
      <c r="AG10" s="116"/>
    </row>
    <row r="11" spans="1:33" x14ac:dyDescent="0.2">
      <c r="A11" s="38" t="s">
        <v>381</v>
      </c>
      <c r="B11" s="1" t="s">
        <v>378</v>
      </c>
      <c r="C11" s="1" t="s">
        <v>380</v>
      </c>
      <c r="D11" s="11" t="s">
        <v>369</v>
      </c>
      <c r="E11" s="75">
        <v>181963637.25372466</v>
      </c>
      <c r="F11" s="75">
        <v>26903028.087618232</v>
      </c>
      <c r="G11" s="75">
        <v>17504183.265679929</v>
      </c>
      <c r="H11" s="75">
        <v>4009972.239321596</v>
      </c>
      <c r="I11" s="75">
        <v>2282625.9551393231</v>
      </c>
      <c r="J11" s="75">
        <v>502177.71013065107</v>
      </c>
      <c r="K11" s="75">
        <v>844571.60340154951</v>
      </c>
      <c r="L11" s="75">
        <v>616309.00788761734</v>
      </c>
      <c r="M11" s="75">
        <v>136957.55730835939</v>
      </c>
      <c r="N11" s="75">
        <v>182610.07641114586</v>
      </c>
      <c r="O11" s="75"/>
      <c r="P11" s="75">
        <v>1601870.5522739366</v>
      </c>
      <c r="Q11" s="75">
        <v>1114535.9491913118</v>
      </c>
      <c r="R11" s="75">
        <v>8597015.1259588171</v>
      </c>
      <c r="S11" s="75">
        <v>7049552.4032862298</v>
      </c>
      <c r="T11" s="75">
        <v>1547462.722672587</v>
      </c>
      <c r="U11" s="75"/>
      <c r="V11" s="75">
        <v>464168.53094519197</v>
      </c>
      <c r="W11" s="75">
        <v>421380.2136952554</v>
      </c>
      <c r="X11" s="75">
        <v>261579.81468431812</v>
      </c>
      <c r="Y11" s="75">
        <v>71907.556342190597</v>
      </c>
      <c r="Z11" s="75">
        <v>25348.381977724574</v>
      </c>
      <c r="AA11" s="75">
        <v>46821.271216469482</v>
      </c>
      <c r="AB11" s="116"/>
      <c r="AC11" s="116"/>
      <c r="AD11" s="116"/>
      <c r="AE11" s="116"/>
      <c r="AF11" s="116"/>
      <c r="AG11" s="116"/>
    </row>
    <row r="12" spans="1:33" x14ac:dyDescent="0.2">
      <c r="A12" s="38" t="s">
        <v>381</v>
      </c>
      <c r="B12" s="1" t="s">
        <v>378</v>
      </c>
      <c r="C12" s="1" t="s">
        <v>380</v>
      </c>
      <c r="D12" s="11" t="s">
        <v>272</v>
      </c>
      <c r="E12" s="75">
        <v>175496980.99626696</v>
      </c>
      <c r="F12" s="75">
        <v>25232040.922460314</v>
      </c>
      <c r="G12" s="75">
        <v>17394231.037426371</v>
      </c>
      <c r="H12" s="75">
        <v>3889663.9160997444</v>
      </c>
      <c r="I12" s="75">
        <v>2364682.3956502541</v>
      </c>
      <c r="J12" s="75">
        <v>520230.12704305589</v>
      </c>
      <c r="K12" s="75">
        <v>874932.48639059404</v>
      </c>
      <c r="L12" s="75">
        <v>638464.24682556861</v>
      </c>
      <c r="M12" s="75">
        <v>141880.94373901523</v>
      </c>
      <c r="N12" s="75">
        <v>189174.59165202032</v>
      </c>
      <c r="O12" s="75"/>
      <c r="P12" s="75">
        <v>1459622.0572047669</v>
      </c>
      <c r="Q12" s="75">
        <v>1091487.6009298358</v>
      </c>
      <c r="R12" s="75">
        <v>8472914.419415269</v>
      </c>
      <c r="S12" s="75">
        <v>6947789.82392052</v>
      </c>
      <c r="T12" s="75">
        <v>1525124.5954947483</v>
      </c>
      <c r="U12" s="75"/>
      <c r="V12" s="75">
        <v>445439.26906320482</v>
      </c>
      <c r="W12" s="75">
        <v>400512.86210440146</v>
      </c>
      <c r="X12" s="75">
        <v>250587.20223308977</v>
      </c>
      <c r="Y12" s="75">
        <v>69654.692738324738</v>
      </c>
      <c r="Z12" s="75">
        <v>24326.96643658667</v>
      </c>
      <c r="AA12" s="75">
        <v>48459.40652673471</v>
      </c>
      <c r="AB12" s="116"/>
      <c r="AC12" s="116"/>
      <c r="AD12" s="116"/>
      <c r="AE12" s="116"/>
      <c r="AF12" s="116"/>
      <c r="AG12" s="116"/>
    </row>
    <row r="13" spans="1:33" x14ac:dyDescent="0.2">
      <c r="A13" s="38" t="s">
        <v>381</v>
      </c>
      <c r="B13" s="1" t="s">
        <v>378</v>
      </c>
      <c r="C13" s="1" t="s">
        <v>380</v>
      </c>
      <c r="D13" s="11" t="s">
        <v>273</v>
      </c>
      <c r="E13" s="75">
        <v>177621120.79977882</v>
      </c>
      <c r="F13" s="75">
        <v>22305760.890720695</v>
      </c>
      <c r="G13" s="75">
        <v>19527109.895715397</v>
      </c>
      <c r="H13" s="75">
        <v>3931107.789485943</v>
      </c>
      <c r="I13" s="75">
        <v>3063041.6909608971</v>
      </c>
      <c r="J13" s="75">
        <v>673869.17201139743</v>
      </c>
      <c r="K13" s="75">
        <v>1133325.4256555319</v>
      </c>
      <c r="L13" s="75">
        <v>827021.25655944226</v>
      </c>
      <c r="M13" s="75">
        <v>183782.50145765382</v>
      </c>
      <c r="N13" s="75">
        <v>245043.33527687177</v>
      </c>
      <c r="O13" s="75"/>
      <c r="P13" s="75">
        <v>1100981.3070280538</v>
      </c>
      <c r="Q13" s="75">
        <v>1151709.1736435527</v>
      </c>
      <c r="R13" s="75">
        <v>9329291.7950358447</v>
      </c>
      <c r="S13" s="75">
        <v>7650019.2719293926</v>
      </c>
      <c r="T13" s="75">
        <v>1679272.5231064521</v>
      </c>
      <c r="U13" s="75"/>
      <c r="V13" s="75">
        <v>435815.02464814961</v>
      </c>
      <c r="W13" s="75">
        <v>379834.99391586898</v>
      </c>
      <c r="X13" s="75">
        <v>237766.02923369245</v>
      </c>
      <c r="Y13" s="75">
        <v>72082.285961783855</v>
      </c>
      <c r="Z13" s="75">
        <v>22992.665731804431</v>
      </c>
      <c r="AA13" s="75">
        <v>63228.59310931174</v>
      </c>
      <c r="AB13" s="116"/>
      <c r="AC13" s="116"/>
      <c r="AD13" s="116"/>
      <c r="AE13" s="116"/>
      <c r="AF13" s="116"/>
      <c r="AG13" s="116"/>
    </row>
    <row r="14" spans="1:33" x14ac:dyDescent="0.2">
      <c r="A14" s="38" t="s">
        <v>380</v>
      </c>
      <c r="B14" s="1" t="s">
        <v>378</v>
      </c>
      <c r="C14" s="1" t="s">
        <v>381</v>
      </c>
      <c r="D14" s="11" t="s">
        <v>369</v>
      </c>
      <c r="E14" s="75">
        <v>301149079.525388</v>
      </c>
      <c r="F14" s="75">
        <v>41276132.369656034</v>
      </c>
      <c r="G14" s="75">
        <v>29827032.142418813</v>
      </c>
      <c r="H14" s="75">
        <v>7036102.0309321294</v>
      </c>
      <c r="I14" s="75">
        <v>4105607.6657377216</v>
      </c>
      <c r="J14" s="75">
        <v>903233.68646229873</v>
      </c>
      <c r="K14" s="75">
        <v>1519074.836322957</v>
      </c>
      <c r="L14" s="75">
        <v>1108514.0697491849</v>
      </c>
      <c r="M14" s="75">
        <v>246336.45994426328</v>
      </c>
      <c r="N14" s="75">
        <v>328448.61325901776</v>
      </c>
      <c r="O14" s="75"/>
      <c r="P14" s="75">
        <v>2405212.9336938057</v>
      </c>
      <c r="Q14" s="75">
        <v>1932309.358099062</v>
      </c>
      <c r="R14" s="75">
        <v>14243143.957909131</v>
      </c>
      <c r="S14" s="75">
        <v>11679378.045485487</v>
      </c>
      <c r="T14" s="75">
        <v>2563765.9124236437</v>
      </c>
      <c r="U14" s="75"/>
      <c r="V14" s="75">
        <v>761891.37483770028</v>
      </c>
      <c r="W14" s="75">
        <v>683758.56978194474</v>
      </c>
      <c r="X14" s="75">
        <v>436393.92559635278</v>
      </c>
      <c r="Y14" s="75">
        <v>115393.27591595113</v>
      </c>
      <c r="Z14" s="75">
        <v>42771.919728609784</v>
      </c>
      <c r="AA14" s="75">
        <v>83074.294435969656</v>
      </c>
      <c r="AB14" s="116"/>
      <c r="AC14" s="116"/>
      <c r="AD14" s="116"/>
      <c r="AE14" s="116"/>
      <c r="AF14" s="116"/>
      <c r="AG14" s="116"/>
    </row>
    <row r="15" spans="1:33" x14ac:dyDescent="0.2">
      <c r="A15" s="38" t="s">
        <v>380</v>
      </c>
      <c r="B15" s="1" t="s">
        <v>378</v>
      </c>
      <c r="C15" s="1" t="s">
        <v>381</v>
      </c>
      <c r="D15" s="11" t="s">
        <v>272</v>
      </c>
      <c r="E15" s="75">
        <v>290805981.23203003</v>
      </c>
      <c r="F15" s="75">
        <v>37453335.621741794</v>
      </c>
      <c r="G15" s="75">
        <v>30085839.141399734</v>
      </c>
      <c r="H15" s="75">
        <v>6850346.9967664322</v>
      </c>
      <c r="I15" s="75">
        <v>4419906.805507333</v>
      </c>
      <c r="J15" s="75">
        <v>972379.49721161323</v>
      </c>
      <c r="K15" s="75">
        <v>1635365.5180377131</v>
      </c>
      <c r="L15" s="75">
        <v>1193374.83748698</v>
      </c>
      <c r="M15" s="75">
        <v>265194.40833044</v>
      </c>
      <c r="N15" s="75">
        <v>353592.54444058664</v>
      </c>
      <c r="O15" s="75"/>
      <c r="P15" s="75">
        <v>2062246.8066089256</v>
      </c>
      <c r="Q15" s="75">
        <v>1898955.8774050861</v>
      </c>
      <c r="R15" s="75">
        <v>14205123.93844104</v>
      </c>
      <c r="S15" s="75">
        <v>11648201.629521651</v>
      </c>
      <c r="T15" s="75">
        <v>2556922.3089193869</v>
      </c>
      <c r="U15" s="75"/>
      <c r="V15" s="75">
        <v>724500.35539402999</v>
      </c>
      <c r="W15" s="75">
        <v>642646.58338518871</v>
      </c>
      <c r="X15" s="75">
        <v>411626.2080206293</v>
      </c>
      <c r="Y15" s="75">
        <v>112024.39494891751</v>
      </c>
      <c r="Z15" s="75">
        <v>40430.389170163966</v>
      </c>
      <c r="AA15" s="75">
        <v>89467.838221148457</v>
      </c>
      <c r="AB15" s="116"/>
      <c r="AC15" s="116"/>
      <c r="AD15" s="116"/>
      <c r="AE15" s="116"/>
      <c r="AF15" s="116"/>
      <c r="AG15" s="116"/>
    </row>
    <row r="16" spans="1:33" x14ac:dyDescent="0.2">
      <c r="A16" s="38" t="s">
        <v>380</v>
      </c>
      <c r="B16" s="1" t="s">
        <v>378</v>
      </c>
      <c r="C16" s="1" t="s">
        <v>381</v>
      </c>
      <c r="D16" s="11" t="s">
        <v>273</v>
      </c>
      <c r="E16" s="75">
        <v>291813666.65206683</v>
      </c>
      <c r="F16" s="75">
        <v>34745896.876643568</v>
      </c>
      <c r="G16" s="75">
        <v>32513913.199528743</v>
      </c>
      <c r="H16" s="75">
        <v>6804784.6254398907</v>
      </c>
      <c r="I16" s="75">
        <v>5246336.0535031054</v>
      </c>
      <c r="J16" s="75">
        <v>1154193.9317706833</v>
      </c>
      <c r="K16" s="75">
        <v>1941144.3397961489</v>
      </c>
      <c r="L16" s="75">
        <v>1416510.7344458385</v>
      </c>
      <c r="M16" s="75">
        <v>314780.16321018629</v>
      </c>
      <c r="N16" s="75">
        <v>419706.88428024843</v>
      </c>
      <c r="O16" s="75"/>
      <c r="P16" s="75">
        <v>1669005.6115043422</v>
      </c>
      <c r="Q16" s="75">
        <v>1984528.5906904011</v>
      </c>
      <c r="R16" s="75">
        <v>15321477.399140693</v>
      </c>
      <c r="S16" s="75">
        <v>12563611.467295367</v>
      </c>
      <c r="T16" s="75">
        <v>2757865.9318453246</v>
      </c>
      <c r="U16" s="75"/>
      <c r="V16" s="75">
        <v>719073.5857238851</v>
      </c>
      <c r="W16" s="75">
        <v>618298.24047495169</v>
      </c>
      <c r="X16" s="75">
        <v>399006.4675327586</v>
      </c>
      <c r="Y16" s="75">
        <v>115202.00059049469</v>
      </c>
      <c r="Z16" s="75">
        <v>38806.249267529885</v>
      </c>
      <c r="AA16" s="75">
        <v>106627.28754357883</v>
      </c>
      <c r="AB16" s="116"/>
      <c r="AC16" s="116"/>
      <c r="AD16" s="116"/>
      <c r="AE16" s="116"/>
      <c r="AF16" s="116"/>
      <c r="AG16" s="116"/>
    </row>
    <row r="17" spans="1:33" x14ac:dyDescent="0.2">
      <c r="A17" s="38" t="s">
        <v>380</v>
      </c>
      <c r="B17" s="1" t="s">
        <v>378</v>
      </c>
      <c r="C17" s="1" t="s">
        <v>380</v>
      </c>
      <c r="D17" s="11" t="s">
        <v>369</v>
      </c>
      <c r="E17" s="75">
        <v>125732627.02970243</v>
      </c>
      <c r="F17" s="75">
        <v>18148310.598146081</v>
      </c>
      <c r="G17" s="75">
        <v>12649410.48852201</v>
      </c>
      <c r="H17" s="75">
        <v>2919519.5796573781</v>
      </c>
      <c r="I17" s="75">
        <v>1572332.528660292</v>
      </c>
      <c r="J17" s="75">
        <v>345913.15630526427</v>
      </c>
      <c r="K17" s="75">
        <v>581763.03560430801</v>
      </c>
      <c r="L17" s="75">
        <v>424529.78273827885</v>
      </c>
      <c r="M17" s="75">
        <v>94339.951719617515</v>
      </c>
      <c r="N17" s="75">
        <v>125786.60229282337</v>
      </c>
      <c r="O17" s="75"/>
      <c r="P17" s="75">
        <v>1088524.2286899623</v>
      </c>
      <c r="Q17" s="75">
        <v>774761.88700650481</v>
      </c>
      <c r="R17" s="75">
        <v>5863421.3210773859</v>
      </c>
      <c r="S17" s="75">
        <v>4808005.4832834564</v>
      </c>
      <c r="T17" s="75">
        <v>1055415.8377939295</v>
      </c>
      <c r="U17" s="75"/>
      <c r="V17" s="75">
        <v>321262.98336657404</v>
      </c>
      <c r="W17" s="75">
        <v>287283.43144118431</v>
      </c>
      <c r="X17" s="75">
        <v>194205.5206734463</v>
      </c>
      <c r="Y17" s="75">
        <v>49040.773300146859</v>
      </c>
      <c r="Z17" s="75">
        <v>19350.335915362873</v>
      </c>
      <c r="AA17" s="75">
        <v>32147.68246717269</v>
      </c>
      <c r="AB17" s="116"/>
      <c r="AC17" s="116"/>
      <c r="AD17" s="116"/>
      <c r="AE17" s="116"/>
      <c r="AF17" s="116"/>
      <c r="AG17" s="116"/>
    </row>
    <row r="18" spans="1:33" x14ac:dyDescent="0.2">
      <c r="A18" s="38" t="s">
        <v>380</v>
      </c>
      <c r="B18" s="1" t="s">
        <v>378</v>
      </c>
      <c r="C18" s="1" t="s">
        <v>380</v>
      </c>
      <c r="D18" s="11" t="s">
        <v>272</v>
      </c>
      <c r="E18" s="75">
        <v>121392030.11297584</v>
      </c>
      <c r="F18" s="75">
        <v>17033096.54245007</v>
      </c>
      <c r="G18" s="75">
        <v>12571593.617807822</v>
      </c>
      <c r="H18" s="75">
        <v>2838441.3204625938</v>
      </c>
      <c r="I18" s="75">
        <v>1627867.4727317737</v>
      </c>
      <c r="J18" s="75">
        <v>358130.84400099021</v>
      </c>
      <c r="K18" s="75">
        <v>602310.96491075633</v>
      </c>
      <c r="L18" s="75">
        <v>439524.21763757896</v>
      </c>
      <c r="M18" s="75">
        <v>97672.048363906419</v>
      </c>
      <c r="N18" s="75">
        <v>130229.3978185419</v>
      </c>
      <c r="O18" s="75"/>
      <c r="P18" s="75">
        <v>993553.75210778322</v>
      </c>
      <c r="Q18" s="75">
        <v>759255.87569585571</v>
      </c>
      <c r="R18" s="75">
        <v>5780073.4276448302</v>
      </c>
      <c r="S18" s="75">
        <v>4739660.2106687604</v>
      </c>
      <c r="T18" s="75">
        <v>1040413.2169760694</v>
      </c>
      <c r="U18" s="75"/>
      <c r="V18" s="75">
        <v>308656.7189872638</v>
      </c>
      <c r="W18" s="75">
        <v>273327.92016511568</v>
      </c>
      <c r="X18" s="75">
        <v>186613.47295518321</v>
      </c>
      <c r="Y18" s="75">
        <v>47534.434651513897</v>
      </c>
      <c r="Z18" s="75">
        <v>18651.775364621677</v>
      </c>
      <c r="AA18" s="75">
        <v>33258.743903592433</v>
      </c>
      <c r="AB18" s="116"/>
      <c r="AC18" s="116"/>
      <c r="AD18" s="116"/>
      <c r="AE18" s="116"/>
      <c r="AF18" s="116"/>
      <c r="AG18" s="116"/>
    </row>
    <row r="19" spans="1:33" x14ac:dyDescent="0.2">
      <c r="A19" s="38" t="s">
        <v>380</v>
      </c>
      <c r="B19" s="1" t="s">
        <v>378</v>
      </c>
      <c r="C19" s="1" t="s">
        <v>380</v>
      </c>
      <c r="D19" s="11" t="s">
        <v>273</v>
      </c>
      <c r="E19" s="75">
        <v>122609770.15187596</v>
      </c>
      <c r="F19" s="75">
        <v>15073808.507713333</v>
      </c>
      <c r="G19" s="75">
        <v>13958300.207487475</v>
      </c>
      <c r="H19" s="75">
        <v>2857007.4075608579</v>
      </c>
      <c r="I19" s="75">
        <v>2089806.5839050591</v>
      </c>
      <c r="J19" s="75">
        <v>459757.44845911302</v>
      </c>
      <c r="K19" s="75">
        <v>773228.43604487192</v>
      </c>
      <c r="L19" s="75">
        <v>564247.77765436599</v>
      </c>
      <c r="M19" s="75">
        <v>125388.39503430354</v>
      </c>
      <c r="N19" s="75">
        <v>167184.52671240474</v>
      </c>
      <c r="O19" s="75"/>
      <c r="P19" s="75">
        <v>753856.12334568473</v>
      </c>
      <c r="Q19" s="75">
        <v>797001.621680532</v>
      </c>
      <c r="R19" s="75">
        <v>6343773.5992549397</v>
      </c>
      <c r="S19" s="75">
        <v>5201894.3513890505</v>
      </c>
      <c r="T19" s="75">
        <v>1141879.247865889</v>
      </c>
      <c r="U19" s="75"/>
      <c r="V19" s="75">
        <v>301727.15447278967</v>
      </c>
      <c r="W19" s="75">
        <v>259168.13884680829</v>
      </c>
      <c r="X19" s="75">
        <v>177723.84348118198</v>
      </c>
      <c r="Y19" s="75">
        <v>49114.634121209565</v>
      </c>
      <c r="Z19" s="75">
        <v>17699.211325933753</v>
      </c>
      <c r="AA19" s="75">
        <v>42984.813831124287</v>
      </c>
      <c r="AB19" s="116"/>
      <c r="AC19" s="116"/>
      <c r="AD19" s="116"/>
      <c r="AE19" s="116"/>
      <c r="AF19" s="116"/>
      <c r="AG19" s="116"/>
    </row>
    <row r="20" spans="1:33" x14ac:dyDescent="0.2">
      <c r="A20" s="38" t="s">
        <v>378</v>
      </c>
      <c r="B20" s="1" t="s">
        <v>236</v>
      </c>
      <c r="C20" s="1" t="s">
        <v>381</v>
      </c>
      <c r="D20" s="11" t="s">
        <v>369</v>
      </c>
      <c r="E20" s="75">
        <v>120809984.73808014</v>
      </c>
      <c r="F20" s="75">
        <v>13721915.138128513</v>
      </c>
      <c r="G20" s="75">
        <v>36173560.571772642</v>
      </c>
      <c r="H20" s="75">
        <v>4596200.9979896126</v>
      </c>
      <c r="I20" s="75">
        <v>3681045.6087662792</v>
      </c>
      <c r="J20" s="75">
        <v>809830.0339285814</v>
      </c>
      <c r="K20" s="75">
        <v>1361986.8752435234</v>
      </c>
      <c r="L20" s="75"/>
      <c r="M20" s="75"/>
      <c r="N20" s="75"/>
      <c r="O20" s="75">
        <v>1509228.6995941743</v>
      </c>
      <c r="P20" s="75">
        <v>2974185.5658667972</v>
      </c>
      <c r="Q20" s="75">
        <v>2331258.4809745275</v>
      </c>
      <c r="R20" s="75">
        <v>57807878.325695544</v>
      </c>
      <c r="S20" s="75">
        <v>25298693.02318744</v>
      </c>
      <c r="T20" s="75">
        <v>5553371.6392362677</v>
      </c>
      <c r="U20" s="75">
        <v>26955813.663271833</v>
      </c>
      <c r="V20" s="75">
        <v>1254830.0946821314</v>
      </c>
      <c r="W20" s="75">
        <v>855982.58819151332</v>
      </c>
      <c r="X20" s="75">
        <v>342985.32054930454</v>
      </c>
      <c r="Y20" s="75">
        <v>142195.34524178933</v>
      </c>
      <c r="Z20" s="75">
        <v>45105.889522897189</v>
      </c>
      <c r="AA20" s="75">
        <v>380362.19277958805</v>
      </c>
      <c r="AB20" s="116"/>
      <c r="AC20" s="116"/>
      <c r="AD20" s="116"/>
      <c r="AE20" s="116"/>
      <c r="AF20" s="116"/>
      <c r="AG20" s="116"/>
    </row>
    <row r="21" spans="1:33" x14ac:dyDescent="0.2">
      <c r="A21" s="38" t="s">
        <v>378</v>
      </c>
      <c r="B21" s="1" t="s">
        <v>236</v>
      </c>
      <c r="C21" s="1" t="s">
        <v>381</v>
      </c>
      <c r="D21" s="11" t="s">
        <v>272</v>
      </c>
      <c r="E21" s="75">
        <v>118994131.01690121</v>
      </c>
      <c r="F21" s="75">
        <v>12506606.918533074</v>
      </c>
      <c r="G21" s="75">
        <v>37062927.592681162</v>
      </c>
      <c r="H21" s="75">
        <v>4570765.8460059371</v>
      </c>
      <c r="I21" s="75">
        <v>4030047.356854741</v>
      </c>
      <c r="J21" s="75">
        <v>886610.41850804305</v>
      </c>
      <c r="K21" s="75">
        <v>1491117.5220362542</v>
      </c>
      <c r="L21" s="75"/>
      <c r="M21" s="75"/>
      <c r="N21" s="75"/>
      <c r="O21" s="75">
        <v>1652319.4163104438</v>
      </c>
      <c r="P21" s="75">
        <v>2546164.6054775598</v>
      </c>
      <c r="Q21" s="75">
        <v>2289359.7653631628</v>
      </c>
      <c r="R21" s="75">
        <v>55788446.492668532</v>
      </c>
      <c r="S21" s="75">
        <v>24414920.992372498</v>
      </c>
      <c r="T21" s="75">
        <v>5359372.9007646944</v>
      </c>
      <c r="U21" s="75">
        <v>26014152.599531338</v>
      </c>
      <c r="V21" s="75">
        <v>1229443.6460467468</v>
      </c>
      <c r="W21" s="75">
        <v>797506.30267352017</v>
      </c>
      <c r="X21" s="75">
        <v>331233.35697536945</v>
      </c>
      <c r="Y21" s="75">
        <v>137986.18403285198</v>
      </c>
      <c r="Z21" s="75">
        <v>42844.673310422673</v>
      </c>
      <c r="AA21" s="75">
        <v>412711.19491310348</v>
      </c>
      <c r="AB21" s="116"/>
      <c r="AC21" s="116"/>
      <c r="AD21" s="116"/>
      <c r="AE21" s="116"/>
      <c r="AF21" s="116"/>
      <c r="AG21" s="116"/>
    </row>
    <row r="22" spans="1:33" x14ac:dyDescent="0.2">
      <c r="A22" s="38" t="s">
        <v>378</v>
      </c>
      <c r="B22" s="1" t="s">
        <v>236</v>
      </c>
      <c r="C22" s="1" t="s">
        <v>381</v>
      </c>
      <c r="D22" s="11" t="s">
        <v>273</v>
      </c>
      <c r="E22" s="75">
        <v>123768973.1253759</v>
      </c>
      <c r="F22" s="75">
        <v>11630886.863048868</v>
      </c>
      <c r="G22" s="75">
        <v>41577023.213115603</v>
      </c>
      <c r="H22" s="75">
        <v>4748243.3588823033</v>
      </c>
      <c r="I22" s="75">
        <v>4889616.4890459459</v>
      </c>
      <c r="J22" s="75">
        <v>1075715.6275901082</v>
      </c>
      <c r="K22" s="75">
        <v>1809158.1009470001</v>
      </c>
      <c r="L22" s="75"/>
      <c r="M22" s="75"/>
      <c r="N22" s="75"/>
      <c r="O22" s="75">
        <v>2004742.7605088376</v>
      </c>
      <c r="P22" s="75">
        <v>2056048.6989208588</v>
      </c>
      <c r="Q22" s="75">
        <v>2405380.6467982605</v>
      </c>
      <c r="R22" s="75">
        <v>56959821.561000884</v>
      </c>
      <c r="S22" s="75">
        <v>24927554.549027056</v>
      </c>
      <c r="T22" s="75">
        <v>5471902.2180791097</v>
      </c>
      <c r="U22" s="75">
        <v>26560364.793894712</v>
      </c>
      <c r="V22" s="75">
        <v>1290479.5543361474</v>
      </c>
      <c r="W22" s="75">
        <v>757760.3919635592</v>
      </c>
      <c r="X22" s="75">
        <v>340606.75342747511</v>
      </c>
      <c r="Y22" s="75">
        <v>142120.18628677871</v>
      </c>
      <c r="Z22" s="75">
        <v>41836.435347886101</v>
      </c>
      <c r="AA22" s="75">
        <v>501558.15095471533</v>
      </c>
      <c r="AB22" s="116"/>
      <c r="AC22" s="116"/>
      <c r="AD22" s="116"/>
      <c r="AE22" s="116"/>
      <c r="AF22" s="116"/>
      <c r="AG22" s="116"/>
    </row>
    <row r="23" spans="1:33" x14ac:dyDescent="0.2">
      <c r="A23" s="38" t="s">
        <v>378</v>
      </c>
      <c r="B23" s="1" t="s">
        <v>236</v>
      </c>
      <c r="C23" s="1" t="s">
        <v>380</v>
      </c>
      <c r="D23" s="11" t="s">
        <v>369</v>
      </c>
      <c r="E23" s="75">
        <v>50478711.961808503</v>
      </c>
      <c r="F23" s="75">
        <v>6079899.7032979047</v>
      </c>
      <c r="G23" s="75">
        <v>15015363.749396103</v>
      </c>
      <c r="H23" s="75">
        <v>1876741.8928984483</v>
      </c>
      <c r="I23" s="75">
        <v>1398084.2373768841</v>
      </c>
      <c r="J23" s="75">
        <v>307578.53222291451</v>
      </c>
      <c r="K23" s="75">
        <v>517291.16782944713</v>
      </c>
      <c r="L23" s="75"/>
      <c r="M23" s="75"/>
      <c r="N23" s="75"/>
      <c r="O23" s="75">
        <v>573214.53732452239</v>
      </c>
      <c r="P23" s="75">
        <v>1345197.3904819493</v>
      </c>
      <c r="Q23" s="75">
        <v>944648.91809890827</v>
      </c>
      <c r="R23" s="75">
        <v>24187310.76945392</v>
      </c>
      <c r="S23" s="75">
        <v>10585189.561279194</v>
      </c>
      <c r="T23" s="75">
        <v>2323578.19637836</v>
      </c>
      <c r="U23" s="75">
        <v>11278543.011796363</v>
      </c>
      <c r="V23" s="75">
        <v>521586.87925122224</v>
      </c>
      <c r="W23" s="75">
        <v>363059.81275815412</v>
      </c>
      <c r="X23" s="75">
        <v>144469.57646384463</v>
      </c>
      <c r="Y23" s="75">
        <v>60474.164821168721</v>
      </c>
      <c r="Z23" s="75">
        <v>20400.956726247594</v>
      </c>
      <c r="AA23" s="75">
        <v>150236.51087241841</v>
      </c>
      <c r="AB23" s="116"/>
      <c r="AC23" s="116"/>
      <c r="AD23" s="116"/>
      <c r="AE23" s="116"/>
      <c r="AF23" s="116"/>
      <c r="AG23" s="116"/>
    </row>
    <row r="24" spans="1:33" x14ac:dyDescent="0.2">
      <c r="A24" s="38" t="s">
        <v>378</v>
      </c>
      <c r="B24" s="1" t="s">
        <v>236</v>
      </c>
      <c r="C24" s="1" t="s">
        <v>380</v>
      </c>
      <c r="D24" s="11" t="s">
        <v>272</v>
      </c>
      <c r="E24" s="75">
        <v>49320872.838615976</v>
      </c>
      <c r="F24" s="75">
        <v>5730151.120356584</v>
      </c>
      <c r="G24" s="75">
        <v>15026020.821204627</v>
      </c>
      <c r="H24" s="75">
        <v>1843754.7108986927</v>
      </c>
      <c r="I24" s="75">
        <v>1465139.6679476101</v>
      </c>
      <c r="J24" s="75">
        <v>322330.72694847424</v>
      </c>
      <c r="K24" s="75">
        <v>542101.67714061576</v>
      </c>
      <c r="L24" s="75"/>
      <c r="M24" s="75"/>
      <c r="N24" s="75"/>
      <c r="O24" s="75">
        <v>600707.26385852008</v>
      </c>
      <c r="P24" s="75">
        <v>1226587.9046562747</v>
      </c>
      <c r="Q24" s="75">
        <v>925371.7383128457</v>
      </c>
      <c r="R24" s="75">
        <v>23383610.657842979</v>
      </c>
      <c r="S24" s="75">
        <v>10233463.066634452</v>
      </c>
      <c r="T24" s="75">
        <v>2246369.9414563435</v>
      </c>
      <c r="U24" s="75">
        <v>10903777.649752181</v>
      </c>
      <c r="V24" s="75">
        <v>508719.80905505188</v>
      </c>
      <c r="W24" s="75">
        <v>343825.74607237172</v>
      </c>
      <c r="X24" s="75">
        <v>140157.37596527516</v>
      </c>
      <c r="Y24" s="75">
        <v>58594.563694919321</v>
      </c>
      <c r="Z24" s="75">
        <v>19716.46849806586</v>
      </c>
      <c r="AA24" s="75">
        <v>155535.0065472197</v>
      </c>
      <c r="AB24" s="116"/>
      <c r="AC24" s="116"/>
      <c r="AD24" s="116"/>
      <c r="AE24" s="116"/>
      <c r="AF24" s="116"/>
      <c r="AG24" s="116"/>
    </row>
    <row r="25" spans="1:33" x14ac:dyDescent="0.2">
      <c r="A25" s="38" t="s">
        <v>378</v>
      </c>
      <c r="B25" s="1" t="s">
        <v>236</v>
      </c>
      <c r="C25" s="1" t="s">
        <v>380</v>
      </c>
      <c r="D25" s="11" t="s">
        <v>273</v>
      </c>
      <c r="E25" s="75">
        <v>52230650.500097789</v>
      </c>
      <c r="F25" s="75">
        <v>5103943.0010051085</v>
      </c>
      <c r="G25" s="75">
        <v>17491938.687792804</v>
      </c>
      <c r="H25" s="75">
        <v>1970138.2384758778</v>
      </c>
      <c r="I25" s="75">
        <v>1944739.1042918591</v>
      </c>
      <c r="J25" s="75">
        <v>427842.60294420901</v>
      </c>
      <c r="K25" s="75">
        <v>719553.46858798782</v>
      </c>
      <c r="L25" s="75"/>
      <c r="M25" s="75"/>
      <c r="N25" s="75"/>
      <c r="O25" s="75">
        <v>797343.03275966214</v>
      </c>
      <c r="P25" s="75">
        <v>927418.71518686914</v>
      </c>
      <c r="Q25" s="75">
        <v>974355.39766204241</v>
      </c>
      <c r="R25" s="75">
        <v>23799915.351856515</v>
      </c>
      <c r="S25" s="75">
        <v>10415652.155094372</v>
      </c>
      <c r="T25" s="75">
        <v>2286362.6681914479</v>
      </c>
      <c r="U25" s="75">
        <v>11097900.528570693</v>
      </c>
      <c r="V25" s="75">
        <v>537199.82492617425</v>
      </c>
      <c r="W25" s="75">
        <v>320167.16126546741</v>
      </c>
      <c r="X25" s="75">
        <v>142653.99139435292</v>
      </c>
      <c r="Y25" s="75">
        <v>60598.460041496692</v>
      </c>
      <c r="Z25" s="75">
        <v>19014.094215489455</v>
      </c>
      <c r="AA25" s="75">
        <v>205526.90276392378</v>
      </c>
      <c r="AB25" s="116"/>
      <c r="AC25" s="116"/>
      <c r="AD25" s="116"/>
      <c r="AE25" s="116"/>
      <c r="AF25" s="116"/>
      <c r="AG25" s="116"/>
    </row>
    <row r="26" spans="1:33" x14ac:dyDescent="0.2">
      <c r="A26" s="38" t="s">
        <v>381</v>
      </c>
      <c r="B26" s="1" t="s">
        <v>236</v>
      </c>
      <c r="C26" s="1" t="s">
        <v>381</v>
      </c>
      <c r="D26" s="11" t="s">
        <v>369</v>
      </c>
      <c r="E26" s="75">
        <v>141670381.80522001</v>
      </c>
      <c r="F26" s="75">
        <v>16205961.576088844</v>
      </c>
      <c r="G26" s="75">
        <v>42681251.544822745</v>
      </c>
      <c r="H26" s="75">
        <v>5327081.4791929377</v>
      </c>
      <c r="I26" s="75">
        <v>4301763.2946129097</v>
      </c>
      <c r="J26" s="75">
        <v>946387.92481484008</v>
      </c>
      <c r="K26" s="75">
        <v>1591652.4190067765</v>
      </c>
      <c r="L26" s="75"/>
      <c r="M26" s="75"/>
      <c r="N26" s="75"/>
      <c r="O26" s="75">
        <v>1763722.9507912928</v>
      </c>
      <c r="P26" s="75">
        <v>3543158.1980397888</v>
      </c>
      <c r="Q26" s="75">
        <v>2730207.603849994</v>
      </c>
      <c r="R26" s="75">
        <v>68508463.202391908</v>
      </c>
      <c r="S26" s="75">
        <v>29981632.785115574</v>
      </c>
      <c r="T26" s="75">
        <v>6581334.0260009803</v>
      </c>
      <c r="U26" s="75">
        <v>31945496.391275346</v>
      </c>
      <c r="V26" s="75">
        <v>1485571.599985668</v>
      </c>
      <c r="W26" s="75">
        <v>1014248.0931716352</v>
      </c>
      <c r="X26" s="75">
        <v>402344.86502378032</v>
      </c>
      <c r="Y26" s="75">
        <v>168997.41456762759</v>
      </c>
      <c r="Z26" s="75">
        <v>51206.665649277551</v>
      </c>
      <c r="AA26" s="75">
        <v>453373.44923973881</v>
      </c>
      <c r="AB26" s="116"/>
      <c r="AC26" s="116"/>
      <c r="AD26" s="116"/>
      <c r="AE26" s="116"/>
      <c r="AF26" s="116"/>
      <c r="AG26" s="116"/>
    </row>
    <row r="27" spans="1:33" x14ac:dyDescent="0.2">
      <c r="A27" s="38" t="s">
        <v>381</v>
      </c>
      <c r="B27" s="1" t="s">
        <v>236</v>
      </c>
      <c r="C27" s="1" t="s">
        <v>381</v>
      </c>
      <c r="D27" s="11" t="s">
        <v>272</v>
      </c>
      <c r="E27" s="75">
        <v>139502037.14039797</v>
      </c>
      <c r="F27" s="75">
        <v>14753023.543153698</v>
      </c>
      <c r="G27" s="75">
        <v>43756921.505930103</v>
      </c>
      <c r="H27" s="75">
        <v>5295018.7676051138</v>
      </c>
      <c r="I27" s="75">
        <v>4716239.5013992358</v>
      </c>
      <c r="J27" s="75">
        <v>1037572.6903078319</v>
      </c>
      <c r="K27" s="75">
        <v>1745008.6155177173</v>
      </c>
      <c r="L27" s="75"/>
      <c r="M27" s="75"/>
      <c r="N27" s="75"/>
      <c r="O27" s="75">
        <v>1933658.1955736866</v>
      </c>
      <c r="P27" s="75">
        <v>3030082.404346195</v>
      </c>
      <c r="Q27" s="75">
        <v>2679763.6533212406</v>
      </c>
      <c r="R27" s="75">
        <v>66074601.748390824</v>
      </c>
      <c r="S27" s="75">
        <v>28916492.261555266</v>
      </c>
      <c r="T27" s="75">
        <v>6347522.6915609119</v>
      </c>
      <c r="U27" s="75">
        <v>30810586.795274641</v>
      </c>
      <c r="V27" s="75">
        <v>1455044.9430622277</v>
      </c>
      <c r="W27" s="75">
        <v>943937.70389515941</v>
      </c>
      <c r="X27" s="75">
        <v>388263.75596512773</v>
      </c>
      <c r="Y27" s="75">
        <v>163947.97311678645</v>
      </c>
      <c r="Z27" s="75">
        <v>48550.659327562127</v>
      </c>
      <c r="AA27" s="75">
        <v>492174.5722652275</v>
      </c>
      <c r="AB27" s="116"/>
      <c r="AC27" s="116"/>
      <c r="AD27" s="116"/>
      <c r="AE27" s="116"/>
      <c r="AF27" s="116"/>
      <c r="AG27" s="116"/>
    </row>
    <row r="28" spans="1:33" x14ac:dyDescent="0.2">
      <c r="A28" s="38" t="s">
        <v>381</v>
      </c>
      <c r="B28" s="1" t="s">
        <v>236</v>
      </c>
      <c r="C28" s="1" t="s">
        <v>381</v>
      </c>
      <c r="D28" s="11" t="s">
        <v>273</v>
      </c>
      <c r="E28" s="75">
        <v>145501674.35230157</v>
      </c>
      <c r="F28" s="75">
        <v>13714248.732503079</v>
      </c>
      <c r="G28" s="75">
        <v>49221585.869602509</v>
      </c>
      <c r="H28" s="75">
        <v>5526447.9255213644</v>
      </c>
      <c r="I28" s="75">
        <v>5764096.8229590412</v>
      </c>
      <c r="J28" s="75">
        <v>1268101.3010509892</v>
      </c>
      <c r="K28" s="75">
        <v>2132715.8244948452</v>
      </c>
      <c r="L28" s="75"/>
      <c r="M28" s="75"/>
      <c r="N28" s="75"/>
      <c r="O28" s="75">
        <v>2363279.6974132066</v>
      </c>
      <c r="P28" s="75">
        <v>2443091.7863373766</v>
      </c>
      <c r="Q28" s="75">
        <v>2826232.7029061201</v>
      </c>
      <c r="R28" s="75">
        <v>67579827.418361858</v>
      </c>
      <c r="S28" s="75">
        <v>29575230.192407366</v>
      </c>
      <c r="T28" s="75">
        <v>6492123.7007723488</v>
      </c>
      <c r="U28" s="75">
        <v>31512473.525182135</v>
      </c>
      <c r="V28" s="75">
        <v>1530403.3663454149</v>
      </c>
      <c r="W28" s="75">
        <v>897739.90745900315</v>
      </c>
      <c r="X28" s="75">
        <v>400317.8410529418</v>
      </c>
      <c r="Y28" s="75">
        <v>169038.37198306277</v>
      </c>
      <c r="Z28" s="75">
        <v>47467.871118376788</v>
      </c>
      <c r="AA28" s="75">
        <v>599160.89927832759</v>
      </c>
      <c r="AB28" s="116"/>
      <c r="AC28" s="116"/>
      <c r="AD28" s="116"/>
      <c r="AE28" s="116"/>
      <c r="AF28" s="116"/>
      <c r="AG28" s="116"/>
    </row>
    <row r="29" spans="1:33" x14ac:dyDescent="0.2">
      <c r="A29" s="38" t="s">
        <v>381</v>
      </c>
      <c r="B29" s="1" t="s">
        <v>236</v>
      </c>
      <c r="C29" s="1" t="s">
        <v>380</v>
      </c>
      <c r="D29" s="11" t="s">
        <v>369</v>
      </c>
      <c r="E29" s="75">
        <v>59312317.442581616</v>
      </c>
      <c r="F29" s="75">
        <v>7174239.3894819263</v>
      </c>
      <c r="G29" s="75">
        <v>17712537.30629031</v>
      </c>
      <c r="H29" s="75">
        <v>2185114.2394198691</v>
      </c>
      <c r="I29" s="75">
        <v>1646254.5091513987</v>
      </c>
      <c r="J29" s="75">
        <v>362175.9920133077</v>
      </c>
      <c r="K29" s="75">
        <v>609114.16838601755</v>
      </c>
      <c r="L29" s="75"/>
      <c r="M29" s="75"/>
      <c r="N29" s="75"/>
      <c r="O29" s="75">
        <v>674964.34875207336</v>
      </c>
      <c r="P29" s="75">
        <v>1601870.5522739366</v>
      </c>
      <c r="Q29" s="75">
        <v>1114535.9491913118</v>
      </c>
      <c r="R29" s="75">
        <v>28773471.294153553</v>
      </c>
      <c r="S29" s="75">
        <v>12592249.336345594</v>
      </c>
      <c r="T29" s="75">
        <v>2764152.2933441545</v>
      </c>
      <c r="U29" s="75">
        <v>13417069.664463801</v>
      </c>
      <c r="V29" s="75">
        <v>619720.46720037865</v>
      </c>
      <c r="W29" s="75">
        <v>431993.98525394144</v>
      </c>
      <c r="X29" s="75">
        <v>169966.32780860778</v>
      </c>
      <c r="Y29" s="75">
        <v>71907.556342190597</v>
      </c>
      <c r="Z29" s="75">
        <v>23049.244032538918</v>
      </c>
      <c r="AA29" s="75">
        <v>179583.68837101193</v>
      </c>
      <c r="AB29" s="116"/>
      <c r="AC29" s="116"/>
      <c r="AD29" s="116"/>
      <c r="AE29" s="116"/>
      <c r="AF29" s="116"/>
      <c r="AG29" s="116"/>
    </row>
    <row r="30" spans="1:33" x14ac:dyDescent="0.2">
      <c r="A30" s="38" t="s">
        <v>381</v>
      </c>
      <c r="B30" s="1" t="s">
        <v>236</v>
      </c>
      <c r="C30" s="1" t="s">
        <v>380</v>
      </c>
      <c r="D30" s="11" t="s">
        <v>272</v>
      </c>
      <c r="E30" s="75">
        <v>57930285.739827834</v>
      </c>
      <c r="F30" s="75">
        <v>6755019.1678578621</v>
      </c>
      <c r="G30" s="75">
        <v>17727318.574899849</v>
      </c>
      <c r="H30" s="75">
        <v>2145708.0543652074</v>
      </c>
      <c r="I30" s="75">
        <v>1726190.4766577561</v>
      </c>
      <c r="J30" s="75">
        <v>379761.90486470633</v>
      </c>
      <c r="K30" s="75">
        <v>638690.47636336973</v>
      </c>
      <c r="L30" s="75"/>
      <c r="M30" s="75"/>
      <c r="N30" s="75"/>
      <c r="O30" s="75">
        <v>707738.09542967996</v>
      </c>
      <c r="P30" s="75">
        <v>1459622.0572047669</v>
      </c>
      <c r="Q30" s="75">
        <v>1091487.6009298358</v>
      </c>
      <c r="R30" s="75">
        <v>27810560.453753319</v>
      </c>
      <c r="S30" s="75">
        <v>12170846.81361788</v>
      </c>
      <c r="T30" s="75">
        <v>2671649.3005502662</v>
      </c>
      <c r="U30" s="75">
        <v>12968064.339585172</v>
      </c>
      <c r="V30" s="75">
        <v>604354.47342532687</v>
      </c>
      <c r="W30" s="75">
        <v>408938.10495995911</v>
      </c>
      <c r="X30" s="75">
        <v>164845.19112275835</v>
      </c>
      <c r="Y30" s="75">
        <v>69654.692738324738</v>
      </c>
      <c r="Z30" s="75">
        <v>22237.98019985202</v>
      </c>
      <c r="AA30" s="75">
        <v>185936.33179350424</v>
      </c>
      <c r="AB30" s="116"/>
      <c r="AC30" s="116"/>
      <c r="AD30" s="116"/>
      <c r="AE30" s="116"/>
      <c r="AF30" s="116"/>
      <c r="AG30" s="116"/>
    </row>
    <row r="31" spans="1:33" x14ac:dyDescent="0.2">
      <c r="A31" s="38" t="s">
        <v>381</v>
      </c>
      <c r="B31" s="1" t="s">
        <v>236</v>
      </c>
      <c r="C31" s="1" t="s">
        <v>380</v>
      </c>
      <c r="D31" s="11" t="s">
        <v>273</v>
      </c>
      <c r="E31" s="75">
        <v>61472597.717054181</v>
      </c>
      <c r="F31" s="75">
        <v>6007937.0488810288</v>
      </c>
      <c r="G31" s="75">
        <v>20697340.944984477</v>
      </c>
      <c r="H31" s="75">
        <v>2300184.7097504386</v>
      </c>
      <c r="I31" s="75">
        <v>2303854.6464025388</v>
      </c>
      <c r="J31" s="75">
        <v>506848.02220855851</v>
      </c>
      <c r="K31" s="75">
        <v>852426.21916893928</v>
      </c>
      <c r="L31" s="75"/>
      <c r="M31" s="75"/>
      <c r="N31" s="75"/>
      <c r="O31" s="75">
        <v>944580.40502504085</v>
      </c>
      <c r="P31" s="75">
        <v>1100981.3070280538</v>
      </c>
      <c r="Q31" s="75">
        <v>1151709.1736435527</v>
      </c>
      <c r="R31" s="75">
        <v>28324229.389667585</v>
      </c>
      <c r="S31" s="75">
        <v>12395645.804717783</v>
      </c>
      <c r="T31" s="75">
        <v>2720995.4205478057</v>
      </c>
      <c r="U31" s="75">
        <v>13207588.164401995</v>
      </c>
      <c r="V31" s="75">
        <v>638849.51209196215</v>
      </c>
      <c r="W31" s="75">
        <v>380769.98227874102</v>
      </c>
      <c r="X31" s="75">
        <v>167935.97295546162</v>
      </c>
      <c r="Y31" s="75">
        <v>72082.285961783855</v>
      </c>
      <c r="Z31" s="75">
        <v>21430.761505131464</v>
      </c>
      <c r="AA31" s="75">
        <v>246014.46132029858</v>
      </c>
      <c r="AB31" s="116"/>
      <c r="AC31" s="116"/>
      <c r="AD31" s="116"/>
      <c r="AE31" s="116"/>
      <c r="AF31" s="116"/>
      <c r="AG31" s="116"/>
    </row>
    <row r="32" spans="1:33" x14ac:dyDescent="0.2">
      <c r="A32" s="38" t="s">
        <v>380</v>
      </c>
      <c r="B32" s="1" t="s">
        <v>236</v>
      </c>
      <c r="C32" s="1" t="s">
        <v>381</v>
      </c>
      <c r="D32" s="11" t="s">
        <v>369</v>
      </c>
      <c r="E32" s="75">
        <v>99949587.67094028</v>
      </c>
      <c r="F32" s="75">
        <v>11237868.700168183</v>
      </c>
      <c r="G32" s="75">
        <v>29665869.598722536</v>
      </c>
      <c r="H32" s="75">
        <v>3865320.5167862885</v>
      </c>
      <c r="I32" s="75">
        <v>3060327.9229196492</v>
      </c>
      <c r="J32" s="75">
        <v>673272.14304232283</v>
      </c>
      <c r="K32" s="75">
        <v>1132321.3314802703</v>
      </c>
      <c r="L32" s="75"/>
      <c r="M32" s="75"/>
      <c r="N32" s="75"/>
      <c r="O32" s="75">
        <v>1254734.448397056</v>
      </c>
      <c r="P32" s="75">
        <v>2405212.9336938057</v>
      </c>
      <c r="Q32" s="75">
        <v>1932309.358099062</v>
      </c>
      <c r="R32" s="75">
        <v>47107293.448999174</v>
      </c>
      <c r="S32" s="75">
        <v>20615753.261259302</v>
      </c>
      <c r="T32" s="75">
        <v>4525409.2524715541</v>
      </c>
      <c r="U32" s="75">
        <v>21966130.935268313</v>
      </c>
      <c r="V32" s="75">
        <v>1024088.5893785951</v>
      </c>
      <c r="W32" s="75">
        <v>697717.08321139158</v>
      </c>
      <c r="X32" s="75">
        <v>283625.77607482887</v>
      </c>
      <c r="Y32" s="75">
        <v>115393.27591595113</v>
      </c>
      <c r="Z32" s="75">
        <v>39005.113396516812</v>
      </c>
      <c r="AA32" s="75">
        <v>307350.9363194374</v>
      </c>
      <c r="AB32" s="116"/>
      <c r="AC32" s="116"/>
      <c r="AD32" s="116"/>
      <c r="AE32" s="116"/>
      <c r="AF32" s="116"/>
      <c r="AG32" s="116"/>
    </row>
    <row r="33" spans="1:33" x14ac:dyDescent="0.2">
      <c r="A33" s="38" t="s">
        <v>380</v>
      </c>
      <c r="B33" s="1" t="s">
        <v>236</v>
      </c>
      <c r="C33" s="1" t="s">
        <v>381</v>
      </c>
      <c r="D33" s="11" t="s">
        <v>272</v>
      </c>
      <c r="E33" s="75">
        <v>98486224.893404454</v>
      </c>
      <c r="F33" s="75">
        <v>10260190.293912452</v>
      </c>
      <c r="G33" s="75">
        <v>30368933.679432224</v>
      </c>
      <c r="H33" s="75">
        <v>3846512.9244067604</v>
      </c>
      <c r="I33" s="75">
        <v>3343855.2123102476</v>
      </c>
      <c r="J33" s="75">
        <v>735648.14670825447</v>
      </c>
      <c r="K33" s="75">
        <v>1237226.4285547915</v>
      </c>
      <c r="L33" s="75"/>
      <c r="M33" s="75"/>
      <c r="N33" s="75"/>
      <c r="O33" s="75">
        <v>1370980.6370472014</v>
      </c>
      <c r="P33" s="75">
        <v>2062246.8066089256</v>
      </c>
      <c r="Q33" s="75">
        <v>1898955.8774050861</v>
      </c>
      <c r="R33" s="75">
        <v>45502291.236946255</v>
      </c>
      <c r="S33" s="75">
        <v>19913349.723189734</v>
      </c>
      <c r="T33" s="75">
        <v>4371223.1099684788</v>
      </c>
      <c r="U33" s="75">
        <v>21217718.403788038</v>
      </c>
      <c r="V33" s="75">
        <v>1003842.3490312659</v>
      </c>
      <c r="W33" s="75">
        <v>651074.90145188104</v>
      </c>
      <c r="X33" s="75">
        <v>274202.95798561111</v>
      </c>
      <c r="Y33" s="75">
        <v>112024.39494891751</v>
      </c>
      <c r="Z33" s="75">
        <v>37138.687293283248</v>
      </c>
      <c r="AA33" s="75">
        <v>333247.81756097963</v>
      </c>
      <c r="AB33" s="116"/>
      <c r="AC33" s="116"/>
      <c r="AD33" s="116"/>
      <c r="AE33" s="116"/>
      <c r="AF33" s="116"/>
      <c r="AG33" s="116"/>
    </row>
    <row r="34" spans="1:33" x14ac:dyDescent="0.2">
      <c r="A34" s="38" t="s">
        <v>380</v>
      </c>
      <c r="B34" s="1" t="s">
        <v>236</v>
      </c>
      <c r="C34" s="1" t="s">
        <v>381</v>
      </c>
      <c r="D34" s="11" t="s">
        <v>273</v>
      </c>
      <c r="E34" s="75">
        <v>102036271.89845026</v>
      </c>
      <c r="F34" s="75">
        <v>9547524.9935946595</v>
      </c>
      <c r="G34" s="75">
        <v>33932460.556628712</v>
      </c>
      <c r="H34" s="75">
        <v>3970038.7922432413</v>
      </c>
      <c r="I34" s="75">
        <v>4015136.1551328478</v>
      </c>
      <c r="J34" s="75">
        <v>883329.95412922651</v>
      </c>
      <c r="K34" s="75">
        <v>1485600.3773991538</v>
      </c>
      <c r="L34" s="75"/>
      <c r="M34" s="75"/>
      <c r="N34" s="75"/>
      <c r="O34" s="75">
        <v>1646205.8236044676</v>
      </c>
      <c r="P34" s="75">
        <v>1669005.6115043422</v>
      </c>
      <c r="Q34" s="75">
        <v>1984528.5906904011</v>
      </c>
      <c r="R34" s="75">
        <v>46339815.703639932</v>
      </c>
      <c r="S34" s="75">
        <v>20279878.905646756</v>
      </c>
      <c r="T34" s="75">
        <v>4451680.7353858734</v>
      </c>
      <c r="U34" s="75">
        <v>21608256.0626073</v>
      </c>
      <c r="V34" s="75">
        <v>1050555.7423268806</v>
      </c>
      <c r="W34" s="75">
        <v>617780.87646811502</v>
      </c>
      <c r="X34" s="75">
        <v>280895.66580200841</v>
      </c>
      <c r="Y34" s="75">
        <v>115202.00059049469</v>
      </c>
      <c r="Z34" s="75">
        <v>36204.999577395414</v>
      </c>
      <c r="AA34" s="75">
        <v>403955.40263110294</v>
      </c>
      <c r="AB34" s="116"/>
      <c r="AC34" s="116"/>
      <c r="AD34" s="116"/>
      <c r="AE34" s="116"/>
      <c r="AF34" s="116"/>
      <c r="AG34" s="116"/>
    </row>
    <row r="35" spans="1:33" x14ac:dyDescent="0.2">
      <c r="A35" s="38" t="s">
        <v>380</v>
      </c>
      <c r="B35" s="1" t="s">
        <v>236</v>
      </c>
      <c r="C35" s="1" t="s">
        <v>380</v>
      </c>
      <c r="D35" s="11" t="s">
        <v>369</v>
      </c>
      <c r="E35" s="75">
        <v>41645106.481035382</v>
      </c>
      <c r="F35" s="75">
        <v>4985560.0171138886</v>
      </c>
      <c r="G35" s="75">
        <v>12318190.192501901</v>
      </c>
      <c r="H35" s="75">
        <v>1568369.5463770274</v>
      </c>
      <c r="I35" s="75">
        <v>1149913.965602369</v>
      </c>
      <c r="J35" s="75">
        <v>252981.07243252118</v>
      </c>
      <c r="K35" s="75">
        <v>425468.16727287654</v>
      </c>
      <c r="L35" s="75"/>
      <c r="M35" s="75"/>
      <c r="N35" s="75"/>
      <c r="O35" s="75">
        <v>471464.7258969713</v>
      </c>
      <c r="P35" s="75">
        <v>1088524.2286899623</v>
      </c>
      <c r="Q35" s="75">
        <v>774761.88700650481</v>
      </c>
      <c r="R35" s="75">
        <v>19601150.244754285</v>
      </c>
      <c r="S35" s="75">
        <v>8578129.7862127945</v>
      </c>
      <c r="T35" s="75">
        <v>1883004.0994125649</v>
      </c>
      <c r="U35" s="75">
        <v>9140016.3591289222</v>
      </c>
      <c r="V35" s="75">
        <v>423453.29130206571</v>
      </c>
      <c r="W35" s="75">
        <v>294125.64026236685</v>
      </c>
      <c r="X35" s="75">
        <v>118972.82511908148</v>
      </c>
      <c r="Y35" s="75">
        <v>49040.773300146859</v>
      </c>
      <c r="Z35" s="75">
        <v>17752.669419956273</v>
      </c>
      <c r="AA35" s="75">
        <v>120889.33337382477</v>
      </c>
      <c r="AB35" s="116"/>
      <c r="AC35" s="116"/>
      <c r="AD35" s="116"/>
      <c r="AE35" s="116"/>
      <c r="AF35" s="116"/>
      <c r="AG35" s="116"/>
    </row>
    <row r="36" spans="1:33" x14ac:dyDescent="0.2">
      <c r="A36" s="38" t="s">
        <v>380</v>
      </c>
      <c r="B36" s="1" t="s">
        <v>236</v>
      </c>
      <c r="C36" s="1" t="s">
        <v>380</v>
      </c>
      <c r="D36" s="11" t="s">
        <v>272</v>
      </c>
      <c r="E36" s="75">
        <v>40711459.937404156</v>
      </c>
      <c r="F36" s="75">
        <v>4705283.0728553031</v>
      </c>
      <c r="G36" s="75">
        <v>12324723.067509409</v>
      </c>
      <c r="H36" s="75">
        <v>1541801.3674321775</v>
      </c>
      <c r="I36" s="75">
        <v>1204088.8592374646</v>
      </c>
      <c r="J36" s="75">
        <v>264899.54903224221</v>
      </c>
      <c r="K36" s="75">
        <v>445512.87791786192</v>
      </c>
      <c r="L36" s="75"/>
      <c r="M36" s="75"/>
      <c r="N36" s="75"/>
      <c r="O36" s="75">
        <v>493676.43228736048</v>
      </c>
      <c r="P36" s="75">
        <v>993553.75210778322</v>
      </c>
      <c r="Q36" s="75">
        <v>759255.87569585571</v>
      </c>
      <c r="R36" s="75">
        <v>18956660.861932632</v>
      </c>
      <c r="S36" s="75">
        <v>8296079.3196510235</v>
      </c>
      <c r="T36" s="75">
        <v>1821090.5823624199</v>
      </c>
      <c r="U36" s="75">
        <v>8839490.9599191863</v>
      </c>
      <c r="V36" s="75">
        <v>413085.14468477719</v>
      </c>
      <c r="W36" s="75">
        <v>278713.38718478457</v>
      </c>
      <c r="X36" s="75">
        <v>115469.56080779202</v>
      </c>
      <c r="Y36" s="75">
        <v>47534.434651513897</v>
      </c>
      <c r="Z36" s="75">
        <v>17194.956796279708</v>
      </c>
      <c r="AA36" s="75">
        <v>125133.68130093512</v>
      </c>
      <c r="AB36" s="116"/>
      <c r="AC36" s="116"/>
      <c r="AD36" s="116"/>
      <c r="AE36" s="116"/>
      <c r="AF36" s="116"/>
      <c r="AG36" s="116"/>
    </row>
    <row r="37" spans="1:33" x14ac:dyDescent="0.2">
      <c r="A37" s="38" t="s">
        <v>380</v>
      </c>
      <c r="B37" s="1" t="s">
        <v>236</v>
      </c>
      <c r="C37" s="1" t="s">
        <v>380</v>
      </c>
      <c r="D37" s="11" t="s">
        <v>273</v>
      </c>
      <c r="E37" s="75">
        <v>42988703.283141434</v>
      </c>
      <c r="F37" s="75">
        <v>4199948.9531291882</v>
      </c>
      <c r="G37" s="75">
        <v>14286536.430601135</v>
      </c>
      <c r="H37" s="75">
        <v>1640091.7672013168</v>
      </c>
      <c r="I37" s="75">
        <v>1585623.5621811785</v>
      </c>
      <c r="J37" s="75">
        <v>348837.18367985927</v>
      </c>
      <c r="K37" s="75">
        <v>586680.71800703602</v>
      </c>
      <c r="L37" s="75"/>
      <c r="M37" s="75"/>
      <c r="N37" s="75"/>
      <c r="O37" s="75">
        <v>650105.66049428319</v>
      </c>
      <c r="P37" s="75">
        <v>753856.12334568473</v>
      </c>
      <c r="Q37" s="75">
        <v>797001.621680532</v>
      </c>
      <c r="R37" s="75">
        <v>19275601.31404544</v>
      </c>
      <c r="S37" s="75">
        <v>8435658.5054709613</v>
      </c>
      <c r="T37" s="75">
        <v>1851729.9158350891</v>
      </c>
      <c r="U37" s="75">
        <v>8988212.8927393891</v>
      </c>
      <c r="V37" s="75">
        <v>435550.13776038645</v>
      </c>
      <c r="W37" s="75">
        <v>259564.34025219368</v>
      </c>
      <c r="X37" s="75">
        <v>117372.00983324417</v>
      </c>
      <c r="Y37" s="75">
        <v>49114.634121209565</v>
      </c>
      <c r="Z37" s="75">
        <v>16597.426925847452</v>
      </c>
      <c r="AA37" s="75">
        <v>165039.34420754886</v>
      </c>
      <c r="AB37" s="116"/>
      <c r="AC37" s="116"/>
      <c r="AD37" s="116"/>
      <c r="AE37" s="116"/>
      <c r="AF37" s="116"/>
      <c r="AG37" s="116"/>
    </row>
    <row r="38" spans="1:33" x14ac:dyDescent="0.2">
      <c r="A38" s="38" t="s">
        <v>378</v>
      </c>
      <c r="B38" s="1" t="s">
        <v>241</v>
      </c>
      <c r="C38" s="1" t="s">
        <v>381</v>
      </c>
      <c r="D38" s="11" t="s">
        <v>369</v>
      </c>
      <c r="E38" s="75">
        <v>173615030.8849197</v>
      </c>
      <c r="F38" s="75">
        <v>24470691.298573297</v>
      </c>
      <c r="G38" s="75">
        <v>30953690.512642734</v>
      </c>
      <c r="H38" s="75">
        <v>6965872.6384671424</v>
      </c>
      <c r="I38" s="75">
        <v>3311905.7275544922</v>
      </c>
      <c r="J38" s="75">
        <v>728619.26006198826</v>
      </c>
      <c r="K38" s="75">
        <v>1225405.1191951621</v>
      </c>
      <c r="L38" s="75"/>
      <c r="M38" s="75"/>
      <c r="N38" s="75">
        <v>264952.4582043594</v>
      </c>
      <c r="O38" s="75">
        <v>1092928.8900929824</v>
      </c>
      <c r="P38" s="75">
        <v>2974185.5658667972</v>
      </c>
      <c r="Q38" s="75">
        <v>2331258.4809745275</v>
      </c>
      <c r="R38" s="75">
        <v>24073298.608270951</v>
      </c>
      <c r="S38" s="75">
        <v>19740104.85878218</v>
      </c>
      <c r="T38" s="75">
        <v>4333193.749488771</v>
      </c>
      <c r="U38" s="75"/>
      <c r="V38" s="75">
        <v>903266.78228112566</v>
      </c>
      <c r="W38" s="75">
        <v>919257.85863103438</v>
      </c>
      <c r="X38" s="75">
        <v>340545.81260664924</v>
      </c>
      <c r="Y38" s="75">
        <v>142195.34524178933</v>
      </c>
      <c r="Z38" s="75">
        <v>49533.205986693189</v>
      </c>
      <c r="AA38" s="75">
        <v>101327.10855100733</v>
      </c>
      <c r="AB38" s="116"/>
      <c r="AC38" s="116"/>
      <c r="AD38" s="116"/>
      <c r="AE38" s="116"/>
      <c r="AF38" s="116"/>
      <c r="AG38" s="116"/>
    </row>
    <row r="39" spans="1:33" x14ac:dyDescent="0.2">
      <c r="A39" s="38" t="s">
        <v>378</v>
      </c>
      <c r="B39" s="1" t="s">
        <v>241</v>
      </c>
      <c r="C39" s="1" t="s">
        <v>381</v>
      </c>
      <c r="D39" s="11" t="s">
        <v>272</v>
      </c>
      <c r="E39" s="75">
        <v>174477945.65600079</v>
      </c>
      <c r="F39" s="75">
        <v>24175128.760105032</v>
      </c>
      <c r="G39" s="75">
        <v>31880555.805637799</v>
      </c>
      <c r="H39" s="75">
        <v>6841967.5892860983</v>
      </c>
      <c r="I39" s="75">
        <v>3465033.1529040937</v>
      </c>
      <c r="J39" s="75">
        <v>762307.29363890062</v>
      </c>
      <c r="K39" s="75">
        <v>1282062.2665745146</v>
      </c>
      <c r="L39" s="75"/>
      <c r="M39" s="75"/>
      <c r="N39" s="75">
        <v>277202.6522323275</v>
      </c>
      <c r="O39" s="75">
        <v>1143460.940458351</v>
      </c>
      <c r="P39" s="75">
        <v>2546164.6054775598</v>
      </c>
      <c r="Q39" s="75">
        <v>2289359.7653631628</v>
      </c>
      <c r="R39" s="75">
        <v>22831017.105343286</v>
      </c>
      <c r="S39" s="75">
        <v>18721434.026381493</v>
      </c>
      <c r="T39" s="75">
        <v>4109583.0789617915</v>
      </c>
      <c r="U39" s="75"/>
      <c r="V39" s="75">
        <v>833419.41268088482</v>
      </c>
      <c r="W39" s="75">
        <v>865770.3027720321</v>
      </c>
      <c r="X39" s="75">
        <v>323433.72616132698</v>
      </c>
      <c r="Y39" s="75">
        <v>137986.18403285198</v>
      </c>
      <c r="Z39" s="75">
        <v>46681.577130422076</v>
      </c>
      <c r="AA39" s="75">
        <v>109333.68255917942</v>
      </c>
      <c r="AB39" s="116"/>
      <c r="AC39" s="116"/>
      <c r="AD39" s="116"/>
      <c r="AE39" s="116"/>
      <c r="AF39" s="116"/>
      <c r="AG39" s="116"/>
    </row>
    <row r="40" spans="1:33" x14ac:dyDescent="0.2">
      <c r="A40" s="38" t="s">
        <v>378</v>
      </c>
      <c r="B40" s="1" t="s">
        <v>241</v>
      </c>
      <c r="C40" s="1" t="s">
        <v>381</v>
      </c>
      <c r="D40" s="11" t="s">
        <v>273</v>
      </c>
      <c r="E40" s="75">
        <v>187804764.45304033</v>
      </c>
      <c r="F40" s="75">
        <v>26156871.572019871</v>
      </c>
      <c r="G40" s="75">
        <v>35633879.662877575</v>
      </c>
      <c r="H40" s="75">
        <v>6991020.0355790956</v>
      </c>
      <c r="I40" s="75">
        <v>3898565.607366561</v>
      </c>
      <c r="J40" s="75">
        <v>857684.43362064345</v>
      </c>
      <c r="K40" s="75">
        <v>1442469.2747256276</v>
      </c>
      <c r="L40" s="75"/>
      <c r="M40" s="75"/>
      <c r="N40" s="75">
        <v>311885.24858932488</v>
      </c>
      <c r="O40" s="75">
        <v>1286526.6504309652</v>
      </c>
      <c r="P40" s="75">
        <v>2056048.6989208588</v>
      </c>
      <c r="Q40" s="75">
        <v>2405380.6467982605</v>
      </c>
      <c r="R40" s="75">
        <v>22588419.58397622</v>
      </c>
      <c r="S40" s="75">
        <v>18522504.058860499</v>
      </c>
      <c r="T40" s="75">
        <v>4065915.5251157195</v>
      </c>
      <c r="U40" s="75"/>
      <c r="V40" s="75">
        <v>779649.60078142886</v>
      </c>
      <c r="W40" s="75">
        <v>842122.031156454</v>
      </c>
      <c r="X40" s="75">
        <v>322028.46379817405</v>
      </c>
      <c r="Y40" s="75">
        <v>142120.18628677871</v>
      </c>
      <c r="Z40" s="75">
        <v>44828.41131192282</v>
      </c>
      <c r="AA40" s="75">
        <v>131027.97462448188</v>
      </c>
      <c r="AB40" s="116"/>
      <c r="AC40" s="116"/>
      <c r="AD40" s="116"/>
      <c r="AE40" s="116"/>
      <c r="AF40" s="116"/>
      <c r="AG40" s="116"/>
    </row>
    <row r="41" spans="1:33" x14ac:dyDescent="0.2">
      <c r="A41" s="38" t="s">
        <v>378</v>
      </c>
      <c r="B41" s="1" t="s">
        <v>241</v>
      </c>
      <c r="C41" s="1" t="s">
        <v>380</v>
      </c>
      <c r="D41" s="11" t="s">
        <v>369</v>
      </c>
      <c r="E41" s="75">
        <v>71016386.024098992</v>
      </c>
      <c r="F41" s="75">
        <v>10359614.105113624</v>
      </c>
      <c r="G41" s="75">
        <v>12943239.552698866</v>
      </c>
      <c r="H41" s="75">
        <v>2863596.0147355092</v>
      </c>
      <c r="I41" s="75">
        <v>1275659.3316486217</v>
      </c>
      <c r="J41" s="75">
        <v>280645.05296269676</v>
      </c>
      <c r="K41" s="75">
        <v>471993.95270999003</v>
      </c>
      <c r="L41" s="75"/>
      <c r="M41" s="75"/>
      <c r="N41" s="75">
        <v>102052.74653188974</v>
      </c>
      <c r="O41" s="75">
        <v>420967.5794440452</v>
      </c>
      <c r="P41" s="75">
        <v>1345197.3904819493</v>
      </c>
      <c r="Q41" s="75">
        <v>944648.91809890827</v>
      </c>
      <c r="R41" s="75">
        <v>10354298.792567641</v>
      </c>
      <c r="S41" s="75">
        <v>8490525.0099054649</v>
      </c>
      <c r="T41" s="75">
        <v>1863773.7826621751</v>
      </c>
      <c r="U41" s="75"/>
      <c r="V41" s="75">
        <v>385478.05744506657</v>
      </c>
      <c r="W41" s="75">
        <v>388242.48840619787</v>
      </c>
      <c r="X41" s="75">
        <v>139982.60925470313</v>
      </c>
      <c r="Y41" s="75">
        <v>60474.164821168721</v>
      </c>
      <c r="Z41" s="75">
        <v>22277.582962812383</v>
      </c>
      <c r="AA41" s="75">
        <v>39484.476841821073</v>
      </c>
      <c r="AB41" s="116"/>
      <c r="AC41" s="116"/>
      <c r="AD41" s="116"/>
      <c r="AE41" s="116"/>
      <c r="AF41" s="116"/>
      <c r="AG41" s="116"/>
    </row>
    <row r="42" spans="1:33" x14ac:dyDescent="0.2">
      <c r="A42" s="38" t="s">
        <v>378</v>
      </c>
      <c r="B42" s="1" t="s">
        <v>241</v>
      </c>
      <c r="C42" s="1" t="s">
        <v>380</v>
      </c>
      <c r="D42" s="11" t="s">
        <v>272</v>
      </c>
      <c r="E42" s="75">
        <v>70131879.990941942</v>
      </c>
      <c r="F42" s="75">
        <v>10185308.111413563</v>
      </c>
      <c r="G42" s="75">
        <v>13004333.442325838</v>
      </c>
      <c r="H42" s="75">
        <v>2795457.1006452409</v>
      </c>
      <c r="I42" s="75">
        <v>1294377.9762800422</v>
      </c>
      <c r="J42" s="75">
        <v>284763.15478160931</v>
      </c>
      <c r="K42" s="75">
        <v>478919.85122361564</v>
      </c>
      <c r="L42" s="75"/>
      <c r="M42" s="75"/>
      <c r="N42" s="75">
        <v>103550.23810240338</v>
      </c>
      <c r="O42" s="75">
        <v>427144.73217241396</v>
      </c>
      <c r="P42" s="75">
        <v>1226587.9046562747</v>
      </c>
      <c r="Q42" s="75">
        <v>925371.7383128457</v>
      </c>
      <c r="R42" s="75">
        <v>9933121.893137021</v>
      </c>
      <c r="S42" s="75">
        <v>8145159.9523723563</v>
      </c>
      <c r="T42" s="75">
        <v>1787961.9407646637</v>
      </c>
      <c r="U42" s="75"/>
      <c r="V42" s="75">
        <v>363677.1848305231</v>
      </c>
      <c r="W42" s="75">
        <v>369977.63527366449</v>
      </c>
      <c r="X42" s="75">
        <v>134265.44019952964</v>
      </c>
      <c r="Y42" s="75">
        <v>58594.563694919321</v>
      </c>
      <c r="Z42" s="75">
        <v>21418.530779787736</v>
      </c>
      <c r="AA42" s="75">
        <v>40859.075215163561</v>
      </c>
      <c r="AB42" s="116"/>
      <c r="AC42" s="116"/>
      <c r="AD42" s="116"/>
      <c r="AE42" s="116"/>
      <c r="AF42" s="116"/>
      <c r="AG42" s="116"/>
    </row>
    <row r="43" spans="1:33" x14ac:dyDescent="0.2">
      <c r="A43" s="38" t="s">
        <v>378</v>
      </c>
      <c r="B43" s="1" t="s">
        <v>241</v>
      </c>
      <c r="C43" s="1" t="s">
        <v>380</v>
      </c>
      <c r="D43" s="11" t="s">
        <v>273</v>
      </c>
      <c r="E43" s="75">
        <v>77947065.217612311</v>
      </c>
      <c r="F43" s="75">
        <v>11022097.427002592</v>
      </c>
      <c r="G43" s="75">
        <v>15158215.946076566</v>
      </c>
      <c r="H43" s="75">
        <v>2902460.8978180503</v>
      </c>
      <c r="I43" s="75">
        <v>1552086.7878272929</v>
      </c>
      <c r="J43" s="75">
        <v>341459.09332200442</v>
      </c>
      <c r="K43" s="75">
        <v>574272.11149609834</v>
      </c>
      <c r="L43" s="75"/>
      <c r="M43" s="75"/>
      <c r="N43" s="75">
        <v>124166.94302618343</v>
      </c>
      <c r="O43" s="75">
        <v>512188.63998300669</v>
      </c>
      <c r="P43" s="75">
        <v>927418.71518686914</v>
      </c>
      <c r="Q43" s="75">
        <v>974355.39766204241</v>
      </c>
      <c r="R43" s="75">
        <v>9687543.0280042831</v>
      </c>
      <c r="S43" s="75">
        <v>7943785.2829635115</v>
      </c>
      <c r="T43" s="75">
        <v>1743757.7450407709</v>
      </c>
      <c r="U43" s="75"/>
      <c r="V43" s="75">
        <v>330417.73707144498</v>
      </c>
      <c r="W43" s="75">
        <v>354422.53691078792</v>
      </c>
      <c r="X43" s="75">
        <v>130963.43857057122</v>
      </c>
      <c r="Y43" s="75">
        <v>60598.460041496692</v>
      </c>
      <c r="Z43" s="75">
        <v>20275.364215185644</v>
      </c>
      <c r="AA43" s="75">
        <v>53106.703470218003</v>
      </c>
      <c r="AB43" s="116"/>
      <c r="AC43" s="116"/>
      <c r="AD43" s="116"/>
      <c r="AE43" s="116"/>
      <c r="AF43" s="116"/>
      <c r="AG43" s="116"/>
    </row>
    <row r="44" spans="1:33" x14ac:dyDescent="0.2">
      <c r="A44" s="38" t="s">
        <v>381</v>
      </c>
      <c r="B44" s="1" t="s">
        <v>241</v>
      </c>
      <c r="C44" s="1" t="s">
        <v>381</v>
      </c>
      <c r="D44" s="11" t="s">
        <v>369</v>
      </c>
      <c r="E44" s="75">
        <v>204752475.38195506</v>
      </c>
      <c r="F44" s="75">
        <v>29058551.685829811</v>
      </c>
      <c r="G44" s="75">
        <v>36010649.387728773</v>
      </c>
      <c r="H44" s="75">
        <v>8086669.575097275</v>
      </c>
      <c r="I44" s="75">
        <v>3862582.2804497518</v>
      </c>
      <c r="J44" s="75">
        <v>849768.10169894539</v>
      </c>
      <c r="K44" s="75">
        <v>1429155.4437664081</v>
      </c>
      <c r="L44" s="75"/>
      <c r="M44" s="75"/>
      <c r="N44" s="75">
        <v>309006.58243598015</v>
      </c>
      <c r="O44" s="75">
        <v>1274652.1525484181</v>
      </c>
      <c r="P44" s="75">
        <v>3543158.1980397888</v>
      </c>
      <c r="Q44" s="75">
        <v>2730207.603849994</v>
      </c>
      <c r="R44" s="75">
        <v>28350212.428838544</v>
      </c>
      <c r="S44" s="75">
        <v>23247174.191647604</v>
      </c>
      <c r="T44" s="75">
        <v>5103038.2371909376</v>
      </c>
      <c r="U44" s="75"/>
      <c r="V44" s="75">
        <v>1067073.1584044166</v>
      </c>
      <c r="W44" s="75">
        <v>1089514.064016181</v>
      </c>
      <c r="X44" s="75">
        <v>401940.00251941383</v>
      </c>
      <c r="Y44" s="75">
        <v>168997.41456762759</v>
      </c>
      <c r="Z44" s="75">
        <v>56412.334711530333</v>
      </c>
      <c r="AA44" s="75">
        <v>119579.92266604501</v>
      </c>
      <c r="AB44" s="116"/>
      <c r="AC44" s="116"/>
      <c r="AD44" s="116"/>
      <c r="AE44" s="116"/>
      <c r="AF44" s="116"/>
      <c r="AG44" s="116"/>
    </row>
    <row r="45" spans="1:33" x14ac:dyDescent="0.2">
      <c r="A45" s="38" t="s">
        <v>381</v>
      </c>
      <c r="B45" s="1" t="s">
        <v>241</v>
      </c>
      <c r="C45" s="1" t="s">
        <v>381</v>
      </c>
      <c r="D45" s="11" t="s">
        <v>272</v>
      </c>
      <c r="E45" s="75">
        <v>205744157.54300135</v>
      </c>
      <c r="F45" s="75">
        <v>28708020.586563677</v>
      </c>
      <c r="G45" s="75">
        <v>37141641.163879432</v>
      </c>
      <c r="H45" s="75">
        <v>7934293.4865903584</v>
      </c>
      <c r="I45" s="75">
        <v>4041809.5860789735</v>
      </c>
      <c r="J45" s="75">
        <v>889198.1089373742</v>
      </c>
      <c r="K45" s="75">
        <v>1495469.5468492201</v>
      </c>
      <c r="L45" s="75"/>
      <c r="M45" s="75"/>
      <c r="N45" s="75">
        <v>323344.76688631787</v>
      </c>
      <c r="O45" s="75">
        <v>1333797.1634060612</v>
      </c>
      <c r="P45" s="75">
        <v>3030082.404346195</v>
      </c>
      <c r="Q45" s="75">
        <v>2679763.6533212406</v>
      </c>
      <c r="R45" s="75">
        <v>26863899.981041253</v>
      </c>
      <c r="S45" s="75">
        <v>22028397.984453827</v>
      </c>
      <c r="T45" s="75">
        <v>4835501.9965874255</v>
      </c>
      <c r="U45" s="75"/>
      <c r="V45" s="75">
        <v>983234.24637527741</v>
      </c>
      <c r="W45" s="75">
        <v>1025183.4488011926</v>
      </c>
      <c r="X45" s="75">
        <v>381283.73238735943</v>
      </c>
      <c r="Y45" s="75">
        <v>163947.97311678645</v>
      </c>
      <c r="Z45" s="75">
        <v>53046.651540934981</v>
      </c>
      <c r="AA45" s="75">
        <v>129199.52689721044</v>
      </c>
      <c r="AB45" s="116"/>
      <c r="AC45" s="116"/>
      <c r="AD45" s="116"/>
      <c r="AE45" s="116"/>
      <c r="AF45" s="116"/>
      <c r="AG45" s="116"/>
    </row>
    <row r="46" spans="1:33" x14ac:dyDescent="0.2">
      <c r="A46" s="38" t="s">
        <v>381</v>
      </c>
      <c r="B46" s="1" t="s">
        <v>241</v>
      </c>
      <c r="C46" s="1" t="s">
        <v>381</v>
      </c>
      <c r="D46" s="11" t="s">
        <v>273</v>
      </c>
      <c r="E46" s="75">
        <v>222128295.32662448</v>
      </c>
      <c r="F46" s="75">
        <v>31105824.493348587</v>
      </c>
      <c r="G46" s="75">
        <v>41707962.297226653</v>
      </c>
      <c r="H46" s="75">
        <v>8141510.238018347</v>
      </c>
      <c r="I46" s="75">
        <v>4578553.0006735288</v>
      </c>
      <c r="J46" s="75">
        <v>1007281.6601481764</v>
      </c>
      <c r="K46" s="75">
        <v>1694064.6102492057</v>
      </c>
      <c r="L46" s="75"/>
      <c r="M46" s="75"/>
      <c r="N46" s="75">
        <v>366284.2400538823</v>
      </c>
      <c r="O46" s="75">
        <v>1510922.4902222645</v>
      </c>
      <c r="P46" s="75">
        <v>2443091.7863373766</v>
      </c>
      <c r="Q46" s="75">
        <v>2826232.7029061201</v>
      </c>
      <c r="R46" s="75">
        <v>26610843.448950302</v>
      </c>
      <c r="S46" s="75">
        <v>21820891.628139246</v>
      </c>
      <c r="T46" s="75">
        <v>4789951.8208110537</v>
      </c>
      <c r="U46" s="75"/>
      <c r="V46" s="75">
        <v>920399.03161601874</v>
      </c>
      <c r="W46" s="75">
        <v>998382.77479385899</v>
      </c>
      <c r="X46" s="75">
        <v>380537.88370263361</v>
      </c>
      <c r="Y46" s="75">
        <v>169038.37198306277</v>
      </c>
      <c r="Z46" s="75">
        <v>50963.633085303423</v>
      </c>
      <c r="AA46" s="75">
        <v>155428.66170538496</v>
      </c>
      <c r="AB46" s="116"/>
      <c r="AC46" s="116"/>
      <c r="AD46" s="116"/>
      <c r="AE46" s="116"/>
      <c r="AF46" s="116"/>
      <c r="AG46" s="116"/>
    </row>
    <row r="47" spans="1:33" x14ac:dyDescent="0.2">
      <c r="A47" s="38" t="s">
        <v>381</v>
      </c>
      <c r="B47" s="1" t="s">
        <v>241</v>
      </c>
      <c r="C47" s="1" t="s">
        <v>380</v>
      </c>
      <c r="D47" s="11" t="s">
        <v>369</v>
      </c>
      <c r="E47" s="75">
        <v>84070868.940847903</v>
      </c>
      <c r="F47" s="75">
        <v>12303761.802295994</v>
      </c>
      <c r="G47" s="75">
        <v>15025178.919146514</v>
      </c>
      <c r="H47" s="75">
        <v>3340696.4303907207</v>
      </c>
      <c r="I47" s="75">
        <v>1502014.0938671341</v>
      </c>
      <c r="J47" s="75">
        <v>330443.10065076948</v>
      </c>
      <c r="K47" s="75">
        <v>555745.21473083959</v>
      </c>
      <c r="L47" s="75"/>
      <c r="M47" s="75"/>
      <c r="N47" s="75">
        <v>120161.12750937072</v>
      </c>
      <c r="O47" s="75">
        <v>495664.65097615425</v>
      </c>
      <c r="P47" s="75">
        <v>1601870.5522739366</v>
      </c>
      <c r="Q47" s="75">
        <v>1114535.9491913118</v>
      </c>
      <c r="R47" s="75">
        <v>12203209.286556343</v>
      </c>
      <c r="S47" s="75">
        <v>10006631.614976201</v>
      </c>
      <c r="T47" s="75">
        <v>2196577.6715801414</v>
      </c>
      <c r="U47" s="75"/>
      <c r="V47" s="75">
        <v>457224.20972786855</v>
      </c>
      <c r="W47" s="75">
        <v>462035.37788558996</v>
      </c>
      <c r="X47" s="75">
        <v>166581.4729460057</v>
      </c>
      <c r="Y47" s="75">
        <v>71907.556342190597</v>
      </c>
      <c r="Z47" s="75">
        <v>25276.605993993238</v>
      </c>
      <c r="AA47" s="75">
        <v>46821.271216469482</v>
      </c>
      <c r="AB47" s="116"/>
      <c r="AC47" s="116"/>
      <c r="AD47" s="116"/>
      <c r="AE47" s="116"/>
      <c r="AF47" s="116"/>
      <c r="AG47" s="116"/>
    </row>
    <row r="48" spans="1:33" x14ac:dyDescent="0.2">
      <c r="A48" s="38" t="s">
        <v>381</v>
      </c>
      <c r="B48" s="1" t="s">
        <v>241</v>
      </c>
      <c r="C48" s="1" t="s">
        <v>380</v>
      </c>
      <c r="D48" s="11" t="s">
        <v>272</v>
      </c>
      <c r="E48" s="75">
        <v>83012902.972092345</v>
      </c>
      <c r="F48" s="75">
        <v>12095328.177210357</v>
      </c>
      <c r="G48" s="75">
        <v>15100666.443491919</v>
      </c>
      <c r="H48" s="75">
        <v>3259111.4487671996</v>
      </c>
      <c r="I48" s="75">
        <v>1523936.9734243012</v>
      </c>
      <c r="J48" s="75">
        <v>335266.1341533463</v>
      </c>
      <c r="K48" s="75">
        <v>563856.68016699143</v>
      </c>
      <c r="L48" s="75"/>
      <c r="M48" s="75"/>
      <c r="N48" s="75">
        <v>121914.95787394411</v>
      </c>
      <c r="O48" s="75">
        <v>502899.20123001945</v>
      </c>
      <c r="P48" s="75">
        <v>1459622.0572047669</v>
      </c>
      <c r="Q48" s="75">
        <v>1091487.6009298358</v>
      </c>
      <c r="R48" s="75">
        <v>11699402.297161529</v>
      </c>
      <c r="S48" s="75">
        <v>9593509.8836724535</v>
      </c>
      <c r="T48" s="75">
        <v>2105892.4134890749</v>
      </c>
      <c r="U48" s="75"/>
      <c r="V48" s="75">
        <v>431120.25579984533</v>
      </c>
      <c r="W48" s="75">
        <v>440146.39406545862</v>
      </c>
      <c r="X48" s="75">
        <v>159749.85236848574</v>
      </c>
      <c r="Y48" s="75">
        <v>69654.692738324738</v>
      </c>
      <c r="Z48" s="75">
        <v>24256.126315770234</v>
      </c>
      <c r="AA48" s="75">
        <v>48459.40652673471</v>
      </c>
      <c r="AB48" s="116"/>
      <c r="AC48" s="116"/>
      <c r="AD48" s="116"/>
      <c r="AE48" s="116"/>
      <c r="AF48" s="116"/>
      <c r="AG48" s="116"/>
    </row>
    <row r="49" spans="1:33" x14ac:dyDescent="0.2">
      <c r="A49" s="38" t="s">
        <v>381</v>
      </c>
      <c r="B49" s="1" t="s">
        <v>241</v>
      </c>
      <c r="C49" s="1" t="s">
        <v>380</v>
      </c>
      <c r="D49" s="11" t="s">
        <v>273</v>
      </c>
      <c r="E49" s="75">
        <v>92447744.156517386</v>
      </c>
      <c r="F49" s="75">
        <v>13104536.164063388</v>
      </c>
      <c r="G49" s="75">
        <v>17703930.689890523</v>
      </c>
      <c r="H49" s="75">
        <v>3391254.427093978</v>
      </c>
      <c r="I49" s="75">
        <v>1835287.6302381982</v>
      </c>
      <c r="J49" s="75">
        <v>403763.27865240362</v>
      </c>
      <c r="K49" s="75">
        <v>679056.42318813328</v>
      </c>
      <c r="L49" s="75"/>
      <c r="M49" s="75"/>
      <c r="N49" s="75">
        <v>146823.01041905585</v>
      </c>
      <c r="O49" s="75">
        <v>605644.91797860549</v>
      </c>
      <c r="P49" s="75">
        <v>1100981.3070280538</v>
      </c>
      <c r="Q49" s="75">
        <v>1151709.1736435527</v>
      </c>
      <c r="R49" s="75">
        <v>11412197.391879521</v>
      </c>
      <c r="S49" s="75">
        <v>9358001.8613412064</v>
      </c>
      <c r="T49" s="75">
        <v>2054195.5305383138</v>
      </c>
      <c r="U49" s="75"/>
      <c r="V49" s="75">
        <v>391480.5098452816</v>
      </c>
      <c r="W49" s="75">
        <v>421710.69382939686</v>
      </c>
      <c r="X49" s="75">
        <v>155893.17182610268</v>
      </c>
      <c r="Y49" s="75">
        <v>72082.285961783855</v>
      </c>
      <c r="Z49" s="75">
        <v>22922.091418120981</v>
      </c>
      <c r="AA49" s="75">
        <v>63228.59310931174</v>
      </c>
      <c r="AB49" s="116"/>
      <c r="AC49" s="116"/>
      <c r="AD49" s="116"/>
      <c r="AE49" s="116"/>
      <c r="AF49" s="116"/>
      <c r="AG49" s="116"/>
    </row>
    <row r="50" spans="1:33" x14ac:dyDescent="0.2">
      <c r="A50" s="38" t="s">
        <v>380</v>
      </c>
      <c r="B50" s="1" t="s">
        <v>241</v>
      </c>
      <c r="C50" s="1" t="s">
        <v>381</v>
      </c>
      <c r="D50" s="11" t="s">
        <v>369</v>
      </c>
      <c r="E50" s="75">
        <v>142477586.38788429</v>
      </c>
      <c r="F50" s="75">
        <v>19882830.911316797</v>
      </c>
      <c r="G50" s="75">
        <v>25896731.637556687</v>
      </c>
      <c r="H50" s="75">
        <v>5845075.7018370144</v>
      </c>
      <c r="I50" s="75">
        <v>2761229.1746592321</v>
      </c>
      <c r="J50" s="75">
        <v>607470.41842503112</v>
      </c>
      <c r="K50" s="75">
        <v>1021654.7946239159</v>
      </c>
      <c r="L50" s="75"/>
      <c r="M50" s="75"/>
      <c r="N50" s="75">
        <v>220898.33397273859</v>
      </c>
      <c r="O50" s="75">
        <v>911205.62763754663</v>
      </c>
      <c r="P50" s="75">
        <v>2405212.9336938057</v>
      </c>
      <c r="Q50" s="75">
        <v>1932309.358099062</v>
      </c>
      <c r="R50" s="75">
        <v>19796384.787703376</v>
      </c>
      <c r="S50" s="75">
        <v>16233035.525916768</v>
      </c>
      <c r="T50" s="75">
        <v>3563349.2617866076</v>
      </c>
      <c r="U50" s="75"/>
      <c r="V50" s="75">
        <v>739460.40615783492</v>
      </c>
      <c r="W50" s="75">
        <v>749001.65324588807</v>
      </c>
      <c r="X50" s="75">
        <v>279151.62269388459</v>
      </c>
      <c r="Y50" s="75">
        <v>115393.27591595113</v>
      </c>
      <c r="Z50" s="75">
        <v>42654.077261856051</v>
      </c>
      <c r="AA50" s="75">
        <v>83074.294435969656</v>
      </c>
      <c r="AB50" s="116"/>
      <c r="AC50" s="116"/>
      <c r="AD50" s="116"/>
      <c r="AE50" s="116"/>
      <c r="AF50" s="116"/>
      <c r="AG50" s="116"/>
    </row>
    <row r="51" spans="1:33" x14ac:dyDescent="0.2">
      <c r="A51" s="38" t="s">
        <v>380</v>
      </c>
      <c r="B51" s="1" t="s">
        <v>241</v>
      </c>
      <c r="C51" s="1" t="s">
        <v>381</v>
      </c>
      <c r="D51" s="11" t="s">
        <v>272</v>
      </c>
      <c r="E51" s="75">
        <v>143211733.76900032</v>
      </c>
      <c r="F51" s="75">
        <v>19642236.933646385</v>
      </c>
      <c r="G51" s="75">
        <v>26619470.447396167</v>
      </c>
      <c r="H51" s="75">
        <v>5749641.6919818399</v>
      </c>
      <c r="I51" s="75">
        <v>2888256.7197292158</v>
      </c>
      <c r="J51" s="75">
        <v>635416.47834042751</v>
      </c>
      <c r="K51" s="75">
        <v>1068654.9862998098</v>
      </c>
      <c r="L51" s="75"/>
      <c r="M51" s="75"/>
      <c r="N51" s="75">
        <v>231060.53757833727</v>
      </c>
      <c r="O51" s="75">
        <v>953124.71751064132</v>
      </c>
      <c r="P51" s="75">
        <v>2062246.8066089256</v>
      </c>
      <c r="Q51" s="75">
        <v>1898955.8774050861</v>
      </c>
      <c r="R51" s="75">
        <v>18798134.229645327</v>
      </c>
      <c r="S51" s="75">
        <v>15414470.068309167</v>
      </c>
      <c r="T51" s="75">
        <v>3383664.1613361589</v>
      </c>
      <c r="U51" s="75"/>
      <c r="V51" s="75">
        <v>683604.57898649224</v>
      </c>
      <c r="W51" s="75">
        <v>706357.15674287197</v>
      </c>
      <c r="X51" s="75">
        <v>265583.71993529465</v>
      </c>
      <c r="Y51" s="75">
        <v>112024.39494891751</v>
      </c>
      <c r="Z51" s="75">
        <v>40316.502719909178</v>
      </c>
      <c r="AA51" s="75">
        <v>89467.838221148457</v>
      </c>
      <c r="AB51" s="116"/>
      <c r="AC51" s="116"/>
      <c r="AD51" s="116"/>
      <c r="AE51" s="116"/>
      <c r="AF51" s="116"/>
      <c r="AG51" s="116"/>
    </row>
    <row r="52" spans="1:33" x14ac:dyDescent="0.2">
      <c r="A52" s="38" t="s">
        <v>380</v>
      </c>
      <c r="B52" s="1" t="s">
        <v>241</v>
      </c>
      <c r="C52" s="1" t="s">
        <v>381</v>
      </c>
      <c r="D52" s="11" t="s">
        <v>273</v>
      </c>
      <c r="E52" s="75">
        <v>153481233.57945609</v>
      </c>
      <c r="F52" s="75">
        <v>21207918.650691148</v>
      </c>
      <c r="G52" s="75">
        <v>29559797.028528504</v>
      </c>
      <c r="H52" s="75">
        <v>5840529.8331398461</v>
      </c>
      <c r="I52" s="75">
        <v>3218578.2140595946</v>
      </c>
      <c r="J52" s="75">
        <v>708087.20709311077</v>
      </c>
      <c r="K52" s="75">
        <v>1190873.93920205</v>
      </c>
      <c r="L52" s="75"/>
      <c r="M52" s="75"/>
      <c r="N52" s="75">
        <v>257486.25712476758</v>
      </c>
      <c r="O52" s="75">
        <v>1062130.8106396662</v>
      </c>
      <c r="P52" s="75">
        <v>1669005.6115043422</v>
      </c>
      <c r="Q52" s="75">
        <v>1984528.5906904011</v>
      </c>
      <c r="R52" s="75">
        <v>18565995.719002135</v>
      </c>
      <c r="S52" s="75">
        <v>15224116.489581751</v>
      </c>
      <c r="T52" s="75">
        <v>3341879.2294203844</v>
      </c>
      <c r="U52" s="75"/>
      <c r="V52" s="75">
        <v>638900.16994683864</v>
      </c>
      <c r="W52" s="75">
        <v>685861.28751904913</v>
      </c>
      <c r="X52" s="75">
        <v>263519.04389371444</v>
      </c>
      <c r="Y52" s="75">
        <v>115202.00059049469</v>
      </c>
      <c r="Z52" s="75">
        <v>38693.189538542196</v>
      </c>
      <c r="AA52" s="75">
        <v>106627.28754357883</v>
      </c>
      <c r="AB52" s="116"/>
      <c r="AC52" s="116"/>
      <c r="AD52" s="116"/>
      <c r="AE52" s="116"/>
      <c r="AF52" s="116"/>
      <c r="AG52" s="116"/>
    </row>
    <row r="53" spans="1:33" x14ac:dyDescent="0.2">
      <c r="A53" s="38" t="s">
        <v>380</v>
      </c>
      <c r="B53" s="1" t="s">
        <v>241</v>
      </c>
      <c r="C53" s="1" t="s">
        <v>380</v>
      </c>
      <c r="D53" s="11" t="s">
        <v>369</v>
      </c>
      <c r="E53" s="75">
        <v>57961903.107350066</v>
      </c>
      <c r="F53" s="75">
        <v>8415466.407931257</v>
      </c>
      <c r="G53" s="75">
        <v>10861300.186251217</v>
      </c>
      <c r="H53" s="75">
        <v>2386495.5990802976</v>
      </c>
      <c r="I53" s="75">
        <v>1049304.5694301098</v>
      </c>
      <c r="J53" s="75">
        <v>230847.00527462416</v>
      </c>
      <c r="K53" s="75">
        <v>388242.69068914064</v>
      </c>
      <c r="L53" s="75"/>
      <c r="M53" s="75"/>
      <c r="N53" s="75">
        <v>83944.365554408781</v>
      </c>
      <c r="O53" s="75">
        <v>346270.50791193626</v>
      </c>
      <c r="P53" s="75">
        <v>1088524.2286899623</v>
      </c>
      <c r="Q53" s="75">
        <v>774761.88700650481</v>
      </c>
      <c r="R53" s="75">
        <v>8505388.2985789403</v>
      </c>
      <c r="S53" s="75">
        <v>6974418.4048347306</v>
      </c>
      <c r="T53" s="75">
        <v>1530969.8937442093</v>
      </c>
      <c r="U53" s="75"/>
      <c r="V53" s="75">
        <v>313731.90516226465</v>
      </c>
      <c r="W53" s="75">
        <v>314449.59892680566</v>
      </c>
      <c r="X53" s="75">
        <v>113383.74556340056</v>
      </c>
      <c r="Y53" s="75">
        <v>49040.773300146859</v>
      </c>
      <c r="Z53" s="75">
        <v>19278.559931631531</v>
      </c>
      <c r="AA53" s="75">
        <v>32147.68246717269</v>
      </c>
      <c r="AB53" s="116"/>
      <c r="AC53" s="116"/>
      <c r="AD53" s="116"/>
      <c r="AE53" s="116"/>
      <c r="AF53" s="116"/>
      <c r="AG53" s="116"/>
    </row>
    <row r="54" spans="1:33" x14ac:dyDescent="0.2">
      <c r="A54" s="38" t="s">
        <v>380</v>
      </c>
      <c r="B54" s="1" t="s">
        <v>241</v>
      </c>
      <c r="C54" s="1" t="s">
        <v>380</v>
      </c>
      <c r="D54" s="11" t="s">
        <v>272</v>
      </c>
      <c r="E54" s="75">
        <v>57250857.00979156</v>
      </c>
      <c r="F54" s="75">
        <v>8275288.0456167664</v>
      </c>
      <c r="G54" s="75">
        <v>10908000.441159761</v>
      </c>
      <c r="H54" s="75">
        <v>2331802.7525232811</v>
      </c>
      <c r="I54" s="75">
        <v>1064818.9791357832</v>
      </c>
      <c r="J54" s="75">
        <v>234260.17540987229</v>
      </c>
      <c r="K54" s="75">
        <v>393983.02228023979</v>
      </c>
      <c r="L54" s="75"/>
      <c r="M54" s="75"/>
      <c r="N54" s="75">
        <v>85185.518330862658</v>
      </c>
      <c r="O54" s="75">
        <v>351390.26311480848</v>
      </c>
      <c r="P54" s="75">
        <v>993553.75210778322</v>
      </c>
      <c r="Q54" s="75">
        <v>759255.87569585571</v>
      </c>
      <c r="R54" s="75">
        <v>8166841.4891125131</v>
      </c>
      <c r="S54" s="75">
        <v>6696810.0210722601</v>
      </c>
      <c r="T54" s="75">
        <v>1470031.4680402523</v>
      </c>
      <c r="U54" s="75"/>
      <c r="V54" s="75">
        <v>296234.11386120087</v>
      </c>
      <c r="W54" s="75">
        <v>299808.87648187042</v>
      </c>
      <c r="X54" s="75">
        <v>108781.02803057355</v>
      </c>
      <c r="Y54" s="75">
        <v>47534.434651513897</v>
      </c>
      <c r="Z54" s="75">
        <v>18580.935243805237</v>
      </c>
      <c r="AA54" s="75">
        <v>33258.743903592433</v>
      </c>
      <c r="AB54" s="116"/>
      <c r="AC54" s="116"/>
      <c r="AD54" s="116"/>
      <c r="AE54" s="116"/>
      <c r="AF54" s="116"/>
      <c r="AG54" s="116"/>
    </row>
    <row r="55" spans="1:33" x14ac:dyDescent="0.2">
      <c r="A55" s="38" t="s">
        <v>380</v>
      </c>
      <c r="B55" s="1" t="s">
        <v>241</v>
      </c>
      <c r="C55" s="1" t="s">
        <v>380</v>
      </c>
      <c r="D55" s="11" t="s">
        <v>273</v>
      </c>
      <c r="E55" s="75">
        <v>63446386.278707273</v>
      </c>
      <c r="F55" s="75">
        <v>8939658.6899417974</v>
      </c>
      <c r="G55" s="75">
        <v>12612501.202262608</v>
      </c>
      <c r="H55" s="75">
        <v>2413667.3685421227</v>
      </c>
      <c r="I55" s="75">
        <v>1268885.9454163883</v>
      </c>
      <c r="J55" s="75">
        <v>279154.90799160546</v>
      </c>
      <c r="K55" s="75">
        <v>469487.79980406369</v>
      </c>
      <c r="L55" s="75"/>
      <c r="M55" s="75"/>
      <c r="N55" s="75">
        <v>101510.87563331107</v>
      </c>
      <c r="O55" s="75">
        <v>418732.36198740819</v>
      </c>
      <c r="P55" s="75">
        <v>753856.12334568473</v>
      </c>
      <c r="Q55" s="75">
        <v>797001.621680532</v>
      </c>
      <c r="R55" s="75">
        <v>7962888.6641290514</v>
      </c>
      <c r="S55" s="75">
        <v>6529568.7045858214</v>
      </c>
      <c r="T55" s="75">
        <v>1433319.9595432291</v>
      </c>
      <c r="U55" s="75"/>
      <c r="V55" s="75">
        <v>269354.96429760841</v>
      </c>
      <c r="W55" s="75">
        <v>287134.37999217917</v>
      </c>
      <c r="X55" s="75">
        <v>106033.70531503976</v>
      </c>
      <c r="Y55" s="75">
        <v>49114.634121209565</v>
      </c>
      <c r="Z55" s="75">
        <v>17628.637012250303</v>
      </c>
      <c r="AA55" s="75">
        <v>42984.813831124287</v>
      </c>
      <c r="AB55" s="116"/>
      <c r="AC55" s="116"/>
      <c r="AD55" s="116"/>
      <c r="AE55" s="116"/>
      <c r="AF55" s="116"/>
      <c r="AG55" s="116"/>
    </row>
    <row r="56" spans="1:33" x14ac:dyDescent="0.2">
      <c r="AB56" s="116"/>
      <c r="AC56" s="116"/>
      <c r="AD56" s="116"/>
      <c r="AE56" s="116"/>
      <c r="AF56" s="116"/>
      <c r="AG56" s="116"/>
    </row>
    <row r="58" spans="1:33" x14ac:dyDescent="0.2">
      <c r="AF58" s="203">
        <f>SUM(AF44:AF55)/12</f>
        <v>0</v>
      </c>
    </row>
  </sheetData>
  <pageMargins left="0.7" right="0.7" top="0.75" bottom="0.75" header="0.3" footer="0.3"/>
  <pageSetup paperSize="9" orientation="portrait" horizontalDpi="4294967293"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F2D30-F001-4447-B54E-6D4085D7F3FB}">
  <sheetPr>
    <tabColor theme="4" tint="-0.249977111117893"/>
  </sheetPr>
  <dimension ref="A1:AO135"/>
  <sheetViews>
    <sheetView zoomScale="70" zoomScaleNormal="70" workbookViewId="0">
      <selection activeCell="L34" sqref="L34"/>
    </sheetView>
  </sheetViews>
  <sheetFormatPr baseColWidth="10" defaultColWidth="8.83203125" defaultRowHeight="15" x14ac:dyDescent="0.2"/>
  <cols>
    <col min="1" max="1" width="13.6640625" customWidth="1"/>
    <col min="2" max="2" width="10.5" customWidth="1"/>
    <col min="3" max="3" width="10.83203125" customWidth="1"/>
    <col min="4" max="10" width="9.33203125" bestFit="1" customWidth="1"/>
    <col min="11" max="11" width="9.83203125" customWidth="1"/>
    <col min="12" max="17" width="9.33203125" bestFit="1" customWidth="1"/>
    <col min="27" max="28" width="21.1640625" customWidth="1"/>
    <col min="29" max="29" width="7.5" customWidth="1"/>
  </cols>
  <sheetData>
    <row r="1" spans="1:40" s="93" customFormat="1" ht="57" thickBot="1" x14ac:dyDescent="0.25">
      <c r="A1" s="87" t="s">
        <v>245</v>
      </c>
      <c r="B1" s="88" t="s">
        <v>233</v>
      </c>
      <c r="C1" s="89" t="s">
        <v>242</v>
      </c>
      <c r="D1" s="90" t="s">
        <v>88</v>
      </c>
      <c r="E1" s="91" t="s">
        <v>177</v>
      </c>
      <c r="F1" s="91" t="s">
        <v>191</v>
      </c>
      <c r="G1" s="91" t="s">
        <v>193</v>
      </c>
      <c r="H1" s="91" t="s">
        <v>237</v>
      </c>
      <c r="I1" s="91" t="s">
        <v>199</v>
      </c>
      <c r="J1" s="91" t="s">
        <v>197</v>
      </c>
      <c r="K1" s="91" t="s">
        <v>196</v>
      </c>
      <c r="L1" s="91" t="s">
        <v>194</v>
      </c>
      <c r="M1" s="91" t="s">
        <v>246</v>
      </c>
      <c r="N1" s="91" t="s">
        <v>205</v>
      </c>
      <c r="O1" s="91" t="s">
        <v>92</v>
      </c>
      <c r="P1" s="91" t="s">
        <v>247</v>
      </c>
      <c r="Q1" s="91" t="s">
        <v>239</v>
      </c>
      <c r="R1" s="91" t="s">
        <v>240</v>
      </c>
      <c r="S1" s="91" t="s">
        <v>344</v>
      </c>
      <c r="T1" s="91" t="s">
        <v>435</v>
      </c>
      <c r="U1" s="91" t="s">
        <v>180</v>
      </c>
      <c r="V1" s="91" t="s">
        <v>86</v>
      </c>
      <c r="W1" s="91" t="s">
        <v>87</v>
      </c>
      <c r="X1" s="91" t="s">
        <v>218</v>
      </c>
      <c r="Y1" s="92" t="s">
        <v>220</v>
      </c>
      <c r="Z1" s="131"/>
    </row>
    <row r="2" spans="1:40" x14ac:dyDescent="0.2">
      <c r="A2" s="94"/>
      <c r="B2" s="69" t="s">
        <v>378</v>
      </c>
      <c r="C2" s="79" t="s">
        <v>243</v>
      </c>
      <c r="D2" s="80">
        <f>(Demand!E2-Primary_secondary_demand!D3/GHG_Secondary_production!L6)*GHG_Primary_production!I4</f>
        <v>22904023.228671234</v>
      </c>
      <c r="E2" s="78">
        <f>Primary_secondary_demand!E2*GHG_Primary_production!I3</f>
        <v>10084294.544829873</v>
      </c>
      <c r="F2" s="78">
        <f>Primary_secondary_demand!F2*((GHG_Primary_production!I5+GHG_Primary_production!I8+GHG_Primary_production!I20+GHG_Primary_production!I26)/4)</f>
        <v>8444861.8240651488</v>
      </c>
      <c r="G2" s="78">
        <f>Primary_secondary_demand!G2*GHG_Primary_production!I24</f>
        <v>4182512.1241263379</v>
      </c>
      <c r="H2" s="78">
        <f>(Demand!J2-Primary_secondary_demand!H3/GHG_Secondary_production!L19)*GHG_Primary_production!I14</f>
        <v>841406.67599167663</v>
      </c>
      <c r="I2" s="78">
        <f>(Demand!K2-Primary_secondary_demand!I3/GHG_Secondary_production!L22)*GHG_Primary_production!I15-P3</f>
        <v>3692911.8989954861</v>
      </c>
      <c r="J2" s="78">
        <v>0</v>
      </c>
      <c r="K2" s="78">
        <f>Primary_secondary_demand!K2*GHG_Primary_production!I17</f>
        <v>1277938.0335073248</v>
      </c>
      <c r="L2" s="78">
        <f>Primary_secondary_demand!L2*GHG_Primary_production!I16</f>
        <v>1839732.4281593077</v>
      </c>
      <c r="M2" s="78">
        <v>0</v>
      </c>
      <c r="N2" s="78">
        <f>Primary_secondary_demand!N2*GHG_Primary_production!I21</f>
        <v>1806992.6420278116</v>
      </c>
      <c r="O2" s="78">
        <f>Primary_secondary_demand!O2*GHG_Primary_production!I9</f>
        <v>1792776.5469610915</v>
      </c>
      <c r="P2" s="78">
        <v>0</v>
      </c>
      <c r="Q2" s="78">
        <f>Primary_secondary_demand!Q2*(GHG_Primary_production!I10*GHG_Primary_production!J10+GHG_Primary_production!I11*GHG_Primary_production!J11)</f>
        <v>1239264.6916609795</v>
      </c>
      <c r="R2" s="78">
        <f>Primary_secondary_demand!R2*GHG_Primary_production!I12</f>
        <v>216922.75022854889</v>
      </c>
      <c r="S2" s="78">
        <v>0</v>
      </c>
      <c r="T2" s="184">
        <f>Primary_secondary_demand!T2*((GHG_Primary_production!I6*0.5+GHG_Primary_production!I7*0.5+GHG_Primary_production!I23+GHG_Primary_production!I25)/3)</f>
        <v>3705616.1302753165</v>
      </c>
      <c r="U2" s="78">
        <f>Primary_secondary_demand!U2*GHG_Primary_production!I27</f>
        <v>1285920.9574877166</v>
      </c>
      <c r="V2" s="78">
        <f>Primary_secondary_demand!V2*GHG_Primary_production!I2</f>
        <v>6434987.3997380631</v>
      </c>
      <c r="W2" s="78">
        <f>Primary_secondary_demand!W2*GHG_Primary_production!I22</f>
        <v>661806.35337521462</v>
      </c>
      <c r="X2" s="78">
        <f>Primary_secondary_demand!X2*GHG_Primary_production!I24</f>
        <v>0</v>
      </c>
      <c r="Y2" s="81">
        <f>Primary_secondary_demand!Y2*GHG_Primary_production!I12</f>
        <v>8420.4290874170256</v>
      </c>
      <c r="Z2" s="75"/>
    </row>
    <row r="3" spans="1:40" ht="16" thickBot="1" x14ac:dyDescent="0.25">
      <c r="A3" s="95"/>
      <c r="B3" s="66"/>
      <c r="C3" s="68" t="s">
        <v>244</v>
      </c>
      <c r="D3" s="84">
        <f>(Primary_secondary_demand!D3/GHG_Secondary_production!L6)*GHG_Secondary_production!I6</f>
        <v>21690518.294441257</v>
      </c>
      <c r="E3" s="75">
        <f>Primary_secondary_demand!E3*(GHG_Secondary_production!I4+GHG_Secondary_production!I5)</f>
        <v>2243935.9294439331</v>
      </c>
      <c r="F3" s="75">
        <f>Primary_secondary_demand!F3*(((GHG_Secondary_production!I7+GHG_Secondary_production!I8)+(GHG_Secondary_production!I11+GHG_Secondary_production!I12)+(GHG_Secondary_production!I4+GHG_Secondary_production!I5))/3)</f>
        <v>2475328.4550564042</v>
      </c>
      <c r="G3" s="75">
        <f>Primary_secondary_demand!G3*GHG_Secondary_production!I24</f>
        <v>3500597.4657610902</v>
      </c>
      <c r="H3" s="75">
        <f>(Primary_secondary_demand!H3/GHG_Secondary_production!L19)*GHG_Secondary_production!I19</f>
        <v>304022.05482768983</v>
      </c>
      <c r="I3" s="75">
        <f>(Primary_secondary_demand!I3/GHG_Secondary_production!L22)*GHG_Secondary_production!I22</f>
        <v>267724.57031468948</v>
      </c>
      <c r="J3" s="75">
        <f>(Primary_secondary_demand!J3/GHG_Secondary_production!L21)*GHG_Secondary_production!I21</f>
        <v>4365168.0749450307</v>
      </c>
      <c r="K3" s="75">
        <f>Primary_secondary_demand!K3</f>
        <v>0</v>
      </c>
      <c r="L3" s="75">
        <f>Primary_secondary_demand!L3</f>
        <v>0</v>
      </c>
      <c r="M3" s="75">
        <v>0</v>
      </c>
      <c r="N3" s="75">
        <f>Primary_secondary_demand!N3*(GHG_Secondary_production!I4+GHG_Secondary_production!I5)</f>
        <v>115940.56521994834</v>
      </c>
      <c r="O3" s="75">
        <f>Primary_secondary_demand!O3*(GHG_Secondary_production!I13+GHG_Secondary_production!I14)</f>
        <v>389120.67971193965</v>
      </c>
      <c r="P3" s="75">
        <f>(Primary_secondary_demand!P3/GHG_Secondary_production!L15)*GHG_Secondary_production!I15</f>
        <v>0</v>
      </c>
      <c r="Q3" s="75">
        <f>Primary_secondary_demand!Q3*(GHG_Secondary_production!I16+GHG_Secondary_production!I18)</f>
        <v>123991.4732722906</v>
      </c>
      <c r="R3" s="75">
        <f>Primary_secondary_demand!R3*(GHG_Secondary_production!I17+GHG_Secondary_production!I18)</f>
        <v>771958.29745182232</v>
      </c>
      <c r="S3" s="75">
        <v>0</v>
      </c>
      <c r="T3" s="185">
        <f>Primary_secondary_demand!T3*((GHG_Secondary_production!I26+GHG_Secondary_production!I25+(GHG_Secondary_production!I23+GHG_Secondary_production!I28)/2)/2)</f>
        <v>0</v>
      </c>
      <c r="U3" s="75">
        <f>Primary_secondary_demand!U3*GHG_Secondary_production!I28</f>
        <v>183464.37487369718</v>
      </c>
      <c r="V3" s="75">
        <f>Primary_secondary_demand!V3*(GHG_Secondary_production!I2+GHG_Secondary_production!I3)</f>
        <v>339368.58867847035</v>
      </c>
      <c r="W3" s="75">
        <f>Primary_secondary_demand!W3*GHG_Secondary_production!I23</f>
        <v>13419.415060162644</v>
      </c>
      <c r="X3" s="75">
        <f>Primary_secondary_demand!X3*GHG_Secondary_production!I24</f>
        <v>27275.570112693804</v>
      </c>
      <c r="Y3" s="85">
        <f>Primary_secondary_demand!Y3</f>
        <v>0</v>
      </c>
      <c r="Z3" s="75"/>
    </row>
    <row r="4" spans="1:40" x14ac:dyDescent="0.2">
      <c r="A4" s="94"/>
      <c r="B4" s="69" t="s">
        <v>236</v>
      </c>
      <c r="C4" s="79" t="s">
        <v>243</v>
      </c>
      <c r="D4" s="80">
        <f>(Demand!E20-Primary_secondary_demand!D5/GHG_Secondary_production!L6)*GHG_Primary_production!I4</f>
        <v>0</v>
      </c>
      <c r="E4" s="78">
        <f>Primary_secondary_demand!E4*GHG_Primary_production!I3</f>
        <v>2496058.5337263769</v>
      </c>
      <c r="F4" s="78">
        <f>Primary_secondary_demand!F4*((GHG_Primary_production!I5+GHG_Primary_production!I8+GHG_Primary_production!I20+GHG_Primary_production!I26)/4)</f>
        <v>8568821.351881478</v>
      </c>
      <c r="G4" s="78">
        <f>Primary_secondary_demand!G4*GHG_Primary_production!I24</f>
        <v>0</v>
      </c>
      <c r="H4" s="78">
        <f>(Demand!J20-Primary_secondary_demand!H5/GHG_Secondary_production!L19)*GHG_Primary_production!I14</f>
        <v>467224.38807442458</v>
      </c>
      <c r="I4" s="78">
        <f>(Demand!K20-Primary_secondary_demand!I5/GHG_Secondary_production!L22)*GHG_Primary_production!I15-P5</f>
        <v>2404573.6634321138</v>
      </c>
      <c r="J4" s="78">
        <v>0</v>
      </c>
      <c r="K4" s="78">
        <f>Primary_secondary_demand!K4*GHG_Primary_production!I17</f>
        <v>0</v>
      </c>
      <c r="L4" s="78">
        <f>Primary_secondary_demand!L4*GHG_Primary_production!I16</f>
        <v>0</v>
      </c>
      <c r="M4" s="78">
        <f>(Demand!O20-Primary_secondary_demand!M5/GHG_Secondary_production!L20)*GHG_Primary_production!I19</f>
        <v>134486.46692363758</v>
      </c>
      <c r="N4" s="78">
        <f>Primary_secondary_demand!N4*GHG_Primary_production!I21</f>
        <v>1806992.6420278116</v>
      </c>
      <c r="O4" s="78">
        <f>Primary_secondary_demand!O4*GHG_Primary_production!I9</f>
        <v>1792776.5469610915</v>
      </c>
      <c r="P4" s="78">
        <v>0</v>
      </c>
      <c r="Q4" s="78">
        <f>Primary_secondary_demand!Q4*(GHG_Primary_production!I10*GHG_Primary_production!J10+GHG_Primary_production!I11*GHG_Primary_production!J11)</f>
        <v>2381541.4686582955</v>
      </c>
      <c r="R4" s="78">
        <f>Primary_secondary_demand!R4*GHG_Primary_production!I12</f>
        <v>416868.59041572863</v>
      </c>
      <c r="S4" s="78">
        <f>Primary_secondary_demand!S4*GHG_Primary_production!I13</f>
        <v>7989919.1979459068</v>
      </c>
      <c r="T4" s="184">
        <f>Primary_secondary_demand!T4*((GHG_Primary_production!I6*0.5+GHG_Primary_production!I7*0.5+GHG_Primary_production!I23+GHG_Primary_production!I25)/3)</f>
        <v>5015432.8030391438</v>
      </c>
      <c r="U4" s="78">
        <f>Primary_secondary_demand!U4*GHG_Primary_production!I27</f>
        <v>1319663.1751365154</v>
      </c>
      <c r="V4" s="78">
        <f>Primary_secondary_demand!V4*GHG_Primary_production!I2</f>
        <v>2857074.3682077737</v>
      </c>
      <c r="W4" s="78">
        <f>Primary_secondary_demand!W4*GHG_Primary_production!I22</f>
        <v>661806.35337521462</v>
      </c>
      <c r="X4" s="78">
        <f>Primary_secondary_demand!X4*GHG_Primary_production!I24</f>
        <v>0</v>
      </c>
      <c r="Y4" s="81">
        <f>Primary_secondary_demand!Y4*GHG_Primary_production!I12</f>
        <v>31608.647652495609</v>
      </c>
      <c r="Z4" s="75"/>
    </row>
    <row r="5" spans="1:40" ht="16" thickBot="1" x14ac:dyDescent="0.25">
      <c r="A5" s="95"/>
      <c r="B5" s="66"/>
      <c r="C5" s="68" t="s">
        <v>244</v>
      </c>
      <c r="D5" s="82">
        <f>(Primary_secondary_demand!D5/GHG_Secondary_production!L6)*GHG_Secondary_production!I6</f>
        <v>15247015.115948088</v>
      </c>
      <c r="E5" s="76">
        <f>Primary_secondary_demand!E5*(GHG_Secondary_production!I4+GHG_Secondary_production!I5)</f>
        <v>799020.31385763176</v>
      </c>
      <c r="F5" s="76">
        <f>Primary_secondary_demand!F5*(((GHG_Secondary_production!I7+GHG_Secondary_production!I8)+(GHG_Secondary_production!I11+GHG_Secondary_production!I12)+(GHG_Secondary_production!I4+GHG_Secondary_production!I5))/3)</f>
        <v>2511663.0396679272</v>
      </c>
      <c r="G5" s="76">
        <f>Primary_secondary_demand!G5*GHG_Secondary_production!I24</f>
        <v>2524901.4165378772</v>
      </c>
      <c r="H5" s="76">
        <f>(Primary_secondary_demand!H5/GHG_Secondary_production!L19)*GHG_Secondary_production!I19</f>
        <v>304022.05482768983</v>
      </c>
      <c r="I5" s="76">
        <f>(Primary_secondary_demand!I5/GHG_Secondary_production!L22)*GHG_Secondary_production!I22</f>
        <v>267724.57031468948</v>
      </c>
      <c r="J5" s="76">
        <v>0</v>
      </c>
      <c r="K5" s="76">
        <f>Primary_secondary_demand!K5</f>
        <v>0</v>
      </c>
      <c r="L5" s="76">
        <f>Primary_secondary_demand!L5</f>
        <v>0</v>
      </c>
      <c r="M5" s="76">
        <f>(Primary_secondary_demand!M5/GHG_Secondary_production!L20)*GHG_Secondary_production!I20</f>
        <v>501.14097742134248</v>
      </c>
      <c r="N5" s="76">
        <f>Primary_secondary_demand!N5*(GHG_Secondary_production!I4+GHG_Secondary_production!I5)</f>
        <v>115940.56521994834</v>
      </c>
      <c r="O5" s="76">
        <f>Primary_secondary_demand!O5*(GHG_Secondary_production!I13+GHG_Secondary_production!I14)</f>
        <v>389120.67971193965</v>
      </c>
      <c r="P5" s="76">
        <f>(Primary_secondary_demand!P5/GHG_Secondary_production!L15)*GHG_Secondary_production!I15</f>
        <v>0</v>
      </c>
      <c r="Q5" s="76">
        <f>Primary_secondary_demand!Q5*(GHG_Secondary_production!I16+GHG_Secondary_production!I18)</f>
        <v>123991.4732722906</v>
      </c>
      <c r="R5" s="76">
        <f>Primary_secondary_demand!R5*(GHG_Secondary_production!I17+GHG_Secondary_production!I18)</f>
        <v>771958.29745182232</v>
      </c>
      <c r="S5" s="76">
        <v>0</v>
      </c>
      <c r="T5" s="186">
        <f>Primary_secondary_demand!T5*((GHG_Secondary_production!I26+GHG_Secondary_production!I25+(GHG_Secondary_production!I23+GHG_Secondary_production!I28)/2)/2)</f>
        <v>0</v>
      </c>
      <c r="U5" s="76">
        <f>Primary_secondary_demand!U5*GHG_Secondary_production!I28</f>
        <v>183464.37487369718</v>
      </c>
      <c r="V5" s="76">
        <f>Primary_secondary_demand!V5*(GHG_Secondary_production!I2+GHG_Secondary_production!I3)</f>
        <v>339368.58867847035</v>
      </c>
      <c r="W5" s="76">
        <f>Primary_secondary_demand!W5*GHG_Secondary_production!I23</f>
        <v>13419.415060162644</v>
      </c>
      <c r="X5" s="76">
        <f>Primary_secondary_demand!X5*GHG_Secondary_production!I24</f>
        <v>24778.708416011159</v>
      </c>
      <c r="Y5" s="83">
        <f>Primary_secondary_demand!Y5</f>
        <v>0</v>
      </c>
      <c r="Z5" s="75"/>
    </row>
    <row r="6" spans="1:40" x14ac:dyDescent="0.2">
      <c r="A6" s="96"/>
      <c r="B6" s="60" t="s">
        <v>241</v>
      </c>
      <c r="C6" s="57" t="s">
        <v>243</v>
      </c>
      <c r="D6" s="84">
        <f>(Demand!E38-Primary_secondary_demand!D7/GHG_Secondary_production!L6)*GHG_Primary_production!I4</f>
        <v>205583.96352947</v>
      </c>
      <c r="E6" s="75">
        <f>Primary_secondary_demand!E6*GHG_Primary_production!I3</f>
        <v>4451293.9503806178</v>
      </c>
      <c r="F6" s="75">
        <f>Primary_secondary_demand!F6*((GHG_Primary_production!I5+GHG_Primary_production!I8+GHG_Primary_production!I20+GHG_Primary_production!I26)/4)</f>
        <v>7332334.4451537523</v>
      </c>
      <c r="G6" s="75">
        <f>Primary_secondary_demand!G6*GHG_Primary_production!I24</f>
        <v>1281368.3515326846</v>
      </c>
      <c r="H6" s="75">
        <f>(Demand!J38-Primary_secondary_demand!H7/GHG_Secondary_production!L19)*GHG_Primary_production!I14</f>
        <v>361220.26074643346</v>
      </c>
      <c r="I6" s="75">
        <f>(Demand!K38-Primary_secondary_demand!I7/GHG_Secondary_production!L22)*GHG_Primary_production!I15-P7</f>
        <v>2039593.345618726</v>
      </c>
      <c r="J6" s="75">
        <v>0</v>
      </c>
      <c r="K6" s="75">
        <f>Primary_secondary_demand!K6*GHG_Primary_production!I17</f>
        <v>0</v>
      </c>
      <c r="L6" s="75">
        <f>Primary_secondary_demand!L6*GHG_Primary_production!I16</f>
        <v>1222499.7836241964</v>
      </c>
      <c r="M6" s="75">
        <f>(Demand!O38-Primary_secondary_demand!M7/GHG_Secondary_production!L20)*GHG_Primary_production!I19</f>
        <v>97071.988771978926</v>
      </c>
      <c r="N6" s="75">
        <f>Primary_secondary_demand!N6*GHG_Primary_production!I21</f>
        <v>1806992.6420278116</v>
      </c>
      <c r="O6" s="75">
        <f>Primary_secondary_demand!O6*GHG_Primary_production!I9</f>
        <v>1792776.5469610915</v>
      </c>
      <c r="P6" s="75">
        <v>0</v>
      </c>
      <c r="Q6" s="75">
        <f>Primary_secondary_demand!Q6*(GHG_Primary_production!I10*GHG_Primary_production!J10+GHG_Primary_production!I11*GHG_Primary_production!J11)</f>
        <v>1802258.582476675</v>
      </c>
      <c r="R6" s="75">
        <f>Primary_secondary_demand!R6*GHG_Primary_production!I12</f>
        <v>315470.04523291724</v>
      </c>
      <c r="S6" s="75">
        <v>0</v>
      </c>
      <c r="T6" s="185">
        <f>Primary_secondary_demand!T6*((GHG_Primary_production!I6*0.5+GHG_Primary_production!I7*0.5+GHG_Primary_production!I23+GHG_Primary_production!I25)/3)</f>
        <v>3610268.7279714667</v>
      </c>
      <c r="U6" s="75">
        <f>Primary_secondary_demand!U6*GHG_Primary_production!I27</f>
        <v>1439728.2527041249</v>
      </c>
      <c r="V6" s="75">
        <f>Primary_secondary_demand!V6*GHG_Primary_production!I2</f>
        <v>2805907.8538520802</v>
      </c>
      <c r="W6" s="75">
        <f>Primary_secondary_demand!W6*GHG_Primary_production!I22</f>
        <v>661806.35337521462</v>
      </c>
      <c r="X6" s="75">
        <f>Primary_secondary_demand!X6*GHG_Primary_production!I24</f>
        <v>0</v>
      </c>
      <c r="Y6" s="85">
        <f>Primary_secondary_demand!Y6*GHG_Primary_production!I12</f>
        <v>8420.4290874170256</v>
      </c>
      <c r="Z6" s="75"/>
    </row>
    <row r="7" spans="1:40" ht="16" thickBot="1" x14ac:dyDescent="0.25">
      <c r="A7" s="95"/>
      <c r="B7" s="66"/>
      <c r="C7" s="68" t="s">
        <v>244</v>
      </c>
      <c r="D7" s="82">
        <f>(Primary_secondary_demand!D7/GHG_Secondary_production!L6)*GHG_Secondary_production!I6</f>
        <v>21690518.294441257</v>
      </c>
      <c r="E7" s="76">
        <f>Primary_secondary_demand!E7*(GHG_Secondary_production!I4+GHG_Secondary_production!I5)</f>
        <v>1424916.2194108984</v>
      </c>
      <c r="F7" s="76">
        <f>Primary_secondary_demand!F7*(((GHG_Secondary_production!I7+GHG_Secondary_production!I8)+(GHG_Secondary_production!I11+GHG_Secondary_production!I12)+(GHG_Secondary_production!I4+GHG_Secondary_production!I5))/3)</f>
        <v>2149228.3085506251</v>
      </c>
      <c r="G7" s="76">
        <f>Primary_secondary_demand!G7*GHG_Secondary_production!I24</f>
        <v>3500597.4657610902</v>
      </c>
      <c r="H7" s="76">
        <f>(Primary_secondary_demand!H7/GHG_Secondary_production!L19)*GHG_Secondary_production!I19</f>
        <v>304022.05482768983</v>
      </c>
      <c r="I7" s="76">
        <f>(Primary_secondary_demand!I7/GHG_Secondary_production!L22)*GHG_Secondary_production!I22</f>
        <v>267724.57031468948</v>
      </c>
      <c r="J7" s="76">
        <v>0</v>
      </c>
      <c r="K7" s="76">
        <f>Primary_secondary_demand!K7</f>
        <v>0</v>
      </c>
      <c r="L7" s="76">
        <f>Primary_secondary_demand!L7</f>
        <v>0</v>
      </c>
      <c r="M7" s="76">
        <f>(Primary_secondary_demand!M7/GHG_Secondary_production!L20)*GHG_Secondary_production!I20</f>
        <v>501.14097742134248</v>
      </c>
      <c r="N7" s="76">
        <f>Primary_secondary_demand!N7*(GHG_Secondary_production!I4+GHG_Secondary_production!I5)</f>
        <v>115940.56521994834</v>
      </c>
      <c r="O7" s="76">
        <f>Primary_secondary_demand!O7*(GHG_Secondary_production!I13+GHG_Secondary_production!I14)</f>
        <v>389120.67971193965</v>
      </c>
      <c r="P7" s="76">
        <f>(Primary_secondary_demand!P7/GHG_Secondary_production!L15)*GHG_Secondary_production!I15</f>
        <v>0</v>
      </c>
      <c r="Q7" s="76">
        <f>Primary_secondary_demand!Q7*(GHG_Secondary_production!I16+GHG_Secondary_production!I18)</f>
        <v>123991.4732722906</v>
      </c>
      <c r="R7" s="76">
        <f>Primary_secondary_demand!R7*(GHG_Secondary_production!I17+GHG_Secondary_production!I18)</f>
        <v>771958.29745182232</v>
      </c>
      <c r="S7" s="76">
        <v>0</v>
      </c>
      <c r="T7" s="186">
        <f>Primary_secondary_demand!T7*((GHG_Secondary_production!I26+GHG_Secondary_production!I25+(GHG_Secondary_production!I23+GHG_Secondary_production!I28)/2)/2)</f>
        <v>0</v>
      </c>
      <c r="U7" s="76">
        <f>Primary_secondary_demand!U7*GHG_Secondary_production!I28</f>
        <v>183464.37487369718</v>
      </c>
      <c r="V7" s="76">
        <f>Primary_secondary_demand!V7*(GHG_Secondary_production!I2+GHG_Secondary_production!I3)</f>
        <v>339368.58867847035</v>
      </c>
      <c r="W7" s="76">
        <f>Primary_secondary_demand!W7*GHG_Secondary_production!I23</f>
        <v>13419.415060162644</v>
      </c>
      <c r="X7" s="76">
        <f>Primary_secondary_demand!X7*GHG_Secondary_production!I24</f>
        <v>27210.833907431032</v>
      </c>
      <c r="Y7" s="83">
        <f>Primary_secondary_demand!Y7</f>
        <v>0</v>
      </c>
      <c r="Z7" s="75"/>
    </row>
    <row r="8" spans="1:40" s="108" customFormat="1" x14ac:dyDescent="0.2"/>
    <row r="9" spans="1:40" s="97" customFormat="1" ht="14.5" customHeight="1" x14ac:dyDescent="0.2">
      <c r="A9" s="588" t="s">
        <v>251</v>
      </c>
      <c r="B9" s="588"/>
      <c r="C9" s="589"/>
      <c r="D9" s="97" t="s">
        <v>248</v>
      </c>
      <c r="H9" s="97" t="s">
        <v>248</v>
      </c>
      <c r="I9" s="97" t="s">
        <v>248</v>
      </c>
      <c r="J9" s="97" t="s">
        <v>248</v>
      </c>
      <c r="M9" s="97" t="s">
        <v>248</v>
      </c>
      <c r="P9" s="97" t="s">
        <v>248</v>
      </c>
    </row>
    <row r="10" spans="1:40" s="97" customFormat="1" ht="14.5" customHeight="1" x14ac:dyDescent="0.2">
      <c r="A10" s="590" t="s">
        <v>250</v>
      </c>
      <c r="B10" s="590"/>
      <c r="C10" s="590"/>
      <c r="D10" s="98">
        <v>0.37</v>
      </c>
      <c r="E10" s="98"/>
      <c r="F10" s="98"/>
      <c r="G10" s="98"/>
      <c r="H10" s="98">
        <v>0.5</v>
      </c>
      <c r="I10" s="98">
        <v>0.8</v>
      </c>
      <c r="J10" s="98">
        <v>0.12</v>
      </c>
      <c r="K10" s="98"/>
      <c r="L10" s="98"/>
      <c r="M10" s="98">
        <v>0.8</v>
      </c>
      <c r="N10" s="98"/>
      <c r="O10" s="98"/>
      <c r="P10" s="98">
        <v>0.77</v>
      </c>
      <c r="Q10" s="98"/>
      <c r="R10" s="98"/>
      <c r="S10" s="98"/>
      <c r="T10" s="98"/>
      <c r="U10" s="98"/>
      <c r="V10" s="98"/>
      <c r="W10" s="98"/>
      <c r="X10" s="98"/>
      <c r="Y10" s="98"/>
      <c r="Z10" s="98"/>
    </row>
    <row r="11" spans="1:40" s="108" customFormat="1" ht="16" thickBot="1" x14ac:dyDescent="0.25">
      <c r="B11" s="109"/>
      <c r="C11" s="109"/>
      <c r="D11" s="109"/>
      <c r="E11" s="109"/>
      <c r="F11" s="109"/>
      <c r="G11" s="109"/>
      <c r="H11" s="109"/>
      <c r="I11" s="109"/>
      <c r="J11" s="109"/>
      <c r="K11" s="109"/>
      <c r="L11" s="109"/>
      <c r="M11" s="109"/>
      <c r="N11" s="109"/>
      <c r="O11" s="109"/>
      <c r="P11" s="109"/>
      <c r="Q11" s="109"/>
      <c r="R11" s="109"/>
      <c r="S11" s="109"/>
      <c r="T11" s="109"/>
    </row>
    <row r="12" spans="1:40" s="115" customFormat="1" ht="16" thickBot="1" x14ac:dyDescent="0.25">
      <c r="A12" s="112" t="s">
        <v>252</v>
      </c>
      <c r="B12" s="123" t="s">
        <v>412</v>
      </c>
      <c r="C12" s="113"/>
      <c r="D12" s="114"/>
      <c r="E12" s="113"/>
      <c r="F12" s="113"/>
      <c r="G12" s="113"/>
      <c r="H12" s="113"/>
      <c r="I12" s="113"/>
      <c r="J12" s="113"/>
      <c r="K12" s="113"/>
      <c r="L12" s="113"/>
      <c r="M12" s="113"/>
      <c r="N12" s="113"/>
      <c r="O12" s="113"/>
      <c r="P12" s="113"/>
      <c r="Q12" s="113"/>
      <c r="R12" s="113"/>
      <c r="S12" s="113"/>
      <c r="T12" s="113"/>
    </row>
    <row r="13" spans="1:40" s="116" customFormat="1" ht="60.5" customHeight="1" thickBot="1" x14ac:dyDescent="0.25">
      <c r="B13" s="318" t="s">
        <v>413</v>
      </c>
      <c r="C13" s="117"/>
      <c r="D13" s="118" t="s">
        <v>88</v>
      </c>
      <c r="E13" s="118" t="s">
        <v>177</v>
      </c>
      <c r="F13" s="118" t="s">
        <v>191</v>
      </c>
      <c r="G13" s="118" t="s">
        <v>193</v>
      </c>
      <c r="H13" s="118" t="s">
        <v>94</v>
      </c>
      <c r="I13" s="118" t="s">
        <v>205</v>
      </c>
      <c r="J13" s="118" t="s">
        <v>92</v>
      </c>
      <c r="K13" s="118" t="s">
        <v>93</v>
      </c>
      <c r="L13" s="118" t="s">
        <v>435</v>
      </c>
      <c r="M13" s="118" t="s">
        <v>180</v>
      </c>
      <c r="N13" s="118" t="s">
        <v>86</v>
      </c>
      <c r="O13" s="118" t="s">
        <v>87</v>
      </c>
      <c r="P13" s="118" t="s">
        <v>218</v>
      </c>
      <c r="Q13" s="119" t="s">
        <v>220</v>
      </c>
      <c r="T13" s="120" t="s">
        <v>253</v>
      </c>
    </row>
    <row r="14" spans="1:40" ht="14.5" customHeight="1" x14ac:dyDescent="0.2">
      <c r="B14" s="580" t="s">
        <v>378</v>
      </c>
      <c r="C14" s="124" t="s">
        <v>243</v>
      </c>
      <c r="D14" s="80">
        <f>D2*1000</f>
        <v>22904023228.671234</v>
      </c>
      <c r="E14" s="78">
        <f t="shared" ref="E14:G14" si="0">E2*1000</f>
        <v>10084294544.829874</v>
      </c>
      <c r="F14" s="78">
        <f t="shared" si="0"/>
        <v>8444861824.0651493</v>
      </c>
      <c r="G14" s="78">
        <f t="shared" si="0"/>
        <v>4182512124.126338</v>
      </c>
      <c r="H14" s="78">
        <f>SUM(H2:M2)*1000</f>
        <v>7651989036.6537952</v>
      </c>
      <c r="I14" s="78">
        <f>N2*1000</f>
        <v>1806992642.0278115</v>
      </c>
      <c r="J14" s="78">
        <f>O2*1000</f>
        <v>1792776546.9610915</v>
      </c>
      <c r="K14" s="78">
        <f>(Q2+R2)*1000</f>
        <v>1456187441.8895285</v>
      </c>
      <c r="L14" s="184">
        <f>T2*1000</f>
        <v>3705616130.2753167</v>
      </c>
      <c r="M14" s="78">
        <f t="shared" ref="M14:Q14" si="1">U2*1000</f>
        <v>1285920957.4877167</v>
      </c>
      <c r="N14" s="78">
        <f t="shared" si="1"/>
        <v>6434987399.7380629</v>
      </c>
      <c r="O14" s="78">
        <f t="shared" si="1"/>
        <v>661806353.37521458</v>
      </c>
      <c r="P14" s="78">
        <f t="shared" si="1"/>
        <v>0</v>
      </c>
      <c r="Q14" s="81">
        <f t="shared" si="1"/>
        <v>8420429.0874170251</v>
      </c>
      <c r="R14" s="1"/>
      <c r="S14" s="1"/>
      <c r="T14" s="121">
        <f>SUM(D14:K14)+SUM(M14:Q14)</f>
        <v>66714772528.913216</v>
      </c>
      <c r="AG14" s="57"/>
      <c r="AH14" s="57"/>
      <c r="AI14" s="57"/>
      <c r="AJ14" s="57"/>
      <c r="AK14" s="57"/>
      <c r="AL14" s="57"/>
      <c r="AM14" s="57"/>
      <c r="AN14" s="57"/>
    </row>
    <row r="15" spans="1:40" ht="16" thickBot="1" x14ac:dyDescent="0.25">
      <c r="B15" s="579"/>
      <c r="C15" s="125" t="s">
        <v>244</v>
      </c>
      <c r="D15" s="84">
        <f t="shared" ref="D15:G15" si="2">D3*1000</f>
        <v>21690518294.441257</v>
      </c>
      <c r="E15" s="75">
        <f t="shared" si="2"/>
        <v>2243935929.443933</v>
      </c>
      <c r="F15" s="75">
        <f t="shared" si="2"/>
        <v>2475328455.0564041</v>
      </c>
      <c r="G15" s="75">
        <f t="shared" si="2"/>
        <v>3500597465.7610903</v>
      </c>
      <c r="H15" s="75">
        <f>(SUM(H3:M3)+P3)*1000</f>
        <v>4936914700.08741</v>
      </c>
      <c r="I15" s="75">
        <f t="shared" ref="I15:J15" si="3">N3*1000</f>
        <v>115940565.21994835</v>
      </c>
      <c r="J15" s="75">
        <f t="shared" si="3"/>
        <v>389120679.71193963</v>
      </c>
      <c r="K15" s="75">
        <f t="shared" ref="K15:K19" si="4">(Q3+R3)*1000</f>
        <v>895949770.72411287</v>
      </c>
      <c r="L15" s="185">
        <f t="shared" ref="L15:L19" si="5">T3*1000</f>
        <v>0</v>
      </c>
      <c r="M15" s="75">
        <f t="shared" ref="M15:M19" si="6">U3*1000</f>
        <v>183464374.87369716</v>
      </c>
      <c r="N15" s="75">
        <f t="shared" ref="N15:N19" si="7">V3*1000</f>
        <v>339368588.67847037</v>
      </c>
      <c r="O15" s="75">
        <f t="shared" ref="O15:O19" si="8">W3*1000</f>
        <v>13419415.060162645</v>
      </c>
      <c r="P15" s="75">
        <f t="shared" ref="P15:P19" si="9">X3*1000</f>
        <v>27275570.112693805</v>
      </c>
      <c r="Q15" s="85">
        <f t="shared" ref="Q15:Q19" si="10">Y3*1000</f>
        <v>0</v>
      </c>
      <c r="R15" s="1"/>
      <c r="S15" s="1"/>
      <c r="T15" s="121">
        <f t="shared" ref="T15:T19" si="11">SUM(D15:K15)+SUM(M15:Q15)</f>
        <v>36811833809.171112</v>
      </c>
      <c r="AG15" s="57"/>
      <c r="AH15" s="57"/>
      <c r="AI15" s="57"/>
      <c r="AJ15" s="57"/>
      <c r="AK15" s="57"/>
      <c r="AL15" s="57"/>
      <c r="AM15" s="57"/>
      <c r="AN15" s="57"/>
    </row>
    <row r="16" spans="1:40" x14ac:dyDescent="0.2">
      <c r="B16" s="580" t="s">
        <v>236</v>
      </c>
      <c r="C16" s="124" t="s">
        <v>243</v>
      </c>
      <c r="D16" s="80">
        <f t="shared" ref="D16:G16" si="12">D4*1000</f>
        <v>0</v>
      </c>
      <c r="E16" s="78">
        <f t="shared" si="12"/>
        <v>2496058533.726377</v>
      </c>
      <c r="F16" s="78">
        <f t="shared" si="12"/>
        <v>8568821351.8814783</v>
      </c>
      <c r="G16" s="78">
        <f t="shared" si="12"/>
        <v>0</v>
      </c>
      <c r="H16" s="78">
        <f>SUM(H4:M4)*1000</f>
        <v>3006284518.4301763</v>
      </c>
      <c r="I16" s="78">
        <f t="shared" ref="I16:J16" si="13">N4*1000</f>
        <v>1806992642.0278115</v>
      </c>
      <c r="J16" s="78">
        <f t="shared" si="13"/>
        <v>1792776546.9610915</v>
      </c>
      <c r="K16" s="78">
        <f>(Q4+R4+S4)*1000</f>
        <v>10788329257.019932</v>
      </c>
      <c r="L16" s="184">
        <f t="shared" si="5"/>
        <v>5015432803.0391436</v>
      </c>
      <c r="M16" s="78">
        <f t="shared" si="6"/>
        <v>1319663175.1365154</v>
      </c>
      <c r="N16" s="78">
        <f t="shared" si="7"/>
        <v>2857074368.2077737</v>
      </c>
      <c r="O16" s="78">
        <f t="shared" si="8"/>
        <v>661806353.37521458</v>
      </c>
      <c r="P16" s="78">
        <f t="shared" si="9"/>
        <v>0</v>
      </c>
      <c r="Q16" s="81">
        <f t="shared" si="10"/>
        <v>31608647.652495608</v>
      </c>
      <c r="R16" s="1"/>
      <c r="S16" s="1"/>
      <c r="T16" s="121">
        <f t="shared" si="11"/>
        <v>33329415394.418861</v>
      </c>
      <c r="AG16" s="57"/>
      <c r="AH16" s="57"/>
      <c r="AI16" s="57"/>
      <c r="AJ16" s="57"/>
      <c r="AK16" s="57"/>
      <c r="AL16" s="57"/>
      <c r="AM16" s="57"/>
      <c r="AN16" s="57"/>
    </row>
    <row r="17" spans="2:41" ht="16" thickBot="1" x14ac:dyDescent="0.25">
      <c r="B17" s="579"/>
      <c r="C17" s="125" t="s">
        <v>244</v>
      </c>
      <c r="D17" s="82">
        <f t="shared" ref="D17:G17" si="14">D5*1000</f>
        <v>15247015115.948088</v>
      </c>
      <c r="E17" s="76">
        <f t="shared" si="14"/>
        <v>799020313.8576318</v>
      </c>
      <c r="F17" s="76">
        <f t="shared" si="14"/>
        <v>2511663039.6679273</v>
      </c>
      <c r="G17" s="76">
        <f t="shared" si="14"/>
        <v>2524901416.5378771</v>
      </c>
      <c r="H17" s="76">
        <f>(SUM(H5:M5)+P5)*1000</f>
        <v>572247766.11980057</v>
      </c>
      <c r="I17" s="76">
        <f t="shared" ref="I17:J17" si="15">N5*1000</f>
        <v>115940565.21994835</v>
      </c>
      <c r="J17" s="76">
        <f t="shared" si="15"/>
        <v>389120679.71193963</v>
      </c>
      <c r="K17" s="76">
        <f t="shared" si="4"/>
        <v>895949770.72411287</v>
      </c>
      <c r="L17" s="186">
        <f t="shared" si="5"/>
        <v>0</v>
      </c>
      <c r="M17" s="76">
        <f t="shared" si="6"/>
        <v>183464374.87369716</v>
      </c>
      <c r="N17" s="76">
        <f t="shared" si="7"/>
        <v>339368588.67847037</v>
      </c>
      <c r="O17" s="76">
        <f t="shared" si="8"/>
        <v>13419415.060162645</v>
      </c>
      <c r="P17" s="76">
        <f t="shared" si="9"/>
        <v>24778708.416011158</v>
      </c>
      <c r="Q17" s="83">
        <f t="shared" si="10"/>
        <v>0</v>
      </c>
      <c r="R17" s="1"/>
      <c r="S17" s="1"/>
      <c r="T17" s="121">
        <f t="shared" si="11"/>
        <v>23616889754.81567</v>
      </c>
      <c r="AG17" s="57"/>
      <c r="AH17" s="57"/>
      <c r="AI17" s="57"/>
      <c r="AJ17" s="57"/>
      <c r="AK17" s="57"/>
      <c r="AL17" s="57"/>
      <c r="AM17" s="57"/>
      <c r="AN17" s="57"/>
    </row>
    <row r="18" spans="2:41" x14ac:dyDescent="0.2">
      <c r="B18" s="580" t="s">
        <v>241</v>
      </c>
      <c r="C18" s="126" t="s">
        <v>243</v>
      </c>
      <c r="D18" s="80">
        <f t="shared" ref="D18:G18" si="16">D6*1000</f>
        <v>205583963.52947</v>
      </c>
      <c r="E18" s="78">
        <f t="shared" si="16"/>
        <v>4451293950.3806181</v>
      </c>
      <c r="F18" s="78">
        <f t="shared" si="16"/>
        <v>7332334445.1537523</v>
      </c>
      <c r="G18" s="78">
        <f t="shared" si="16"/>
        <v>1281368351.5326846</v>
      </c>
      <c r="H18" s="78">
        <f>SUM(H6:M6)*1000</f>
        <v>3720385378.7613349</v>
      </c>
      <c r="I18" s="78">
        <f t="shared" ref="I18:J18" si="17">N6*1000</f>
        <v>1806992642.0278115</v>
      </c>
      <c r="J18" s="78">
        <f t="shared" si="17"/>
        <v>1792776546.9610915</v>
      </c>
      <c r="K18" s="78">
        <f t="shared" si="4"/>
        <v>2117728627.7095923</v>
      </c>
      <c r="L18" s="184">
        <f t="shared" si="5"/>
        <v>3610268727.9714665</v>
      </c>
      <c r="M18" s="78">
        <f t="shared" si="6"/>
        <v>1439728252.7041249</v>
      </c>
      <c r="N18" s="78">
        <f t="shared" si="7"/>
        <v>2805907853.8520803</v>
      </c>
      <c r="O18" s="78">
        <f t="shared" si="8"/>
        <v>661806353.37521458</v>
      </c>
      <c r="P18" s="78">
        <f t="shared" si="9"/>
        <v>0</v>
      </c>
      <c r="Q18" s="81">
        <f t="shared" si="10"/>
        <v>8420429.0874170251</v>
      </c>
      <c r="R18" s="1"/>
      <c r="S18" s="1"/>
      <c r="T18" s="121">
        <f t="shared" si="11"/>
        <v>27624326795.075191</v>
      </c>
      <c r="AG18" s="57"/>
      <c r="AH18" s="57"/>
      <c r="AI18" s="57"/>
      <c r="AJ18" s="57"/>
      <c r="AK18" s="57"/>
      <c r="AL18" s="57"/>
      <c r="AM18" s="57"/>
      <c r="AN18" s="57"/>
    </row>
    <row r="19" spans="2:41" ht="16" thickBot="1" x14ac:dyDescent="0.25">
      <c r="B19" s="579"/>
      <c r="C19" s="125" t="s">
        <v>244</v>
      </c>
      <c r="D19" s="82">
        <f t="shared" ref="D19:G19" si="18">D7*1000</f>
        <v>21690518294.441257</v>
      </c>
      <c r="E19" s="76">
        <f t="shared" si="18"/>
        <v>1424916219.4108984</v>
      </c>
      <c r="F19" s="76">
        <f t="shared" si="18"/>
        <v>2149228308.5506253</v>
      </c>
      <c r="G19" s="76">
        <f t="shared" si="18"/>
        <v>3500597465.7610903</v>
      </c>
      <c r="H19" s="76">
        <f>(SUM(H7:M7)+P7)*1000</f>
        <v>572247766.11980057</v>
      </c>
      <c r="I19" s="76">
        <f t="shared" ref="I19:J19" si="19">N7*1000</f>
        <v>115940565.21994835</v>
      </c>
      <c r="J19" s="76">
        <f t="shared" si="19"/>
        <v>389120679.71193963</v>
      </c>
      <c r="K19" s="76">
        <f t="shared" si="4"/>
        <v>895949770.72411287</v>
      </c>
      <c r="L19" s="186">
        <f t="shared" si="5"/>
        <v>0</v>
      </c>
      <c r="M19" s="76">
        <f t="shared" si="6"/>
        <v>183464374.87369716</v>
      </c>
      <c r="N19" s="76">
        <f t="shared" si="7"/>
        <v>339368588.67847037</v>
      </c>
      <c r="O19" s="76">
        <f t="shared" si="8"/>
        <v>13419415.060162645</v>
      </c>
      <c r="P19" s="76">
        <f t="shared" si="9"/>
        <v>27210833.907431033</v>
      </c>
      <c r="Q19" s="83">
        <f t="shared" si="10"/>
        <v>0</v>
      </c>
      <c r="R19" s="1"/>
      <c r="S19" s="1"/>
      <c r="T19" s="121">
        <f t="shared" si="11"/>
        <v>31301982282.459435</v>
      </c>
      <c r="X19" s="57"/>
      <c r="Y19" s="57"/>
      <c r="Z19" s="57"/>
      <c r="AA19" s="57"/>
      <c r="AB19" s="57"/>
      <c r="AC19" s="57"/>
      <c r="AD19" s="57"/>
      <c r="AE19" s="57"/>
      <c r="AF19" s="57"/>
      <c r="AG19" s="57"/>
      <c r="AH19" s="57"/>
      <c r="AI19" s="57"/>
      <c r="AJ19" s="57"/>
      <c r="AK19" s="57"/>
      <c r="AL19" s="57"/>
      <c r="AM19" s="57"/>
      <c r="AN19" s="57"/>
    </row>
    <row r="20" spans="2:41" s="108" customFormat="1" ht="16" thickBot="1" x14ac:dyDescent="0.25">
      <c r="B20" s="110"/>
      <c r="C20" s="110"/>
      <c r="D20" s="109"/>
      <c r="E20" s="109"/>
      <c r="F20" s="109"/>
      <c r="G20" s="109"/>
      <c r="H20" s="109"/>
      <c r="I20" s="109"/>
      <c r="J20" s="109"/>
      <c r="K20" s="109"/>
      <c r="L20" s="187"/>
      <c r="M20" s="109"/>
      <c r="N20" s="109"/>
      <c r="O20" s="109"/>
      <c r="P20" s="109"/>
      <c r="Q20" s="111"/>
      <c r="R20" s="109"/>
      <c r="S20" s="109"/>
      <c r="T20" s="121"/>
      <c r="U20"/>
      <c r="V20"/>
      <c r="W20"/>
      <c r="X20"/>
      <c r="Y20" s="57"/>
      <c r="Z20" s="57"/>
      <c r="AA20" s="57"/>
      <c r="AB20" s="57"/>
      <c r="AC20" s="57"/>
      <c r="AD20" s="57"/>
      <c r="AE20" s="57"/>
      <c r="AF20" s="57"/>
      <c r="AG20" s="57"/>
      <c r="AH20" s="57"/>
      <c r="AI20" s="57"/>
      <c r="AJ20" s="57"/>
      <c r="AK20" s="57"/>
      <c r="AL20" s="57"/>
      <c r="AM20" s="57"/>
      <c r="AN20" s="57"/>
      <c r="AO20"/>
    </row>
    <row r="21" spans="2:41" x14ac:dyDescent="0.2">
      <c r="B21" s="105" t="s">
        <v>378</v>
      </c>
      <c r="C21" s="105" t="s">
        <v>253</v>
      </c>
      <c r="D21" s="78">
        <f>D14+D15</f>
        <v>44594541523.112488</v>
      </c>
      <c r="E21" s="78">
        <f t="shared" ref="E21:Q21" si="20">E14+E15</f>
        <v>12328230474.273808</v>
      </c>
      <c r="F21" s="78">
        <f t="shared" si="20"/>
        <v>10920190279.121553</v>
      </c>
      <c r="G21" s="78">
        <f t="shared" si="20"/>
        <v>7683109589.8874283</v>
      </c>
      <c r="H21" s="78">
        <f t="shared" si="20"/>
        <v>12588903736.741205</v>
      </c>
      <c r="I21" s="78">
        <f t="shared" si="20"/>
        <v>1922933207.2477598</v>
      </c>
      <c r="J21" s="78">
        <f t="shared" si="20"/>
        <v>2181897226.6730313</v>
      </c>
      <c r="K21" s="78">
        <f t="shared" si="20"/>
        <v>2352137212.6136413</v>
      </c>
      <c r="L21" s="184">
        <f t="shared" si="20"/>
        <v>3705616130.2753167</v>
      </c>
      <c r="M21" s="78">
        <f t="shared" si="20"/>
        <v>1469385332.361414</v>
      </c>
      <c r="N21" s="78">
        <f t="shared" si="20"/>
        <v>6774355988.4165335</v>
      </c>
      <c r="O21" s="78">
        <f t="shared" si="20"/>
        <v>675225768.43537724</v>
      </c>
      <c r="P21" s="78">
        <f t="shared" si="20"/>
        <v>27275570.112693805</v>
      </c>
      <c r="Q21" s="81">
        <f t="shared" si="20"/>
        <v>8420429.0874170251</v>
      </c>
      <c r="R21" s="1"/>
      <c r="S21" s="1"/>
      <c r="T21" s="121">
        <f>SUM(D21:K21)+SUM(M21:Q21)</f>
        <v>103526606338.08435</v>
      </c>
      <c r="X21" s="57"/>
      <c r="Y21" s="57"/>
      <c r="Z21" s="57"/>
      <c r="AA21" s="57"/>
      <c r="AB21" s="57"/>
      <c r="AC21" s="57"/>
      <c r="AD21" s="57"/>
      <c r="AE21" s="57"/>
      <c r="AF21" s="57"/>
      <c r="AG21" s="57"/>
      <c r="AH21" s="57"/>
      <c r="AI21" s="57"/>
      <c r="AJ21" s="57"/>
      <c r="AK21" s="57"/>
      <c r="AL21" s="57"/>
      <c r="AM21" s="57"/>
      <c r="AN21" s="57"/>
    </row>
    <row r="22" spans="2:41" x14ac:dyDescent="0.2">
      <c r="B22" s="107" t="s">
        <v>236</v>
      </c>
      <c r="C22" s="107" t="s">
        <v>253</v>
      </c>
      <c r="D22" s="75">
        <f>D16+D17</f>
        <v>15247015115.948088</v>
      </c>
      <c r="E22" s="75">
        <f t="shared" ref="E22:Q22" si="21">E16+E17</f>
        <v>3295078847.5840087</v>
      </c>
      <c r="F22" s="75">
        <f t="shared" si="21"/>
        <v>11080484391.549406</v>
      </c>
      <c r="G22" s="75">
        <f t="shared" si="21"/>
        <v>2524901416.5378771</v>
      </c>
      <c r="H22" s="75">
        <f t="shared" si="21"/>
        <v>3578532284.5499768</v>
      </c>
      <c r="I22" s="75">
        <f t="shared" si="21"/>
        <v>1922933207.2477598</v>
      </c>
      <c r="J22" s="75">
        <f t="shared" si="21"/>
        <v>2181897226.6730313</v>
      </c>
      <c r="K22" s="75">
        <f t="shared" si="21"/>
        <v>11684279027.744045</v>
      </c>
      <c r="L22" s="185">
        <f t="shared" si="21"/>
        <v>5015432803.0391436</v>
      </c>
      <c r="M22" s="75">
        <f t="shared" si="21"/>
        <v>1503127550.0102124</v>
      </c>
      <c r="N22" s="75">
        <f t="shared" si="21"/>
        <v>3196442956.8862438</v>
      </c>
      <c r="O22" s="75">
        <f t="shared" si="21"/>
        <v>675225768.43537724</v>
      </c>
      <c r="P22" s="75">
        <f t="shared" si="21"/>
        <v>24778708.416011158</v>
      </c>
      <c r="Q22" s="85">
        <f t="shared" si="21"/>
        <v>31608647.652495608</v>
      </c>
      <c r="R22" s="1"/>
      <c r="S22" s="1"/>
      <c r="T22" s="121">
        <f t="shared" ref="T22:T23" si="22">SUM(D22:K22)+SUM(M22:Q22)</f>
        <v>56946305149.234535</v>
      </c>
      <c r="Y22" s="57"/>
      <c r="Z22" s="57"/>
      <c r="AA22" s="57"/>
      <c r="AB22" s="57"/>
      <c r="AC22" s="57"/>
      <c r="AD22" s="57"/>
      <c r="AE22" s="57"/>
      <c r="AF22" s="57"/>
      <c r="AG22" s="57"/>
      <c r="AH22" s="57"/>
      <c r="AI22" s="57"/>
      <c r="AJ22" s="57"/>
      <c r="AK22" s="57"/>
      <c r="AL22" s="57"/>
      <c r="AM22" s="57"/>
      <c r="AN22" s="57"/>
    </row>
    <row r="23" spans="2:41" ht="16" thickBot="1" x14ac:dyDescent="0.25">
      <c r="B23" s="106" t="s">
        <v>241</v>
      </c>
      <c r="C23" s="106" t="s">
        <v>253</v>
      </c>
      <c r="D23" s="76">
        <f>D18+D19</f>
        <v>21896102257.970726</v>
      </c>
      <c r="E23" s="76">
        <f t="shared" ref="E23:Q23" si="23">E18+E19</f>
        <v>5876210169.7915163</v>
      </c>
      <c r="F23" s="76">
        <f t="shared" si="23"/>
        <v>9481562753.7043781</v>
      </c>
      <c r="G23" s="76">
        <f t="shared" si="23"/>
        <v>4781965817.2937746</v>
      </c>
      <c r="H23" s="76">
        <f t="shared" si="23"/>
        <v>4292633144.8811355</v>
      </c>
      <c r="I23" s="76">
        <f t="shared" si="23"/>
        <v>1922933207.2477598</v>
      </c>
      <c r="J23" s="76">
        <f t="shared" si="23"/>
        <v>2181897226.6730313</v>
      </c>
      <c r="K23" s="76">
        <f t="shared" si="23"/>
        <v>3013678398.4337053</v>
      </c>
      <c r="L23" s="186">
        <f t="shared" si="23"/>
        <v>3610268727.9714665</v>
      </c>
      <c r="M23" s="76">
        <f t="shared" si="23"/>
        <v>1623192627.5778222</v>
      </c>
      <c r="N23" s="76">
        <f t="shared" si="23"/>
        <v>3145276442.530551</v>
      </c>
      <c r="O23" s="76">
        <f t="shared" si="23"/>
        <v>675225768.43537724</v>
      </c>
      <c r="P23" s="76">
        <f t="shared" si="23"/>
        <v>27210833.907431033</v>
      </c>
      <c r="Q23" s="83">
        <f t="shared" si="23"/>
        <v>8420429.0874170251</v>
      </c>
      <c r="R23" s="1"/>
      <c r="S23" s="1"/>
      <c r="T23" s="122">
        <f t="shared" si="22"/>
        <v>58926309077.53463</v>
      </c>
      <c r="X23" s="57"/>
      <c r="Y23" s="57"/>
      <c r="Z23" s="57"/>
      <c r="AA23" s="57"/>
      <c r="AB23" s="57"/>
      <c r="AC23" s="57"/>
      <c r="AD23" s="57"/>
      <c r="AE23" s="57"/>
      <c r="AF23" s="57"/>
      <c r="AG23" s="57"/>
      <c r="AH23" s="57"/>
      <c r="AI23" s="57"/>
      <c r="AJ23" s="57"/>
      <c r="AK23" s="57"/>
      <c r="AL23" s="57"/>
      <c r="AM23" s="57"/>
      <c r="AN23" s="57"/>
    </row>
    <row r="24" spans="2:41" x14ac:dyDescent="0.2">
      <c r="Y24" s="57"/>
      <c r="Z24" s="57"/>
      <c r="AA24" s="57"/>
      <c r="AB24" s="57"/>
      <c r="AC24" s="57"/>
      <c r="AD24" s="57"/>
      <c r="AE24" s="57"/>
      <c r="AF24" s="57"/>
      <c r="AG24" s="57"/>
      <c r="AH24" s="57"/>
      <c r="AI24" s="57"/>
      <c r="AJ24" s="57"/>
      <c r="AK24" s="57"/>
      <c r="AL24" s="57"/>
      <c r="AM24" s="57"/>
      <c r="AN24" s="57"/>
    </row>
    <row r="25" spans="2:41" x14ac:dyDescent="0.2">
      <c r="L25" s="319" t="s">
        <v>436</v>
      </c>
      <c r="X25" s="57"/>
      <c r="Y25" s="57"/>
      <c r="Z25" s="57"/>
      <c r="AA25" s="57"/>
      <c r="AB25" s="57"/>
      <c r="AC25" s="57"/>
      <c r="AD25" s="57"/>
      <c r="AE25" s="57"/>
      <c r="AF25" s="57"/>
      <c r="AG25" s="57"/>
      <c r="AH25" s="57"/>
      <c r="AI25" s="57"/>
      <c r="AJ25" s="57"/>
      <c r="AK25" s="57"/>
      <c r="AL25" s="57"/>
      <c r="AM25" s="57"/>
      <c r="AN25" s="57"/>
    </row>
    <row r="26" spans="2:41" x14ac:dyDescent="0.2">
      <c r="X26" s="57"/>
      <c r="Y26" s="57"/>
      <c r="Z26" s="57"/>
      <c r="AA26" s="57"/>
      <c r="AB26" s="57"/>
      <c r="AC26" s="57"/>
      <c r="AD26" s="57"/>
      <c r="AE26" s="57"/>
      <c r="AF26" s="57"/>
      <c r="AG26" s="57"/>
      <c r="AH26" s="57"/>
      <c r="AI26" s="57"/>
      <c r="AJ26" s="57"/>
      <c r="AK26" s="57"/>
      <c r="AL26" s="57"/>
      <c r="AM26" s="57"/>
      <c r="AN26" s="57"/>
    </row>
    <row r="27" spans="2:41" x14ac:dyDescent="0.2">
      <c r="X27" s="57"/>
      <c r="Y27" s="57"/>
      <c r="Z27" s="57"/>
      <c r="AA27" s="57"/>
      <c r="AB27" s="57"/>
      <c r="AC27" s="57"/>
      <c r="AD27" s="57"/>
      <c r="AE27" s="57"/>
      <c r="AF27" s="57"/>
      <c r="AG27" s="57"/>
      <c r="AH27" s="57"/>
      <c r="AI27" s="57"/>
      <c r="AJ27" s="57"/>
      <c r="AK27" s="57"/>
      <c r="AL27" s="57"/>
      <c r="AM27" s="57"/>
      <c r="AN27" s="57"/>
    </row>
    <row r="28" spans="2:41" x14ac:dyDescent="0.2">
      <c r="X28" s="57"/>
      <c r="Y28" s="57"/>
      <c r="Z28" s="57"/>
      <c r="AA28" s="57"/>
      <c r="AB28" s="57"/>
      <c r="AC28" s="57"/>
      <c r="AD28" s="57"/>
      <c r="AE28" s="57"/>
      <c r="AF28" s="57"/>
      <c r="AG28" s="57"/>
      <c r="AH28" s="57"/>
      <c r="AI28" s="57"/>
      <c r="AJ28" s="57"/>
      <c r="AK28" s="57"/>
      <c r="AL28" s="57"/>
      <c r="AM28" s="57"/>
      <c r="AN28" s="57"/>
    </row>
    <row r="29" spans="2:41" x14ac:dyDescent="0.2">
      <c r="X29" s="57"/>
      <c r="Y29" s="57"/>
      <c r="Z29" s="57"/>
      <c r="AA29" s="57"/>
      <c r="AB29" s="57"/>
      <c r="AC29" s="57"/>
      <c r="AD29" s="57"/>
      <c r="AE29" s="57"/>
      <c r="AF29" s="57"/>
      <c r="AG29" s="57"/>
      <c r="AH29" s="57"/>
      <c r="AI29" s="57"/>
      <c r="AJ29" s="57"/>
      <c r="AK29" s="57"/>
      <c r="AL29" s="57"/>
      <c r="AM29" s="57"/>
      <c r="AN29" s="57"/>
    </row>
    <row r="30" spans="2:41" x14ac:dyDescent="0.2">
      <c r="X30" s="57"/>
      <c r="Y30" s="57"/>
      <c r="Z30" s="57"/>
      <c r="AA30" s="57"/>
    </row>
    <row r="31" spans="2:41" x14ac:dyDescent="0.2">
      <c r="X31" s="57"/>
      <c r="Y31" s="57"/>
      <c r="Z31" s="57"/>
      <c r="AA31" s="57"/>
    </row>
    <row r="32" spans="2:41" x14ac:dyDescent="0.2">
      <c r="X32" s="57"/>
      <c r="Y32" s="57"/>
      <c r="Z32" s="57"/>
      <c r="AA32" s="57"/>
    </row>
    <row r="33" spans="24:27" x14ac:dyDescent="0.2">
      <c r="X33" s="57"/>
      <c r="Y33" s="57"/>
      <c r="Z33" s="57"/>
      <c r="AA33" s="57"/>
    </row>
    <row r="34" spans="24:27" x14ac:dyDescent="0.2">
      <c r="X34" s="57"/>
      <c r="Y34" s="57"/>
      <c r="Z34" s="57"/>
      <c r="AA34" s="57"/>
    </row>
    <row r="35" spans="24:27" x14ac:dyDescent="0.2">
      <c r="X35" s="57"/>
      <c r="Y35" s="57"/>
      <c r="Z35" s="57"/>
      <c r="AA35" s="57"/>
    </row>
    <row r="36" spans="24:27" x14ac:dyDescent="0.2">
      <c r="X36" s="57"/>
      <c r="Y36" s="57"/>
      <c r="Z36" s="57"/>
      <c r="AA36" s="57"/>
    </row>
    <row r="37" spans="24:27" x14ac:dyDescent="0.2">
      <c r="X37" s="57"/>
      <c r="Y37" s="57"/>
      <c r="Z37" s="57"/>
      <c r="AA37" s="57"/>
    </row>
    <row r="38" spans="24:27" x14ac:dyDescent="0.2">
      <c r="X38" s="57"/>
      <c r="Y38" s="57"/>
      <c r="Z38" s="57"/>
      <c r="AA38" s="57"/>
    </row>
    <row r="39" spans="24:27" x14ac:dyDescent="0.2">
      <c r="X39" s="57"/>
      <c r="Y39" s="57"/>
      <c r="Z39" s="57"/>
      <c r="AA39" s="57"/>
    </row>
    <row r="40" spans="24:27" x14ac:dyDescent="0.2">
      <c r="X40" s="57"/>
      <c r="Y40" s="57"/>
      <c r="Z40" s="57"/>
      <c r="AA40" s="57"/>
    </row>
    <row r="41" spans="24:27" x14ac:dyDescent="0.2">
      <c r="X41" s="57"/>
      <c r="Y41" s="57"/>
      <c r="Z41" s="57"/>
      <c r="AA41" s="57"/>
    </row>
    <row r="42" spans="24:27" x14ac:dyDescent="0.2">
      <c r="X42" s="57"/>
      <c r="Y42" s="57"/>
      <c r="Z42" s="57"/>
      <c r="AA42" s="57"/>
    </row>
    <row r="43" spans="24:27" x14ac:dyDescent="0.2">
      <c r="X43" s="57"/>
      <c r="Y43" s="57"/>
      <c r="Z43" s="57"/>
      <c r="AA43" s="57"/>
    </row>
    <row r="44" spans="24:27" x14ac:dyDescent="0.2">
      <c r="X44" s="57"/>
      <c r="Y44" s="57"/>
      <c r="Z44" s="57"/>
      <c r="AA44" s="57"/>
    </row>
    <row r="45" spans="24:27" x14ac:dyDescent="0.2">
      <c r="X45" s="57"/>
      <c r="Y45" s="57"/>
      <c r="Z45" s="57"/>
      <c r="AA45" s="57"/>
    </row>
    <row r="46" spans="24:27" x14ac:dyDescent="0.2">
      <c r="X46" s="57"/>
      <c r="Y46" s="57"/>
      <c r="Z46" s="57"/>
      <c r="AA46" s="57"/>
    </row>
    <row r="47" spans="24:27" x14ac:dyDescent="0.2">
      <c r="X47" s="57"/>
      <c r="Y47" s="57"/>
      <c r="Z47" s="57"/>
      <c r="AA47" s="57"/>
    </row>
    <row r="48" spans="24:27" x14ac:dyDescent="0.2">
      <c r="X48" s="57"/>
      <c r="Y48" s="57"/>
      <c r="Z48" s="57"/>
      <c r="AA48" s="57"/>
    </row>
    <row r="49" spans="24:27" x14ac:dyDescent="0.2">
      <c r="X49" s="57"/>
      <c r="Y49" s="57"/>
      <c r="Z49" s="57"/>
      <c r="AA49" s="57"/>
    </row>
    <row r="50" spans="24:27" x14ac:dyDescent="0.2">
      <c r="X50" s="57"/>
      <c r="Y50" s="57"/>
      <c r="Z50" s="57"/>
      <c r="AA50" s="57"/>
    </row>
    <row r="51" spans="24:27" x14ac:dyDescent="0.2">
      <c r="X51" s="57"/>
      <c r="Y51" s="57"/>
      <c r="Z51" s="57"/>
      <c r="AA51" s="57"/>
    </row>
    <row r="52" spans="24:27" x14ac:dyDescent="0.2">
      <c r="X52" s="57"/>
      <c r="Y52" s="57"/>
      <c r="Z52" s="57"/>
      <c r="AA52" s="57"/>
    </row>
    <row r="53" spans="24:27" x14ac:dyDescent="0.2">
      <c r="X53" s="57"/>
      <c r="Y53" s="57"/>
      <c r="Z53" s="57"/>
      <c r="AA53" s="57"/>
    </row>
    <row r="54" spans="24:27" x14ac:dyDescent="0.2">
      <c r="X54" s="57"/>
      <c r="Y54" s="57"/>
      <c r="Z54" s="57"/>
      <c r="AA54" s="57"/>
    </row>
    <row r="55" spans="24:27" x14ac:dyDescent="0.2">
      <c r="X55" s="57"/>
      <c r="Y55" s="57"/>
      <c r="Z55" s="57"/>
      <c r="AA55" s="57"/>
    </row>
    <row r="56" spans="24:27" x14ac:dyDescent="0.2">
      <c r="X56" s="57"/>
      <c r="Y56" s="57"/>
      <c r="Z56" s="57"/>
      <c r="AA56" s="57"/>
    </row>
    <row r="57" spans="24:27" x14ac:dyDescent="0.2">
      <c r="X57" s="57"/>
      <c r="Y57" s="57"/>
      <c r="Z57" s="57"/>
      <c r="AA57" s="57"/>
    </row>
    <row r="58" spans="24:27" x14ac:dyDescent="0.2">
      <c r="X58" s="57"/>
      <c r="Y58" s="57"/>
      <c r="Z58" s="57"/>
      <c r="AA58" s="57"/>
    </row>
    <row r="59" spans="24:27" x14ac:dyDescent="0.2">
      <c r="X59" s="57"/>
      <c r="Y59" s="57"/>
      <c r="Z59" s="57"/>
      <c r="AA59" s="57"/>
    </row>
    <row r="60" spans="24:27" x14ac:dyDescent="0.2">
      <c r="X60" s="57"/>
      <c r="Y60" s="57"/>
      <c r="Z60" s="57"/>
      <c r="AA60" s="57"/>
    </row>
    <row r="61" spans="24:27" x14ac:dyDescent="0.2">
      <c r="X61" s="57"/>
      <c r="Y61" s="57"/>
      <c r="Z61" s="57"/>
      <c r="AA61" s="57"/>
    </row>
    <row r="62" spans="24:27" x14ac:dyDescent="0.2">
      <c r="X62" s="57"/>
      <c r="Y62" s="57"/>
      <c r="Z62" s="57"/>
      <c r="AA62" s="57"/>
    </row>
    <row r="63" spans="24:27" x14ac:dyDescent="0.2">
      <c r="X63" s="57"/>
      <c r="Y63" s="57"/>
      <c r="Z63" s="57"/>
      <c r="AA63" s="57"/>
    </row>
    <row r="64" spans="24:27" x14ac:dyDescent="0.2">
      <c r="X64" s="57"/>
      <c r="Y64" s="57"/>
      <c r="Z64" s="57"/>
      <c r="AA64" s="57"/>
    </row>
    <row r="65" spans="24:27" x14ac:dyDescent="0.2">
      <c r="X65" s="57"/>
      <c r="Y65" s="57"/>
      <c r="Z65" s="57"/>
      <c r="AA65" s="57"/>
    </row>
    <row r="66" spans="24:27" x14ac:dyDescent="0.2">
      <c r="X66" s="57"/>
      <c r="Y66" s="57"/>
      <c r="Z66" s="57"/>
      <c r="AA66" s="57"/>
    </row>
    <row r="67" spans="24:27" x14ac:dyDescent="0.2">
      <c r="X67" s="57"/>
      <c r="Y67" s="57"/>
      <c r="Z67" s="57"/>
      <c r="AA67" s="57"/>
    </row>
    <row r="68" spans="24:27" x14ac:dyDescent="0.2">
      <c r="X68" s="57"/>
      <c r="Y68" s="57"/>
      <c r="Z68" s="57"/>
      <c r="AA68" s="57"/>
    </row>
    <row r="69" spans="24:27" x14ac:dyDescent="0.2">
      <c r="X69" s="57"/>
      <c r="Y69" s="57"/>
      <c r="Z69" s="57"/>
      <c r="AA69" s="57"/>
    </row>
    <row r="70" spans="24:27" x14ac:dyDescent="0.2">
      <c r="X70" s="57"/>
      <c r="Y70" s="57"/>
      <c r="Z70" s="57"/>
      <c r="AA70" s="57"/>
    </row>
    <row r="71" spans="24:27" x14ac:dyDescent="0.2">
      <c r="X71" s="57"/>
      <c r="Y71" s="57"/>
      <c r="Z71" s="57"/>
      <c r="AA71" s="57"/>
    </row>
    <row r="72" spans="24:27" x14ac:dyDescent="0.2">
      <c r="X72" s="57"/>
      <c r="Y72" s="57"/>
      <c r="Z72" s="57"/>
      <c r="AA72" s="57"/>
    </row>
    <row r="73" spans="24:27" x14ac:dyDescent="0.2">
      <c r="X73" s="57"/>
      <c r="Y73" s="57"/>
      <c r="Z73" s="57"/>
      <c r="AA73" s="57"/>
    </row>
    <row r="74" spans="24:27" x14ac:dyDescent="0.2">
      <c r="X74" s="57"/>
      <c r="Y74" s="57"/>
      <c r="Z74" s="57"/>
      <c r="AA74" s="57"/>
    </row>
    <row r="75" spans="24:27" x14ac:dyDescent="0.2">
      <c r="X75" s="57"/>
      <c r="Y75" s="57"/>
      <c r="Z75" s="57"/>
      <c r="AA75" s="57"/>
    </row>
    <row r="76" spans="24:27" x14ac:dyDescent="0.2">
      <c r="X76" s="57"/>
      <c r="Y76" s="57"/>
      <c r="Z76" s="57"/>
      <c r="AA76" s="57"/>
    </row>
    <row r="77" spans="24:27" x14ac:dyDescent="0.2">
      <c r="X77" s="57"/>
      <c r="Y77" s="57"/>
      <c r="Z77" s="57"/>
      <c r="AA77" s="57"/>
    </row>
    <row r="78" spans="24:27" x14ac:dyDescent="0.2">
      <c r="X78" s="57"/>
      <c r="Y78" s="57"/>
      <c r="Z78" s="57"/>
      <c r="AA78" s="57"/>
    </row>
    <row r="79" spans="24:27" x14ac:dyDescent="0.2">
      <c r="X79" s="57"/>
      <c r="Y79" s="57"/>
      <c r="Z79" s="57"/>
      <c r="AA79" s="57"/>
    </row>
    <row r="80" spans="24:27" x14ac:dyDescent="0.2">
      <c r="X80" s="57"/>
      <c r="Y80" s="57"/>
      <c r="Z80" s="57"/>
      <c r="AA80" s="57"/>
    </row>
    <row r="81" spans="24:27" x14ac:dyDescent="0.2">
      <c r="X81" s="57"/>
      <c r="Y81" s="57"/>
      <c r="Z81" s="57"/>
      <c r="AA81" s="57"/>
    </row>
    <row r="82" spans="24:27" x14ac:dyDescent="0.2">
      <c r="X82" s="57"/>
      <c r="Y82" s="57"/>
      <c r="Z82" s="57"/>
      <c r="AA82" s="57"/>
    </row>
    <row r="83" spans="24:27" x14ac:dyDescent="0.2">
      <c r="X83" s="57"/>
      <c r="Y83" s="57"/>
      <c r="Z83" s="57"/>
      <c r="AA83" s="57"/>
    </row>
    <row r="84" spans="24:27" x14ac:dyDescent="0.2">
      <c r="X84" s="57"/>
      <c r="Y84" s="57"/>
      <c r="Z84" s="57"/>
      <c r="AA84" s="57"/>
    </row>
    <row r="85" spans="24:27" x14ac:dyDescent="0.2">
      <c r="X85" s="57"/>
      <c r="Y85" s="57"/>
      <c r="Z85" s="57"/>
      <c r="AA85" s="57"/>
    </row>
    <row r="86" spans="24:27" x14ac:dyDescent="0.2">
      <c r="X86" s="57"/>
      <c r="Y86" s="57"/>
      <c r="Z86" s="57"/>
      <c r="AA86" s="57"/>
    </row>
    <row r="87" spans="24:27" x14ac:dyDescent="0.2">
      <c r="X87" s="57"/>
      <c r="Y87" s="57"/>
      <c r="Z87" s="57"/>
      <c r="AA87" s="57"/>
    </row>
    <row r="88" spans="24:27" x14ac:dyDescent="0.2">
      <c r="X88" s="57"/>
      <c r="Y88" s="57"/>
      <c r="Z88" s="57"/>
      <c r="AA88" s="57"/>
    </row>
    <row r="89" spans="24:27" x14ac:dyDescent="0.2">
      <c r="X89" s="57"/>
      <c r="Y89" s="57"/>
      <c r="Z89" s="57"/>
      <c r="AA89" s="57"/>
    </row>
    <row r="90" spans="24:27" x14ac:dyDescent="0.2">
      <c r="X90" s="57"/>
      <c r="Y90" s="57"/>
      <c r="Z90" s="57"/>
      <c r="AA90" s="57"/>
    </row>
    <row r="91" spans="24:27" x14ac:dyDescent="0.2">
      <c r="X91" s="57"/>
      <c r="Y91" s="57"/>
      <c r="Z91" s="57"/>
      <c r="AA91" s="57"/>
    </row>
    <row r="92" spans="24:27" x14ac:dyDescent="0.2">
      <c r="X92" s="57"/>
      <c r="Y92" s="57"/>
      <c r="Z92" s="57"/>
      <c r="AA92" s="57"/>
    </row>
    <row r="93" spans="24:27" x14ac:dyDescent="0.2">
      <c r="X93" s="57"/>
      <c r="Y93" s="57"/>
      <c r="Z93" s="57"/>
      <c r="AA93" s="57"/>
    </row>
    <row r="94" spans="24:27" x14ac:dyDescent="0.2">
      <c r="X94" s="57"/>
      <c r="Y94" s="57"/>
      <c r="Z94" s="57"/>
      <c r="AA94" s="57"/>
    </row>
    <row r="95" spans="24:27" x14ac:dyDescent="0.2">
      <c r="X95" s="57"/>
      <c r="Y95" s="57"/>
      <c r="Z95" s="57"/>
      <c r="AA95" s="57"/>
    </row>
    <row r="96" spans="24:27" x14ac:dyDescent="0.2">
      <c r="X96" s="57"/>
      <c r="Y96" s="57"/>
      <c r="Z96" s="57"/>
      <c r="AA96" s="57"/>
    </row>
    <row r="97" spans="24:27" x14ac:dyDescent="0.2">
      <c r="X97" s="57"/>
      <c r="Y97" s="57"/>
      <c r="Z97" s="57"/>
      <c r="AA97" s="57"/>
    </row>
    <row r="98" spans="24:27" x14ac:dyDescent="0.2">
      <c r="X98" s="57"/>
      <c r="Y98" s="57"/>
      <c r="Z98" s="57"/>
      <c r="AA98" s="57"/>
    </row>
    <row r="99" spans="24:27" x14ac:dyDescent="0.2">
      <c r="X99" s="57"/>
      <c r="Y99" s="57"/>
      <c r="Z99" s="57"/>
      <c r="AA99" s="57"/>
    </row>
    <row r="100" spans="24:27" x14ac:dyDescent="0.2">
      <c r="X100" s="57"/>
      <c r="Y100" s="57"/>
      <c r="Z100" s="57"/>
      <c r="AA100" s="57"/>
    </row>
    <row r="101" spans="24:27" x14ac:dyDescent="0.2">
      <c r="X101" s="57"/>
      <c r="Y101" s="57"/>
      <c r="Z101" s="57"/>
      <c r="AA101" s="57"/>
    </row>
    <row r="102" spans="24:27" x14ac:dyDescent="0.2">
      <c r="X102" s="57"/>
      <c r="Y102" s="57"/>
      <c r="Z102" s="57"/>
      <c r="AA102" s="57"/>
    </row>
    <row r="103" spans="24:27" x14ac:dyDescent="0.2">
      <c r="X103" s="57"/>
      <c r="Y103" s="57"/>
      <c r="Z103" s="57"/>
      <c r="AA103" s="57"/>
    </row>
    <row r="104" spans="24:27" x14ac:dyDescent="0.2">
      <c r="X104" s="57"/>
      <c r="Y104" s="57"/>
      <c r="Z104" s="57"/>
      <c r="AA104" s="57"/>
    </row>
    <row r="105" spans="24:27" x14ac:dyDescent="0.2">
      <c r="X105" s="57"/>
      <c r="Y105" s="57"/>
      <c r="Z105" s="57"/>
      <c r="AA105" s="57"/>
    </row>
    <row r="106" spans="24:27" x14ac:dyDescent="0.2">
      <c r="X106" s="57"/>
      <c r="Y106" s="57"/>
      <c r="Z106" s="57"/>
      <c r="AA106" s="57"/>
    </row>
    <row r="107" spans="24:27" x14ac:dyDescent="0.2">
      <c r="X107" s="57"/>
      <c r="Y107" s="57"/>
      <c r="Z107" s="57"/>
      <c r="AA107" s="57"/>
    </row>
    <row r="108" spans="24:27" x14ac:dyDescent="0.2">
      <c r="X108" s="57"/>
      <c r="Y108" s="57"/>
      <c r="Z108" s="57"/>
      <c r="AA108" s="57"/>
    </row>
    <row r="109" spans="24:27" x14ac:dyDescent="0.2">
      <c r="X109" s="57"/>
      <c r="Y109" s="57"/>
      <c r="Z109" s="57"/>
      <c r="AA109" s="57"/>
    </row>
    <row r="110" spans="24:27" x14ac:dyDescent="0.2">
      <c r="X110" s="57"/>
      <c r="Y110" s="57"/>
      <c r="Z110" s="57"/>
      <c r="AA110" s="57"/>
    </row>
    <row r="111" spans="24:27" x14ac:dyDescent="0.2">
      <c r="X111" s="57"/>
      <c r="Y111" s="57"/>
      <c r="Z111" s="57"/>
      <c r="AA111" s="57"/>
    </row>
    <row r="112" spans="24:27" x14ac:dyDescent="0.2">
      <c r="X112" s="57"/>
      <c r="Y112" s="57"/>
      <c r="Z112" s="57"/>
      <c r="AA112" s="57"/>
    </row>
    <row r="113" spans="24:27" x14ac:dyDescent="0.2">
      <c r="X113" s="57"/>
      <c r="Y113" s="57"/>
      <c r="Z113" s="57"/>
      <c r="AA113" s="57"/>
    </row>
    <row r="114" spans="24:27" x14ac:dyDescent="0.2">
      <c r="X114" s="57"/>
      <c r="Y114" s="57"/>
      <c r="Z114" s="57"/>
      <c r="AA114" s="57"/>
    </row>
    <row r="115" spans="24:27" x14ac:dyDescent="0.2">
      <c r="X115" s="57"/>
      <c r="Y115" s="57"/>
      <c r="Z115" s="57"/>
      <c r="AA115" s="57"/>
    </row>
    <row r="116" spans="24:27" x14ac:dyDescent="0.2">
      <c r="X116" s="57"/>
      <c r="Y116" s="57"/>
      <c r="Z116" s="57"/>
      <c r="AA116" s="57"/>
    </row>
    <row r="117" spans="24:27" x14ac:dyDescent="0.2">
      <c r="X117" s="57"/>
      <c r="Y117" s="57"/>
      <c r="Z117" s="57"/>
      <c r="AA117" s="57"/>
    </row>
    <row r="118" spans="24:27" x14ac:dyDescent="0.2">
      <c r="X118" s="57"/>
      <c r="Y118" s="57"/>
      <c r="Z118" s="57"/>
      <c r="AA118" s="57"/>
    </row>
    <row r="119" spans="24:27" x14ac:dyDescent="0.2">
      <c r="X119" s="57"/>
      <c r="Y119" s="57"/>
      <c r="Z119" s="57"/>
      <c r="AA119" s="57"/>
    </row>
    <row r="120" spans="24:27" x14ac:dyDescent="0.2">
      <c r="X120" s="57"/>
      <c r="Y120" s="57"/>
      <c r="Z120" s="57"/>
      <c r="AA120" s="57"/>
    </row>
    <row r="121" spans="24:27" x14ac:dyDescent="0.2">
      <c r="X121" s="57"/>
      <c r="Y121" s="57"/>
      <c r="Z121" s="57"/>
      <c r="AA121" s="57"/>
    </row>
    <row r="122" spans="24:27" x14ac:dyDescent="0.2">
      <c r="X122" s="57"/>
      <c r="Y122" s="57"/>
      <c r="Z122" s="57"/>
      <c r="AA122" s="57"/>
    </row>
    <row r="123" spans="24:27" x14ac:dyDescent="0.2">
      <c r="X123" s="57"/>
      <c r="Y123" s="57"/>
      <c r="Z123" s="57"/>
      <c r="AA123" s="57"/>
    </row>
    <row r="124" spans="24:27" x14ac:dyDescent="0.2">
      <c r="X124" s="57"/>
      <c r="Y124" s="57"/>
      <c r="Z124" s="57"/>
      <c r="AA124" s="57"/>
    </row>
    <row r="125" spans="24:27" x14ac:dyDescent="0.2">
      <c r="X125" s="57"/>
      <c r="Y125" s="57"/>
      <c r="Z125" s="57"/>
      <c r="AA125" s="57"/>
    </row>
    <row r="126" spans="24:27" x14ac:dyDescent="0.2">
      <c r="X126" s="57"/>
      <c r="Y126" s="57"/>
      <c r="Z126" s="57"/>
      <c r="AA126" s="57"/>
    </row>
    <row r="127" spans="24:27" x14ac:dyDescent="0.2">
      <c r="X127" s="57"/>
      <c r="Y127" s="57"/>
      <c r="Z127" s="57"/>
      <c r="AA127" s="57"/>
    </row>
    <row r="128" spans="24:27" x14ac:dyDescent="0.2">
      <c r="X128" s="57"/>
      <c r="Y128" s="57"/>
      <c r="Z128" s="57"/>
      <c r="AA128" s="57"/>
    </row>
    <row r="129" spans="24:27" x14ac:dyDescent="0.2">
      <c r="X129" s="57"/>
      <c r="Y129" s="57"/>
      <c r="Z129" s="57"/>
      <c r="AA129" s="57"/>
    </row>
    <row r="130" spans="24:27" x14ac:dyDescent="0.2">
      <c r="X130" s="57"/>
      <c r="Y130" s="57"/>
      <c r="Z130" s="57"/>
      <c r="AA130" s="57"/>
    </row>
    <row r="131" spans="24:27" x14ac:dyDescent="0.2">
      <c r="X131" s="57"/>
      <c r="Y131" s="57"/>
      <c r="Z131" s="57"/>
      <c r="AA131" s="57"/>
    </row>
    <row r="132" spans="24:27" x14ac:dyDescent="0.2">
      <c r="X132" s="57"/>
      <c r="Y132" s="57"/>
      <c r="Z132" s="57"/>
      <c r="AA132" s="57"/>
    </row>
    <row r="133" spans="24:27" x14ac:dyDescent="0.2">
      <c r="X133" s="57"/>
      <c r="Y133" s="57"/>
      <c r="Z133" s="57"/>
      <c r="AA133" s="57"/>
    </row>
    <row r="134" spans="24:27" x14ac:dyDescent="0.2">
      <c r="X134" s="57"/>
      <c r="Y134" s="57"/>
      <c r="Z134" s="57"/>
      <c r="AA134" s="57"/>
    </row>
    <row r="135" spans="24:27" x14ac:dyDescent="0.2">
      <c r="X135" s="57"/>
      <c r="Y135" s="57"/>
      <c r="Z135" s="57"/>
      <c r="AA135" s="57"/>
    </row>
  </sheetData>
  <mergeCells count="5">
    <mergeCell ref="B18:B19"/>
    <mergeCell ref="A9:C9"/>
    <mergeCell ref="A10:C10"/>
    <mergeCell ref="B14:B15"/>
    <mergeCell ref="B16:B17"/>
  </mergeCells>
  <pageMargins left="0.7" right="0.7" top="0.75" bottom="0.75" header="0.3" footer="0.3"/>
  <pageSetup paperSize="9" orientation="portrait" horizontalDpi="4294967293" verticalDpi="0"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0453-861B-4F67-8594-8C10681C81A6}">
  <sheetPr>
    <tabColor theme="4" tint="-0.249977111117893"/>
  </sheetPr>
  <dimension ref="A1:P17"/>
  <sheetViews>
    <sheetView zoomScale="85" zoomScaleNormal="85" workbookViewId="0">
      <selection activeCell="P37" sqref="P37"/>
    </sheetView>
  </sheetViews>
  <sheetFormatPr baseColWidth="10" defaultColWidth="8.83203125" defaultRowHeight="15" x14ac:dyDescent="0.2"/>
  <cols>
    <col min="1" max="1" width="33.6640625" customWidth="1"/>
    <col min="2" max="2" width="13.83203125" customWidth="1"/>
    <col min="6" max="6" width="3.1640625" customWidth="1"/>
    <col min="10" max="10" width="2.33203125" customWidth="1"/>
  </cols>
  <sheetData>
    <row r="1" spans="1:16" ht="32.75" customHeight="1" thickBot="1" x14ac:dyDescent="0.25">
      <c r="A1" s="57"/>
      <c r="B1" s="57"/>
      <c r="C1" s="591" t="s">
        <v>532</v>
      </c>
      <c r="D1" s="592"/>
      <c r="E1" s="593"/>
      <c r="F1" s="57"/>
      <c r="G1" s="594" t="s">
        <v>534</v>
      </c>
      <c r="H1" s="595"/>
      <c r="I1" s="596"/>
      <c r="K1" s="597" t="s">
        <v>535</v>
      </c>
      <c r="L1" s="598"/>
      <c r="M1" s="599"/>
    </row>
    <row r="2" spans="1:16" ht="76" thickBot="1" x14ac:dyDescent="0.25">
      <c r="A2" s="476" t="s">
        <v>188</v>
      </c>
      <c r="B2" s="476" t="s">
        <v>536</v>
      </c>
      <c r="C2" s="464" t="s">
        <v>235</v>
      </c>
      <c r="D2" s="464" t="s">
        <v>533</v>
      </c>
      <c r="E2" s="464" t="s">
        <v>241</v>
      </c>
      <c r="F2" s="57"/>
      <c r="G2" s="464" t="s">
        <v>235</v>
      </c>
      <c r="H2" s="464" t="s">
        <v>533</v>
      </c>
      <c r="I2" s="464" t="s">
        <v>241</v>
      </c>
      <c r="J2" s="306"/>
      <c r="K2" s="469" t="s">
        <v>235</v>
      </c>
      <c r="L2" s="469" t="s">
        <v>533</v>
      </c>
      <c r="M2" s="469" t="s">
        <v>241</v>
      </c>
    </row>
    <row r="3" spans="1:16" x14ac:dyDescent="0.2">
      <c r="A3" s="467" t="s">
        <v>86</v>
      </c>
      <c r="B3" s="473">
        <v>0.44394423143836892</v>
      </c>
      <c r="C3" s="149">
        <v>306806.18115627201</v>
      </c>
      <c r="D3" s="465">
        <v>136219.08198685455</v>
      </c>
      <c r="E3" s="151">
        <v>133779.57404419925</v>
      </c>
      <c r="F3" s="57"/>
      <c r="G3" s="149">
        <f>$B3*C3</f>
        <v>136204.83429396217</v>
      </c>
      <c r="H3" s="465">
        <f>$B3*D3</f>
        <v>60473.67565989431</v>
      </c>
      <c r="I3" s="151">
        <f t="shared" ref="I3" si="0">$B3*E3</f>
        <v>59390.670181204405</v>
      </c>
      <c r="J3" s="306"/>
      <c r="K3" s="462">
        <f>G3/SUM(G$3:G$17)</f>
        <v>1.7437086099299777E-3</v>
      </c>
      <c r="L3" s="462">
        <f>H3/SUM(H$3:H$17)</f>
        <v>2.1450160796682082E-4</v>
      </c>
      <c r="M3" s="462">
        <f t="shared" ref="M3" si="1">I3/SUM(I$3:I$17)</f>
        <v>5.2477600242568923E-4</v>
      </c>
    </row>
    <row r="4" spans="1:16" x14ac:dyDescent="0.2">
      <c r="A4" s="467" t="s">
        <v>177</v>
      </c>
      <c r="B4" s="474">
        <v>1.160882774951495E-2</v>
      </c>
      <c r="C4" s="152">
        <v>41578301.981604353</v>
      </c>
      <c r="D4" s="466">
        <v>10291436.353596386</v>
      </c>
      <c r="E4" s="153">
        <v>18353018.473929971</v>
      </c>
      <c r="F4" s="57"/>
      <c r="G4" s="152">
        <f t="shared" ref="G4:G17" si="2">$B4*C4</f>
        <v>482675.34582176106</v>
      </c>
      <c r="H4" s="466">
        <f t="shared" ref="H4:H17" si="3">$B4*D4</f>
        <v>119471.51192399667</v>
      </c>
      <c r="I4" s="153">
        <f t="shared" ref="I4:I17" si="4">$B4*E4</f>
        <v>213057.03014751879</v>
      </c>
      <c r="J4" s="306"/>
      <c r="K4" s="462">
        <f t="shared" ref="K4:K17" si="5">G4/SUM(G$3:G$17)</f>
        <v>6.1792605282560342E-3</v>
      </c>
      <c r="L4" s="462">
        <f>H4/SUM(H$3:H$17)</f>
        <v>4.2376837746808266E-4</v>
      </c>
      <c r="M4" s="462">
        <f t="shared" ref="M4:M17" si="6">I4/SUM(I$3:I$17)</f>
        <v>1.8825720644063135E-3</v>
      </c>
    </row>
    <row r="5" spans="1:16" x14ac:dyDescent="0.2">
      <c r="A5" s="467" t="s">
        <v>88</v>
      </c>
      <c r="B5" s="474">
        <v>1.075443796848344E-2</v>
      </c>
      <c r="C5" s="152">
        <v>303223860.38709199</v>
      </c>
      <c r="D5" s="466">
        <v>76110290.384990484</v>
      </c>
      <c r="E5" s="153">
        <v>110024909.75311321</v>
      </c>
      <c r="F5" s="57"/>
      <c r="G5" s="152">
        <f t="shared" si="2"/>
        <v>3261002.1970970635</v>
      </c>
      <c r="H5" s="466">
        <f t="shared" si="3"/>
        <v>818523.39670864178</v>
      </c>
      <c r="I5" s="153">
        <f t="shared" si="4"/>
        <v>1183256.0669278447</v>
      </c>
      <c r="J5" s="306"/>
      <c r="K5" s="462">
        <f t="shared" si="5"/>
        <v>4.1747693006303148E-2</v>
      </c>
      <c r="L5" s="462">
        <f t="shared" ref="L5:L17" si="7">H5/SUM(H$3:H$17)</f>
        <v>2.903322525654041E-3</v>
      </c>
      <c r="M5" s="462">
        <f t="shared" si="6"/>
        <v>1.0455251418342318E-2</v>
      </c>
    </row>
    <row r="6" spans="1:16" x14ac:dyDescent="0.2">
      <c r="A6" s="467" t="s">
        <v>89</v>
      </c>
      <c r="B6" s="474">
        <v>0.11708439450245139</v>
      </c>
      <c r="C6" s="470"/>
      <c r="D6" s="471"/>
      <c r="E6" s="472"/>
      <c r="F6" s="57"/>
      <c r="G6" s="470"/>
      <c r="H6" s="471"/>
      <c r="I6" s="472"/>
      <c r="J6" s="306"/>
      <c r="K6" s="470"/>
      <c r="L6" s="471"/>
      <c r="M6" s="472"/>
    </row>
    <row r="7" spans="1:16" x14ac:dyDescent="0.2">
      <c r="A7" s="467" t="s">
        <v>91</v>
      </c>
      <c r="B7" s="474">
        <v>3.724097400507527E-2</v>
      </c>
      <c r="C7" s="470"/>
      <c r="D7" s="471"/>
      <c r="E7" s="472"/>
      <c r="F7" s="57"/>
      <c r="G7" s="470"/>
      <c r="H7" s="471"/>
      <c r="I7" s="472"/>
      <c r="J7" s="306"/>
      <c r="K7" s="470"/>
      <c r="L7" s="471"/>
      <c r="M7" s="472"/>
    </row>
    <row r="8" spans="1:16" x14ac:dyDescent="0.2">
      <c r="A8" s="467" t="s">
        <v>92</v>
      </c>
      <c r="B8" s="474">
        <v>0.14319652224149371</v>
      </c>
      <c r="C8" s="152">
        <v>1859162.5294945776</v>
      </c>
      <c r="D8" s="466">
        <v>1859162.5294945776</v>
      </c>
      <c r="E8" s="153">
        <v>1859162.5294945776</v>
      </c>
      <c r="F8" s="57"/>
      <c r="G8" s="152">
        <f t="shared" si="2"/>
        <v>266225.60850532196</v>
      </c>
      <c r="H8" s="466">
        <f t="shared" si="3"/>
        <v>266225.60850532196</v>
      </c>
      <c r="I8" s="153">
        <f t="shared" si="4"/>
        <v>266225.60850532196</v>
      </c>
      <c r="J8" s="306"/>
      <c r="K8" s="462">
        <f t="shared" si="5"/>
        <v>3.408248232457604E-3</v>
      </c>
      <c r="L8" s="462">
        <f t="shared" si="7"/>
        <v>9.4430875059590676E-4</v>
      </c>
      <c r="M8" s="462">
        <f t="shared" si="6"/>
        <v>2.352369659215996E-3</v>
      </c>
    </row>
    <row r="9" spans="1:16" x14ac:dyDescent="0.2">
      <c r="A9" s="467" t="s">
        <v>167</v>
      </c>
      <c r="B9" s="474">
        <v>4.9520650618592894</v>
      </c>
      <c r="C9" s="152">
        <v>14501870.544312431</v>
      </c>
      <c r="D9" s="466">
        <v>56323561.142865896</v>
      </c>
      <c r="E9" s="153">
        <v>22172681.615940116</v>
      </c>
      <c r="F9" s="57"/>
      <c r="G9" s="152">
        <f t="shared" si="2"/>
        <v>71814206.454095945</v>
      </c>
      <c r="H9" s="466">
        <f>$B9*D9</f>
        <v>278917939.29508168</v>
      </c>
      <c r="I9" s="153">
        <f t="shared" si="4"/>
        <v>109800561.95802683</v>
      </c>
      <c r="J9" s="306"/>
      <c r="K9" s="462">
        <f t="shared" si="5"/>
        <v>0.91937302195188741</v>
      </c>
      <c r="L9" s="462">
        <f t="shared" si="7"/>
        <v>0.98932875861661662</v>
      </c>
      <c r="M9" s="462">
        <f t="shared" si="6"/>
        <v>0.97019784071510573</v>
      </c>
      <c r="N9" s="59"/>
      <c r="O9" s="59"/>
      <c r="P9" s="59"/>
    </row>
    <row r="10" spans="1:16" x14ac:dyDescent="0.2">
      <c r="A10" s="467" t="s">
        <v>94</v>
      </c>
      <c r="B10" s="474">
        <v>8.5740982874129498E-2</v>
      </c>
      <c r="C10" s="152">
        <v>4226916.3112093415</v>
      </c>
      <c r="D10" s="466">
        <v>1576150.3577059798</v>
      </c>
      <c r="E10" s="153">
        <v>1623310.2859953847</v>
      </c>
      <c r="F10" s="57"/>
      <c r="G10" s="152">
        <f t="shared" si="2"/>
        <v>362419.95904977876</v>
      </c>
      <c r="H10" s="466">
        <f t="shared" si="3"/>
        <v>135140.68082712151</v>
      </c>
      <c r="I10" s="153">
        <f t="shared" si="4"/>
        <v>139184.21943092853</v>
      </c>
      <c r="J10" s="306"/>
      <c r="K10" s="462">
        <f t="shared" si="5"/>
        <v>4.6397384225119465E-3</v>
      </c>
      <c r="L10" s="462">
        <f t="shared" si="7"/>
        <v>4.7934730315017107E-4</v>
      </c>
      <c r="M10" s="462">
        <f t="shared" si="6"/>
        <v>1.2298318582843343E-3</v>
      </c>
    </row>
    <row r="11" spans="1:16" x14ac:dyDescent="0.2">
      <c r="A11" s="467" t="s">
        <v>173</v>
      </c>
      <c r="B11" s="474">
        <v>2.2454081372567831E-2</v>
      </c>
      <c r="C11" s="470"/>
      <c r="D11" s="471"/>
      <c r="E11" s="472"/>
      <c r="F11" s="57"/>
      <c r="G11" s="470"/>
      <c r="H11" s="471"/>
      <c r="I11" s="472"/>
      <c r="J11" s="306"/>
      <c r="K11" s="470"/>
      <c r="L11" s="471"/>
      <c r="M11" s="472"/>
    </row>
    <row r="12" spans="1:16" x14ac:dyDescent="0.2">
      <c r="A12" s="467" t="s">
        <v>178</v>
      </c>
      <c r="B12" s="474">
        <v>9.8040546324353745E-2</v>
      </c>
      <c r="C12" s="152">
        <v>2476411.4262664323</v>
      </c>
      <c r="D12" s="466">
        <v>2476411.4262664323</v>
      </c>
      <c r="E12" s="153">
        <v>2476411.4262664323</v>
      </c>
      <c r="F12" s="57"/>
      <c r="G12" s="152">
        <f t="shared" si="2"/>
        <v>242788.72915503307</v>
      </c>
      <c r="H12" s="466">
        <f t="shared" si="3"/>
        <v>242788.72915503307</v>
      </c>
      <c r="I12" s="153">
        <f t="shared" si="4"/>
        <v>242788.72915503307</v>
      </c>
      <c r="J12" s="306"/>
      <c r="K12" s="462">
        <f t="shared" si="5"/>
        <v>3.1082068387374073E-3</v>
      </c>
      <c r="L12" s="462">
        <f t="shared" si="7"/>
        <v>8.611775658034569E-4</v>
      </c>
      <c r="M12" s="462">
        <f t="shared" si="6"/>
        <v>2.1452813772139161E-3</v>
      </c>
    </row>
    <row r="13" spans="1:16" x14ac:dyDescent="0.2">
      <c r="A13" s="467" t="s">
        <v>87</v>
      </c>
      <c r="B13" s="474">
        <v>1.687869703526663</v>
      </c>
      <c r="C13" s="152">
        <v>98253.123840209315</v>
      </c>
      <c r="D13" s="466">
        <v>98253.123840209315</v>
      </c>
      <c r="E13" s="153">
        <v>98253.123840209315</v>
      </c>
      <c r="F13" s="57"/>
      <c r="G13" s="152">
        <f t="shared" si="2"/>
        <v>165838.47100674259</v>
      </c>
      <c r="H13" s="466">
        <f t="shared" si="3"/>
        <v>165838.47100674259</v>
      </c>
      <c r="I13" s="153">
        <f t="shared" si="4"/>
        <v>165838.47100674259</v>
      </c>
      <c r="J13" s="57"/>
      <c r="K13" s="462">
        <f t="shared" si="5"/>
        <v>2.1230815429647259E-3</v>
      </c>
      <c r="L13" s="462">
        <f t="shared" si="7"/>
        <v>5.8823311640203099E-4</v>
      </c>
      <c r="M13" s="462">
        <f t="shared" si="6"/>
        <v>1.4653488434762444E-3</v>
      </c>
    </row>
    <row r="14" spans="1:16" x14ac:dyDescent="0.2">
      <c r="A14" s="467" t="s">
        <v>379</v>
      </c>
      <c r="B14" s="474">
        <v>0.10262437500261409</v>
      </c>
      <c r="C14" s="152">
        <v>1937453.1750554424</v>
      </c>
      <c r="D14" s="466">
        <v>0</v>
      </c>
      <c r="E14" s="153">
        <v>593564.61079264246</v>
      </c>
      <c r="F14" s="57"/>
      <c r="G14" s="152">
        <f t="shared" si="2"/>
        <v>198829.92118689505</v>
      </c>
      <c r="H14" s="466">
        <f t="shared" si="3"/>
        <v>0</v>
      </c>
      <c r="I14" s="153">
        <f t="shared" si="4"/>
        <v>60914.19720626482</v>
      </c>
      <c r="J14" s="57"/>
      <c r="K14" s="462">
        <f t="shared" si="5"/>
        <v>2.5454415570670881E-3</v>
      </c>
      <c r="L14" s="462">
        <f t="shared" si="7"/>
        <v>0</v>
      </c>
      <c r="M14" s="462">
        <f t="shared" si="6"/>
        <v>5.3823788826330233E-4</v>
      </c>
    </row>
    <row r="15" spans="1:16" x14ac:dyDescent="0.2">
      <c r="A15" s="467" t="s">
        <v>110</v>
      </c>
      <c r="B15" s="474">
        <v>2.2454081372567831E-2</v>
      </c>
      <c r="C15" s="470"/>
      <c r="D15" s="471"/>
      <c r="E15" s="472"/>
      <c r="F15" s="57"/>
      <c r="G15" s="470"/>
      <c r="H15" s="471"/>
      <c r="I15" s="472"/>
      <c r="J15" s="57"/>
      <c r="K15" s="470"/>
      <c r="L15" s="471"/>
      <c r="M15" s="472"/>
    </row>
    <row r="16" spans="1:16" x14ac:dyDescent="0.2">
      <c r="A16" s="467" t="s">
        <v>180</v>
      </c>
      <c r="B16" s="474">
        <v>9.3379210736301912E-2</v>
      </c>
      <c r="C16" s="152">
        <v>677690.78234313917</v>
      </c>
      <c r="D16" s="466">
        <v>695473.20492771338</v>
      </c>
      <c r="E16" s="153">
        <v>758748.47536723432</v>
      </c>
      <c r="F16" s="57"/>
      <c r="G16" s="152">
        <f t="shared" si="2"/>
        <v>63282.230378469307</v>
      </c>
      <c r="H16" s="466">
        <f t="shared" si="3"/>
        <v>64942.738964396231</v>
      </c>
      <c r="I16" s="153">
        <f t="shared" si="4"/>
        <v>70851.333777164749</v>
      </c>
      <c r="J16" s="57"/>
      <c r="K16" s="462">
        <f t="shared" si="5"/>
        <v>8.1014576713449912E-4</v>
      </c>
      <c r="L16" s="462">
        <f t="shared" si="7"/>
        <v>2.3035348491097236E-4</v>
      </c>
      <c r="M16" s="462">
        <f t="shared" si="6"/>
        <v>6.260424338143867E-4</v>
      </c>
    </row>
    <row r="17" spans="1:13" ht="16" thickBot="1" x14ac:dyDescent="0.25">
      <c r="A17" s="477" t="s">
        <v>191</v>
      </c>
      <c r="B17" s="475">
        <v>4.9808382813165575E-2</v>
      </c>
      <c r="C17" s="154">
        <v>22459664.654693428</v>
      </c>
      <c r="D17" s="468">
        <v>22789343.160216764</v>
      </c>
      <c r="E17" s="156">
        <v>19500825.022964925</v>
      </c>
      <c r="F17" s="57"/>
      <c r="G17" s="154">
        <f t="shared" si="2"/>
        <v>1118679.5749762945</v>
      </c>
      <c r="H17" s="468">
        <f t="shared" si="3"/>
        <v>1135100.3281846731</v>
      </c>
      <c r="I17" s="156">
        <f t="shared" si="4"/>
        <v>971304.55791639537</v>
      </c>
      <c r="J17" s="57"/>
      <c r="K17" s="463">
        <f t="shared" si="5"/>
        <v>1.4321453542750232E-2</v>
      </c>
      <c r="L17" s="463">
        <f t="shared" si="7"/>
        <v>4.026228651432099E-3</v>
      </c>
      <c r="M17" s="463">
        <f t="shared" si="6"/>
        <v>8.5824477394520048E-3</v>
      </c>
    </row>
  </sheetData>
  <mergeCells count="3">
    <mergeCell ref="C1:E1"/>
    <mergeCell ref="G1:I1"/>
    <mergeCell ref="K1:M1"/>
  </mergeCells>
  <conditionalFormatting sqref="B3:B16">
    <cfRule type="colorScale" priority="11">
      <colorScale>
        <cfvo type="min"/>
        <cfvo type="percentile" val="50"/>
        <cfvo type="max"/>
        <color rgb="FF63BE7B"/>
        <color rgb="FFFFEB84"/>
        <color rgb="FFF8696B"/>
      </colorScale>
    </cfRule>
  </conditionalFormatting>
  <conditionalFormatting sqref="B3:B17">
    <cfRule type="colorScale" priority="1">
      <colorScale>
        <cfvo type="min"/>
        <cfvo type="percentile" val="50"/>
        <cfvo type="max"/>
        <color rgb="FF63BE7B"/>
        <color rgb="FFFFEB84"/>
        <color rgb="FFF8696B"/>
      </colorScale>
    </cfRule>
  </conditionalFormatting>
  <conditionalFormatting sqref="K3:K5 K8:K10 K12:K14 K16:K17">
    <cfRule type="colorScale" priority="5">
      <colorScale>
        <cfvo type="min"/>
        <cfvo type="percentile" val="50"/>
        <cfvo type="max"/>
        <color rgb="FF63BE7B"/>
        <color rgb="FFFFEB84"/>
        <color rgb="FFF8696B"/>
      </colorScale>
    </cfRule>
  </conditionalFormatting>
  <conditionalFormatting sqref="L3:L5 L8:L10 L12:L14 L16:L17">
    <cfRule type="colorScale" priority="4">
      <colorScale>
        <cfvo type="min"/>
        <cfvo type="percentile" val="50"/>
        <cfvo type="max"/>
        <color rgb="FF63BE7B"/>
        <color rgb="FFFFEB84"/>
        <color rgb="FFF8696B"/>
      </colorScale>
    </cfRule>
  </conditionalFormatting>
  <conditionalFormatting sqref="M3:M5 M8:M10 M12:M14 M16:M17">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F86C-7804-41A8-A94D-47C5C8234528}">
  <sheetPr>
    <tabColor theme="4" tint="-0.249977111117893"/>
  </sheetPr>
  <dimension ref="A1:AF122"/>
  <sheetViews>
    <sheetView topLeftCell="A60" zoomScaleNormal="100" workbookViewId="0">
      <selection activeCell="E77" sqref="E77"/>
    </sheetView>
  </sheetViews>
  <sheetFormatPr baseColWidth="10" defaultColWidth="8.83203125" defaultRowHeight="13" x14ac:dyDescent="0.2"/>
  <cols>
    <col min="1" max="1" width="23.5" style="2" customWidth="1"/>
    <col min="2" max="2" width="28.83203125" style="2" customWidth="1"/>
    <col min="3" max="3" width="28.1640625" style="2" customWidth="1"/>
    <col min="4" max="4" width="30.5" style="2" customWidth="1"/>
    <col min="5" max="5" width="33.1640625" style="2" customWidth="1"/>
    <col min="6" max="7" width="30.83203125" style="2" customWidth="1"/>
    <col min="8" max="8" width="30.6640625" style="1" customWidth="1"/>
    <col min="9" max="10" width="21.5" style="1" customWidth="1"/>
    <col min="11" max="11" width="20.1640625" style="1" customWidth="1"/>
    <col min="12" max="12" width="8.83203125" style="1"/>
    <col min="13" max="13" width="19.83203125" style="1" customWidth="1"/>
    <col min="14" max="14" width="19.33203125" style="1" customWidth="1"/>
    <col min="15" max="15" width="23.1640625" style="1" customWidth="1"/>
    <col min="16" max="16" width="18.6640625" style="1" customWidth="1"/>
    <col min="17" max="16384" width="8.83203125" style="1"/>
  </cols>
  <sheetData>
    <row r="1" spans="1:17" ht="14" x14ac:dyDescent="0.2">
      <c r="A1" s="311" t="s">
        <v>437</v>
      </c>
    </row>
    <row r="2" spans="1:17" s="130" customFormat="1" ht="14" x14ac:dyDescent="0.2">
      <c r="A2" s="309" t="s">
        <v>415</v>
      </c>
      <c r="B2" s="249"/>
      <c r="C2" s="249"/>
      <c r="D2" s="249"/>
      <c r="E2" s="249"/>
      <c r="F2" s="249"/>
      <c r="G2" s="249"/>
      <c r="I2" s="57" t="s">
        <v>442</v>
      </c>
    </row>
    <row r="3" spans="1:17" s="130" customFormat="1" ht="14" x14ac:dyDescent="0.2">
      <c r="A3" s="309" t="s">
        <v>416</v>
      </c>
      <c r="B3" s="249"/>
      <c r="C3" s="249"/>
      <c r="D3" s="249"/>
      <c r="E3" s="249"/>
      <c r="F3" s="249"/>
      <c r="G3" s="249"/>
      <c r="I3" s="57" t="s">
        <v>357</v>
      </c>
    </row>
    <row r="4" spans="1:17" s="202" customFormat="1" thickBot="1" x14ac:dyDescent="0.2">
      <c r="A4" s="310" t="s">
        <v>438</v>
      </c>
      <c r="C4" s="248"/>
    </row>
    <row r="5" spans="1:17" ht="42" x14ac:dyDescent="0.2">
      <c r="A5" s="256"/>
      <c r="B5" s="254" t="s">
        <v>360</v>
      </c>
      <c r="C5" s="256"/>
      <c r="D5" s="12"/>
      <c r="E5" s="12"/>
      <c r="F5" s="12"/>
      <c r="G5" s="222"/>
      <c r="H5" s="255" t="s">
        <v>361</v>
      </c>
      <c r="I5" s="1" t="s">
        <v>356</v>
      </c>
      <c r="J5" s="1" t="s">
        <v>356</v>
      </c>
      <c r="K5" s="1" t="s">
        <v>257</v>
      </c>
      <c r="L5" s="1" t="s">
        <v>358</v>
      </c>
      <c r="M5" s="254" t="s">
        <v>362</v>
      </c>
      <c r="N5" s="4"/>
      <c r="O5" s="4"/>
      <c r="P5" s="4"/>
      <c r="Q5" s="37"/>
    </row>
    <row r="6" spans="1:17" ht="14" thickBot="1" x14ac:dyDescent="0.25">
      <c r="B6" s="223"/>
      <c r="D6" s="204"/>
      <c r="G6" s="189"/>
      <c r="H6" s="2"/>
      <c r="I6" s="2">
        <v>650</v>
      </c>
      <c r="J6" s="2">
        <v>460</v>
      </c>
      <c r="K6" s="1">
        <v>650</v>
      </c>
      <c r="L6" s="1">
        <v>490</v>
      </c>
      <c r="M6" s="38"/>
      <c r="Q6" s="11"/>
    </row>
    <row r="7" spans="1:17" ht="14" x14ac:dyDescent="0.2">
      <c r="B7" s="223"/>
      <c r="C7" s="221" t="str">
        <f>Primary_secondary_demand!R17</f>
        <v>kg</v>
      </c>
      <c r="D7" s="12" t="str">
        <f>Primary_secondary_demand!T17</f>
        <v>Board hardwood</v>
      </c>
      <c r="E7" s="12" t="str">
        <f>Primary_secondary_demand!U17</f>
        <v>Beam softwood</v>
      </c>
      <c r="F7" s="12" t="str">
        <f>Primary_secondary_demand!V17</f>
        <v>Beam hardwood</v>
      </c>
      <c r="G7" s="222" t="s">
        <v>341</v>
      </c>
      <c r="H7" s="205" t="s">
        <v>256</v>
      </c>
      <c r="I7" s="12" t="s">
        <v>327</v>
      </c>
      <c r="J7" s="12" t="s">
        <v>328</v>
      </c>
      <c r="K7" s="4" t="s">
        <v>329</v>
      </c>
      <c r="L7" s="4" t="s">
        <v>341</v>
      </c>
      <c r="M7" s="16" t="s">
        <v>330</v>
      </c>
      <c r="N7" s="12" t="s">
        <v>327</v>
      </c>
      <c r="O7" s="12" t="s">
        <v>328</v>
      </c>
      <c r="P7" s="4" t="s">
        <v>329</v>
      </c>
      <c r="Q7" s="37" t="s">
        <v>341</v>
      </c>
    </row>
    <row r="8" spans="1:17" x14ac:dyDescent="0.2">
      <c r="B8" s="223"/>
      <c r="C8" s="223" t="str">
        <f>Primary_secondary_demand!R18</f>
        <v>Baseline</v>
      </c>
      <c r="D8" s="220">
        <f>Primary_secondary_demand!T18</f>
        <v>2610336697.9762378</v>
      </c>
      <c r="E8" s="220">
        <f>Primary_secondary_demand!U18</f>
        <v>7729497000.1185255</v>
      </c>
      <c r="F8" s="220">
        <f>Primary_secondary_demand!V18</f>
        <v>4162036846.2176671</v>
      </c>
      <c r="G8" s="189">
        <v>0</v>
      </c>
      <c r="H8" s="1" t="s">
        <v>235</v>
      </c>
      <c r="I8" s="75">
        <f>D8/I6</f>
        <v>4015902.6122711352</v>
      </c>
      <c r="J8" s="75">
        <f>E8/J6</f>
        <v>16803254.348083749</v>
      </c>
      <c r="K8" s="75">
        <f>F8/K6</f>
        <v>6403133.6095656417</v>
      </c>
      <c r="L8" s="1">
        <v>0</v>
      </c>
      <c r="M8" s="38" t="s">
        <v>235</v>
      </c>
      <c r="N8" s="75">
        <f>I8*$M$32</f>
        <v>6955958.3220382603</v>
      </c>
      <c r="O8" s="75">
        <f>J8*$M$16</f>
        <v>26719158.758979615</v>
      </c>
      <c r="P8" s="75">
        <f>K8*$M$46</f>
        <v>10743006.213352913</v>
      </c>
      <c r="Q8" s="11">
        <v>0</v>
      </c>
    </row>
    <row r="9" spans="1:17" x14ac:dyDescent="0.2">
      <c r="B9" s="223"/>
      <c r="C9" s="223" t="str">
        <f>Primary_secondary_demand!R19</f>
        <v>Biobased</v>
      </c>
      <c r="D9" s="220">
        <f>Primary_secondary_demand!T19</f>
        <v>5016382000.7321186</v>
      </c>
      <c r="E9" s="220">
        <f>Primary_secondary_demand!U19</f>
        <v>14854064479.945658</v>
      </c>
      <c r="F9" s="220">
        <f>Primary_secondary_demand!V19</f>
        <v>7998342412.2784309</v>
      </c>
      <c r="G9" s="224">
        <f>Primary_secondary_demand!W19</f>
        <v>26955813663.271832</v>
      </c>
      <c r="H9" s="1" t="s">
        <v>236</v>
      </c>
      <c r="I9" s="75">
        <f>D9/I6</f>
        <v>7717510.7703571059</v>
      </c>
      <c r="J9" s="75">
        <f>E9/J6</f>
        <v>32291444.521620996</v>
      </c>
      <c r="K9" s="75">
        <f>F9/K6</f>
        <v>12305142.172736047</v>
      </c>
      <c r="L9" s="75">
        <f>G9/L6</f>
        <v>55011864.618922107</v>
      </c>
      <c r="M9" s="38" t="s">
        <v>236</v>
      </c>
      <c r="N9" s="75">
        <f>I9*$M$32</f>
        <v>13367526.170692161</v>
      </c>
      <c r="O9" s="75">
        <f>J9*$M$16</f>
        <v>51347210.180649802</v>
      </c>
      <c r="P9" s="75">
        <f t="shared" ref="P9:P10" si="0">K9*$M$46</f>
        <v>20645238.234668314</v>
      </c>
      <c r="Q9" s="85">
        <f>L9*M61</f>
        <v>109017313.73759669</v>
      </c>
    </row>
    <row r="10" spans="1:17" ht="14" thickBot="1" x14ac:dyDescent="0.25">
      <c r="B10" s="225"/>
      <c r="C10" s="225" t="str">
        <f>Primary_secondary_demand!R20</f>
        <v>Circular</v>
      </c>
      <c r="D10" s="206">
        <f>Primary_secondary_demand!T20</f>
        <v>3796204110.984621</v>
      </c>
      <c r="E10" s="206">
        <f>Primary_secondary_demand!U20</f>
        <v>11240982173.082237</v>
      </c>
      <c r="F10" s="206">
        <f>Primary_secondary_demand!V20</f>
        <v>6052836554.7365894</v>
      </c>
      <c r="G10" s="239">
        <v>0</v>
      </c>
      <c r="H10" s="5" t="s">
        <v>241</v>
      </c>
      <c r="I10" s="76">
        <f>D10/I6</f>
        <v>5840314.0168994172</v>
      </c>
      <c r="J10" s="76">
        <f>E10/J6</f>
        <v>24436917.767570082</v>
      </c>
      <c r="K10" s="76">
        <f>F10/K6</f>
        <v>9312056.2380562909</v>
      </c>
      <c r="L10" s="5">
        <v>0</v>
      </c>
      <c r="M10" s="17" t="s">
        <v>241</v>
      </c>
      <c r="N10" s="76">
        <f>I10*$M$32</f>
        <v>10116027.406898031</v>
      </c>
      <c r="O10" s="76">
        <f>J10*$M$16</f>
        <v>38857585.077636801</v>
      </c>
      <c r="P10" s="76">
        <f t="shared" si="0"/>
        <v>15623518.752612239</v>
      </c>
      <c r="Q10" s="10">
        <v>0</v>
      </c>
    </row>
    <row r="11" spans="1:17" s="4" customFormat="1" ht="15" thickBot="1" x14ac:dyDescent="0.25">
      <c r="A11" s="227"/>
      <c r="B11" s="205" t="s">
        <v>303</v>
      </c>
      <c r="C11" s="204" t="s">
        <v>307</v>
      </c>
      <c r="D11" s="2"/>
      <c r="E11" s="2"/>
      <c r="F11" s="2"/>
      <c r="G11" s="2"/>
      <c r="H11" s="2"/>
      <c r="I11" s="1"/>
      <c r="J11" s="1"/>
      <c r="K11" s="1"/>
      <c r="L11" s="1"/>
      <c r="M11" s="1"/>
      <c r="N11" s="1"/>
      <c r="O11" s="1"/>
      <c r="P11" s="1"/>
      <c r="Q11" s="1"/>
    </row>
    <row r="12" spans="1:17" ht="28" x14ac:dyDescent="0.2">
      <c r="A12" s="223">
        <v>1</v>
      </c>
      <c r="B12" s="2" t="s">
        <v>26</v>
      </c>
      <c r="C12" s="218" t="s">
        <v>131</v>
      </c>
      <c r="D12" s="2" t="s">
        <v>132</v>
      </c>
      <c r="E12" s="2" t="s">
        <v>24</v>
      </c>
      <c r="K12" s="212"/>
      <c r="L12" s="213"/>
      <c r="M12" s="37"/>
    </row>
    <row r="13" spans="1:17" ht="28" x14ac:dyDescent="0.2">
      <c r="A13" s="228"/>
      <c r="B13" s="1">
        <v>0.83581168911900605</v>
      </c>
      <c r="C13" s="2" t="s">
        <v>26</v>
      </c>
      <c r="D13" s="2" t="s">
        <v>296</v>
      </c>
      <c r="E13" s="2" t="s">
        <v>297</v>
      </c>
      <c r="F13" s="2" t="s">
        <v>24</v>
      </c>
      <c r="K13" s="38" t="s">
        <v>353</v>
      </c>
      <c r="M13" s="11">
        <f>B13*C14*D15*SUM(E16:E19)</f>
        <v>1.2720944743433795</v>
      </c>
    </row>
    <row r="14" spans="1:17" ht="14" x14ac:dyDescent="0.2">
      <c r="A14" s="228"/>
      <c r="B14" s="209"/>
      <c r="C14" s="2">
        <v>1.0416666666666701</v>
      </c>
      <c r="D14" s="2" t="s">
        <v>26</v>
      </c>
      <c r="E14" s="2" t="s">
        <v>299</v>
      </c>
      <c r="F14" s="2" t="s">
        <v>300</v>
      </c>
      <c r="G14" s="2" t="s">
        <v>24</v>
      </c>
      <c r="K14" s="38" t="s">
        <v>355</v>
      </c>
      <c r="M14" s="11">
        <f>B20*C21*D22*SUM(E23:E26)</f>
        <v>0.3180236185858441</v>
      </c>
    </row>
    <row r="15" spans="1:17" ht="43" thickBot="1" x14ac:dyDescent="0.25">
      <c r="A15" s="228"/>
      <c r="B15" s="209"/>
      <c r="C15" s="210"/>
      <c r="D15" s="2">
        <v>1.4611074614867701</v>
      </c>
      <c r="E15" s="2" t="s">
        <v>26</v>
      </c>
      <c r="F15" s="2" t="s">
        <v>301</v>
      </c>
      <c r="G15" s="2" t="s">
        <v>302</v>
      </c>
      <c r="H15" s="1" t="s">
        <v>24</v>
      </c>
      <c r="K15" s="17"/>
      <c r="L15" s="5"/>
      <c r="M15" s="10"/>
    </row>
    <row r="16" spans="1:17" ht="65.5" customHeight="1" thickBot="1" x14ac:dyDescent="0.25">
      <c r="A16" s="600"/>
      <c r="B16" s="601"/>
      <c r="C16" s="601"/>
      <c r="D16" s="210"/>
      <c r="E16" s="2">
        <v>0.115223766784548</v>
      </c>
      <c r="F16" s="2" t="s">
        <v>26</v>
      </c>
      <c r="G16" s="2" t="s">
        <v>301</v>
      </c>
      <c r="H16" s="2" t="s">
        <v>304</v>
      </c>
      <c r="I16" s="2" t="s">
        <v>160</v>
      </c>
      <c r="K16" s="214" t="s">
        <v>310</v>
      </c>
      <c r="L16" s="215"/>
      <c r="M16" s="208">
        <f>SUM(M13:M14)</f>
        <v>1.5901180929292236</v>
      </c>
    </row>
    <row r="17" spans="1:13" ht="28" x14ac:dyDescent="0.2">
      <c r="A17" s="228"/>
      <c r="B17" s="209"/>
      <c r="C17" s="210"/>
      <c r="D17" s="210"/>
      <c r="E17" s="2">
        <v>0.24554766836604</v>
      </c>
      <c r="F17" s="2" t="s">
        <v>26</v>
      </c>
      <c r="G17" s="2" t="s">
        <v>301</v>
      </c>
      <c r="H17" s="2" t="s">
        <v>304</v>
      </c>
      <c r="I17" s="2" t="s">
        <v>305</v>
      </c>
    </row>
    <row r="18" spans="1:13" ht="28" x14ac:dyDescent="0.2">
      <c r="A18" s="228"/>
      <c r="B18" s="209"/>
      <c r="C18" s="210"/>
      <c r="D18" s="210"/>
      <c r="E18" s="2">
        <v>0.33592186922675799</v>
      </c>
      <c r="F18" s="2" t="s">
        <v>26</v>
      </c>
      <c r="G18" s="2" t="s">
        <v>301</v>
      </c>
      <c r="H18" s="2" t="s">
        <v>306</v>
      </c>
      <c r="I18" s="2" t="s">
        <v>160</v>
      </c>
    </row>
    <row r="19" spans="1:13" ht="28" x14ac:dyDescent="0.2">
      <c r="A19" s="228"/>
      <c r="B19" s="209"/>
      <c r="C19" s="210"/>
      <c r="D19" s="210"/>
      <c r="E19" s="2">
        <v>0.303306695622654</v>
      </c>
      <c r="F19" s="2" t="s">
        <v>26</v>
      </c>
      <c r="G19" s="2" t="s">
        <v>301</v>
      </c>
      <c r="H19" s="2" t="s">
        <v>306</v>
      </c>
      <c r="I19" s="2" t="s">
        <v>305</v>
      </c>
    </row>
    <row r="20" spans="1:13" ht="28" x14ac:dyDescent="0.2">
      <c r="A20" s="228"/>
      <c r="B20" s="1">
        <v>0.20895292227975101</v>
      </c>
      <c r="C20" s="2" t="s">
        <v>26</v>
      </c>
      <c r="D20" s="2" t="s">
        <v>296</v>
      </c>
      <c r="E20" s="2" t="s">
        <v>298</v>
      </c>
      <c r="F20" s="2" t="s">
        <v>24</v>
      </c>
    </row>
    <row r="21" spans="1:13" ht="14" x14ac:dyDescent="0.2">
      <c r="A21" s="228"/>
      <c r="B21" s="210"/>
      <c r="C21" s="2">
        <v>1.0416666666666701</v>
      </c>
      <c r="D21" s="2" t="s">
        <v>26</v>
      </c>
      <c r="E21" s="2" t="s">
        <v>299</v>
      </c>
      <c r="F21" s="2" t="s">
        <v>300</v>
      </c>
      <c r="G21" s="2" t="s">
        <v>24</v>
      </c>
    </row>
    <row r="22" spans="1:13" ht="42" x14ac:dyDescent="0.2">
      <c r="A22" s="228"/>
      <c r="B22" s="210"/>
      <c r="C22" s="210"/>
      <c r="D22" s="2">
        <v>1.4611074614867701</v>
      </c>
      <c r="E22" s="2" t="s">
        <v>26</v>
      </c>
      <c r="F22" s="2" t="s">
        <v>301</v>
      </c>
      <c r="G22" s="2" t="s">
        <v>302</v>
      </c>
    </row>
    <row r="23" spans="1:13" ht="28" x14ac:dyDescent="0.2">
      <c r="A23" s="228"/>
      <c r="B23" s="210"/>
      <c r="C23" s="210"/>
      <c r="D23" s="210"/>
      <c r="E23" s="2">
        <v>0.115223766784548</v>
      </c>
      <c r="F23" s="2" t="s">
        <v>26</v>
      </c>
      <c r="G23" s="2" t="s">
        <v>301</v>
      </c>
      <c r="H23" s="2" t="s">
        <v>304</v>
      </c>
      <c r="I23" s="2" t="s">
        <v>160</v>
      </c>
    </row>
    <row r="24" spans="1:13" ht="28" x14ac:dyDescent="0.2">
      <c r="A24" s="228"/>
      <c r="B24" s="210"/>
      <c r="C24" s="210"/>
      <c r="D24" s="210"/>
      <c r="E24" s="2">
        <v>0.24554766836604</v>
      </c>
      <c r="F24" s="2" t="s">
        <v>26</v>
      </c>
      <c r="G24" s="2" t="s">
        <v>301</v>
      </c>
      <c r="H24" s="2" t="s">
        <v>304</v>
      </c>
      <c r="I24" s="2" t="s">
        <v>305</v>
      </c>
    </row>
    <row r="25" spans="1:13" ht="28" x14ac:dyDescent="0.2">
      <c r="A25" s="228"/>
      <c r="B25" s="210"/>
      <c r="C25" s="210"/>
      <c r="D25" s="210"/>
      <c r="E25" s="2">
        <v>0.33592186922675799</v>
      </c>
      <c r="F25" s="2" t="s">
        <v>26</v>
      </c>
      <c r="G25" s="2" t="s">
        <v>301</v>
      </c>
      <c r="H25" s="2" t="s">
        <v>306</v>
      </c>
      <c r="I25" s="2" t="s">
        <v>160</v>
      </c>
    </row>
    <row r="26" spans="1:13" s="5" customFormat="1" ht="29" thickBot="1" x14ac:dyDescent="0.25">
      <c r="A26" s="229"/>
      <c r="B26" s="211"/>
      <c r="C26" s="211"/>
      <c r="D26" s="211"/>
      <c r="E26" s="13">
        <v>0.303306695622654</v>
      </c>
      <c r="F26" s="13" t="s">
        <v>26</v>
      </c>
      <c r="G26" s="13" t="s">
        <v>301</v>
      </c>
      <c r="H26" s="13" t="s">
        <v>306</v>
      </c>
      <c r="I26" s="13" t="s">
        <v>305</v>
      </c>
    </row>
    <row r="27" spans="1:13" s="4" customFormat="1" ht="15" thickBot="1" x14ac:dyDescent="0.25">
      <c r="A27" s="227"/>
      <c r="B27" s="205" t="s">
        <v>321</v>
      </c>
      <c r="C27" s="205" t="s">
        <v>307</v>
      </c>
      <c r="D27" s="12"/>
      <c r="E27" s="12"/>
      <c r="F27" s="12"/>
      <c r="G27" s="12"/>
      <c r="H27" s="12"/>
      <c r="I27" s="12"/>
    </row>
    <row r="28" spans="1:13" ht="28" x14ac:dyDescent="0.2">
      <c r="A28" s="223">
        <v>1</v>
      </c>
      <c r="B28" s="2" t="s">
        <v>26</v>
      </c>
      <c r="C28" s="218" t="s">
        <v>137</v>
      </c>
      <c r="H28" s="2"/>
      <c r="I28" s="2"/>
      <c r="K28" s="212"/>
      <c r="L28" s="213"/>
      <c r="M28" s="37"/>
    </row>
    <row r="29" spans="1:13" ht="28" x14ac:dyDescent="0.2">
      <c r="A29" s="228"/>
      <c r="B29" s="2">
        <v>0.21619113319396999</v>
      </c>
      <c r="C29" s="2" t="s">
        <v>26</v>
      </c>
      <c r="D29" s="2" t="s">
        <v>311</v>
      </c>
      <c r="E29" s="2" t="s">
        <v>312</v>
      </c>
      <c r="F29" s="2" t="s">
        <v>24</v>
      </c>
      <c r="H29" s="2"/>
      <c r="I29" s="2"/>
      <c r="K29" s="38" t="s">
        <v>355</v>
      </c>
      <c r="M29" s="11">
        <f>B29*C30*D31*SUM(E32:E34)</f>
        <v>0.34642066771158142</v>
      </c>
    </row>
    <row r="30" spans="1:13" ht="14" x14ac:dyDescent="0.2">
      <c r="A30" s="228"/>
      <c r="B30" s="210"/>
      <c r="C30" s="2">
        <v>1.0416666666666701</v>
      </c>
      <c r="D30" s="2" t="s">
        <v>26</v>
      </c>
      <c r="E30" s="2" t="s">
        <v>314</v>
      </c>
      <c r="F30" s="2" t="s">
        <v>315</v>
      </c>
      <c r="G30" s="2" t="s">
        <v>24</v>
      </c>
      <c r="H30" s="2"/>
      <c r="I30" s="2"/>
      <c r="K30" s="38" t="s">
        <v>353</v>
      </c>
      <c r="M30" s="11">
        <f>B35*C36*D37*SUM(E38:E40)</f>
        <v>1.3856826708463275</v>
      </c>
    </row>
    <row r="31" spans="1:13" ht="43" thickBot="1" x14ac:dyDescent="0.25">
      <c r="A31" s="228"/>
      <c r="B31" s="210"/>
      <c r="C31" s="210"/>
      <c r="D31" s="2">
        <v>1.53828621965146</v>
      </c>
      <c r="E31" s="2" t="s">
        <v>26</v>
      </c>
      <c r="F31" s="2" t="s">
        <v>316</v>
      </c>
      <c r="G31" s="2" t="s">
        <v>317</v>
      </c>
      <c r="H31" s="2"/>
      <c r="I31" s="2"/>
      <c r="K31" s="17"/>
      <c r="L31" s="5"/>
      <c r="M31" s="10"/>
    </row>
    <row r="32" spans="1:13" ht="26.5" customHeight="1" thickBot="1" x14ac:dyDescent="0.25">
      <c r="A32" s="228"/>
      <c r="B32" s="210"/>
      <c r="C32" s="210"/>
      <c r="D32" s="210"/>
      <c r="E32" s="2">
        <v>0.76354241844216397</v>
      </c>
      <c r="F32" s="2" t="s">
        <v>26</v>
      </c>
      <c r="G32" s="2" t="s">
        <v>316</v>
      </c>
      <c r="H32" s="2"/>
      <c r="I32" s="2"/>
      <c r="K32" s="214" t="s">
        <v>310</v>
      </c>
      <c r="L32" s="215"/>
      <c r="M32" s="208">
        <f>SUM(M29:M30)</f>
        <v>1.7321033385579088</v>
      </c>
    </row>
    <row r="33" spans="1:13" ht="28" x14ac:dyDescent="0.2">
      <c r="A33" s="228"/>
      <c r="B33" s="210"/>
      <c r="C33" s="210"/>
      <c r="D33" s="210"/>
      <c r="E33" s="2">
        <v>5.5964414149484297E-2</v>
      </c>
      <c r="F33" s="2" t="s">
        <v>26</v>
      </c>
      <c r="G33" s="2" t="s">
        <v>316</v>
      </c>
      <c r="H33" s="2"/>
      <c r="I33" s="2"/>
    </row>
    <row r="34" spans="1:13" ht="28" x14ac:dyDescent="0.2">
      <c r="A34" s="228"/>
      <c r="B34" s="210"/>
      <c r="C34" s="210"/>
      <c r="D34" s="210"/>
      <c r="E34" s="2">
        <v>0.180493167408351</v>
      </c>
      <c r="F34" s="2" t="s">
        <v>26</v>
      </c>
      <c r="G34" s="2" t="s">
        <v>316</v>
      </c>
      <c r="H34" s="2"/>
      <c r="I34" s="2"/>
    </row>
    <row r="35" spans="1:13" ht="28" x14ac:dyDescent="0.2">
      <c r="A35" s="228"/>
      <c r="B35" s="2">
        <v>0.86476453277588095</v>
      </c>
      <c r="C35" s="2" t="s">
        <v>26</v>
      </c>
      <c r="D35" s="2" t="s">
        <v>311</v>
      </c>
      <c r="E35" s="2" t="s">
        <v>313</v>
      </c>
      <c r="F35" s="2" t="s">
        <v>24</v>
      </c>
      <c r="H35" s="2"/>
      <c r="I35" s="2"/>
    </row>
    <row r="36" spans="1:13" ht="14" x14ac:dyDescent="0.2">
      <c r="A36" s="228"/>
      <c r="B36" s="210"/>
      <c r="C36" s="2">
        <v>1.0416666666666701</v>
      </c>
      <c r="D36" s="2" t="s">
        <v>26</v>
      </c>
      <c r="E36" s="2" t="s">
        <v>314</v>
      </c>
      <c r="F36" s="2" t="s">
        <v>315</v>
      </c>
      <c r="G36" s="2" t="s">
        <v>24</v>
      </c>
      <c r="H36" s="2"/>
      <c r="I36" s="2"/>
    </row>
    <row r="37" spans="1:13" ht="42" x14ac:dyDescent="0.2">
      <c r="A37" s="228"/>
      <c r="B37" s="210"/>
      <c r="C37" s="210"/>
      <c r="D37" s="2">
        <v>1.53828621965146</v>
      </c>
      <c r="E37" s="2" t="s">
        <v>26</v>
      </c>
      <c r="F37" s="2" t="s">
        <v>316</v>
      </c>
      <c r="G37" s="2" t="s">
        <v>317</v>
      </c>
      <c r="H37" s="2" t="s">
        <v>24</v>
      </c>
      <c r="I37" s="2"/>
    </row>
    <row r="38" spans="1:13" ht="28" x14ac:dyDescent="0.2">
      <c r="A38" s="228"/>
      <c r="B38" s="210"/>
      <c r="C38" s="210"/>
      <c r="D38" s="210"/>
      <c r="E38" s="2">
        <v>0.76354241844216397</v>
      </c>
      <c r="F38" s="2" t="s">
        <v>26</v>
      </c>
      <c r="G38" s="2" t="s">
        <v>316</v>
      </c>
      <c r="H38" s="2" t="s">
        <v>318</v>
      </c>
      <c r="I38" s="2" t="s">
        <v>160</v>
      </c>
    </row>
    <row r="39" spans="1:13" ht="28" x14ac:dyDescent="0.2">
      <c r="A39" s="228"/>
      <c r="B39" s="210"/>
      <c r="C39" s="210"/>
      <c r="D39" s="210"/>
      <c r="E39" s="2">
        <v>5.5964414149484297E-2</v>
      </c>
      <c r="F39" s="2" t="s">
        <v>26</v>
      </c>
      <c r="G39" s="2" t="s">
        <v>316</v>
      </c>
      <c r="H39" s="2" t="s">
        <v>319</v>
      </c>
      <c r="I39" s="2" t="s">
        <v>305</v>
      </c>
    </row>
    <row r="40" spans="1:13" s="5" customFormat="1" ht="29" thickBot="1" x14ac:dyDescent="0.25">
      <c r="A40" s="229"/>
      <c r="B40" s="211"/>
      <c r="C40" s="211"/>
      <c r="D40" s="211"/>
      <c r="E40" s="13">
        <v>0.180493167408351</v>
      </c>
      <c r="F40" s="13" t="s">
        <v>26</v>
      </c>
      <c r="G40" s="13" t="s">
        <v>316</v>
      </c>
      <c r="H40" s="13" t="s">
        <v>320</v>
      </c>
      <c r="I40" s="13" t="s">
        <v>160</v>
      </c>
    </row>
    <row r="41" spans="1:13" s="4" customFormat="1" ht="15" thickBot="1" x14ac:dyDescent="0.25">
      <c r="A41" s="227"/>
      <c r="B41" s="205" t="s">
        <v>322</v>
      </c>
      <c r="C41" s="205" t="s">
        <v>307</v>
      </c>
      <c r="D41" s="12"/>
      <c r="E41" s="12"/>
      <c r="F41" s="12"/>
      <c r="G41" s="12"/>
      <c r="H41" s="12"/>
      <c r="I41" s="12"/>
    </row>
    <row r="42" spans="1:13" ht="28" x14ac:dyDescent="0.2">
      <c r="A42" s="223">
        <v>1</v>
      </c>
      <c r="B42" s="2" t="s">
        <v>26</v>
      </c>
      <c r="C42" s="218" t="s">
        <v>134</v>
      </c>
      <c r="D42" s="2" t="s">
        <v>135</v>
      </c>
      <c r="E42" s="2" t="s">
        <v>24</v>
      </c>
      <c r="K42" s="212"/>
      <c r="L42" s="213"/>
      <c r="M42" s="216"/>
    </row>
    <row r="43" spans="1:13" ht="28" x14ac:dyDescent="0.2">
      <c r="A43" s="228"/>
      <c r="B43" s="2">
        <v>0.83763985582732503</v>
      </c>
      <c r="C43" s="2" t="s">
        <v>26</v>
      </c>
      <c r="D43" s="2" t="s">
        <v>323</v>
      </c>
      <c r="E43" s="2" t="s">
        <v>324</v>
      </c>
      <c r="F43" s="2" t="s">
        <v>24</v>
      </c>
      <c r="K43" s="38" t="s">
        <v>353</v>
      </c>
      <c r="M43" s="30">
        <f>B43*C44*D45*(SUM(E46:E48))</f>
        <v>1.3422185908854301</v>
      </c>
    </row>
    <row r="44" spans="1:13" ht="14" x14ac:dyDescent="0.2">
      <c r="A44" s="228"/>
      <c r="B44" s="210"/>
      <c r="C44" s="2">
        <v>1.0416666666666701</v>
      </c>
      <c r="D44" s="2" t="s">
        <v>26</v>
      </c>
      <c r="E44" s="2" t="s">
        <v>314</v>
      </c>
      <c r="F44" s="2" t="s">
        <v>315</v>
      </c>
      <c r="G44" s="2" t="s">
        <v>24</v>
      </c>
      <c r="H44" s="1" t="s">
        <v>5</v>
      </c>
      <c r="K44" s="38" t="s">
        <v>354</v>
      </c>
      <c r="M44" s="30">
        <f>B49*C50*D51*SUM(E52:E54)</f>
        <v>0.33555464772135712</v>
      </c>
    </row>
    <row r="45" spans="1:13" ht="43" thickBot="1" x14ac:dyDescent="0.25">
      <c r="A45" s="228"/>
      <c r="B45" s="210"/>
      <c r="C45" s="210"/>
      <c r="D45" s="2">
        <v>1.53828621965146</v>
      </c>
      <c r="E45" s="2" t="s">
        <v>26</v>
      </c>
      <c r="F45" s="2" t="s">
        <v>316</v>
      </c>
      <c r="G45" s="2" t="s">
        <v>317</v>
      </c>
      <c r="H45" s="1" t="s">
        <v>24</v>
      </c>
      <c r="K45" s="17"/>
      <c r="L45" s="5"/>
      <c r="M45" s="217"/>
    </row>
    <row r="46" spans="1:13" ht="43" thickBot="1" x14ac:dyDescent="0.25">
      <c r="A46" s="228"/>
      <c r="B46" s="210"/>
      <c r="C46" s="210"/>
      <c r="D46" s="210"/>
      <c r="E46" s="2">
        <v>0.76354241844216397</v>
      </c>
      <c r="F46" s="2" t="s">
        <v>26</v>
      </c>
      <c r="G46" s="2" t="s">
        <v>316</v>
      </c>
      <c r="H46" s="1" t="s">
        <v>318</v>
      </c>
      <c r="I46" s="1" t="s">
        <v>160</v>
      </c>
      <c r="K46" s="214" t="s">
        <v>310</v>
      </c>
      <c r="L46" s="215"/>
      <c r="M46" s="219">
        <f>M43+M44</f>
        <v>1.6777732386067872</v>
      </c>
    </row>
    <row r="47" spans="1:13" ht="28" x14ac:dyDescent="0.2">
      <c r="A47" s="228"/>
      <c r="B47" s="210"/>
      <c r="C47" s="210"/>
      <c r="D47" s="210"/>
      <c r="E47" s="2">
        <v>5.5964414149484297E-2</v>
      </c>
      <c r="F47" s="2" t="s">
        <v>26</v>
      </c>
      <c r="G47" s="2" t="s">
        <v>316</v>
      </c>
      <c r="H47" s="1" t="s">
        <v>319</v>
      </c>
      <c r="I47" s="1" t="s">
        <v>305</v>
      </c>
    </row>
    <row r="48" spans="1:13" ht="28" x14ac:dyDescent="0.2">
      <c r="A48" s="228"/>
      <c r="B48" s="210"/>
      <c r="C48" s="210"/>
      <c r="D48" s="210"/>
      <c r="E48" s="2">
        <v>0.180493167408351</v>
      </c>
      <c r="F48" s="2" t="s">
        <v>26</v>
      </c>
      <c r="G48" s="2" t="s">
        <v>316</v>
      </c>
      <c r="H48" s="1" t="s">
        <v>320</v>
      </c>
      <c r="I48" s="1" t="s">
        <v>160</v>
      </c>
    </row>
    <row r="49" spans="1:13" ht="28" x14ac:dyDescent="0.2">
      <c r="A49" s="228"/>
      <c r="B49" s="2">
        <v>0.20940996395683101</v>
      </c>
      <c r="C49" s="2" t="s">
        <v>26</v>
      </c>
      <c r="D49" s="2" t="s">
        <v>323</v>
      </c>
      <c r="E49" s="2" t="s">
        <v>325</v>
      </c>
      <c r="F49" s="2" t="s">
        <v>24</v>
      </c>
    </row>
    <row r="50" spans="1:13" ht="14" x14ac:dyDescent="0.2">
      <c r="A50" s="228"/>
      <c r="B50" s="210"/>
      <c r="C50" s="2">
        <v>1.0416666666666701</v>
      </c>
      <c r="D50" s="2" t="s">
        <v>26</v>
      </c>
      <c r="E50" s="2" t="s">
        <v>314</v>
      </c>
      <c r="F50" s="2" t="s">
        <v>315</v>
      </c>
      <c r="G50" s="2" t="s">
        <v>24</v>
      </c>
    </row>
    <row r="51" spans="1:13" ht="42" x14ac:dyDescent="0.2">
      <c r="A51" s="228"/>
      <c r="B51" s="210"/>
      <c r="C51" s="210"/>
      <c r="D51" s="2">
        <v>1.53828621965146</v>
      </c>
      <c r="E51" s="2" t="s">
        <v>26</v>
      </c>
      <c r="F51" s="2" t="s">
        <v>316</v>
      </c>
      <c r="G51" s="2" t="s">
        <v>317</v>
      </c>
      <c r="H51" s="1" t="s">
        <v>24</v>
      </c>
    </row>
    <row r="52" spans="1:13" ht="28" x14ac:dyDescent="0.2">
      <c r="A52" s="228"/>
      <c r="B52" s="210"/>
      <c r="C52" s="210"/>
      <c r="D52" s="210"/>
      <c r="E52" s="2">
        <v>0.76354241844216397</v>
      </c>
      <c r="F52" s="2" t="s">
        <v>26</v>
      </c>
      <c r="G52" s="2" t="s">
        <v>316</v>
      </c>
      <c r="H52" s="1" t="s">
        <v>318</v>
      </c>
      <c r="I52" s="1" t="s">
        <v>160</v>
      </c>
    </row>
    <row r="53" spans="1:13" ht="28" x14ac:dyDescent="0.2">
      <c r="A53" s="228"/>
      <c r="B53" s="210"/>
      <c r="C53" s="210"/>
      <c r="D53" s="210"/>
      <c r="E53" s="2">
        <v>5.5964414149484297E-2</v>
      </c>
      <c r="F53" s="2" t="s">
        <v>26</v>
      </c>
      <c r="G53" s="2" t="s">
        <v>316</v>
      </c>
      <c r="H53" s="1" t="s">
        <v>319</v>
      </c>
      <c r="I53" s="1" t="s">
        <v>305</v>
      </c>
    </row>
    <row r="54" spans="1:13" s="5" customFormat="1" ht="29" thickBot="1" x14ac:dyDescent="0.25">
      <c r="A54" s="229"/>
      <c r="B54" s="211"/>
      <c r="C54" s="211"/>
      <c r="D54" s="211"/>
      <c r="E54" s="13">
        <v>0.180493167408351</v>
      </c>
      <c r="F54" s="13" t="s">
        <v>26</v>
      </c>
      <c r="G54" s="13" t="s">
        <v>316</v>
      </c>
      <c r="H54" s="5" t="s">
        <v>320</v>
      </c>
      <c r="I54" s="5" t="s">
        <v>160</v>
      </c>
    </row>
    <row r="55" spans="1:13" s="4" customFormat="1" ht="15" thickBot="1" x14ac:dyDescent="0.25">
      <c r="A55" s="227"/>
      <c r="B55" s="205" t="s">
        <v>347</v>
      </c>
      <c r="C55" s="205" t="s">
        <v>307</v>
      </c>
      <c r="D55" s="12"/>
      <c r="E55" s="12"/>
      <c r="F55" s="12"/>
      <c r="G55" s="12"/>
    </row>
    <row r="56" spans="1:13" ht="14" x14ac:dyDescent="0.2">
      <c r="A56" s="223">
        <v>1</v>
      </c>
      <c r="B56" s="2" t="s">
        <v>26</v>
      </c>
      <c r="C56" s="2" t="s">
        <v>339</v>
      </c>
      <c r="D56" s="2" t="s">
        <v>340</v>
      </c>
      <c r="E56" s="2" t="s">
        <v>4</v>
      </c>
      <c r="K56" s="212"/>
      <c r="L56" s="213"/>
      <c r="M56" s="216"/>
    </row>
    <row r="57" spans="1:13" ht="28" x14ac:dyDescent="0.2">
      <c r="A57" s="228"/>
      <c r="B57" s="2">
        <v>0.84448439952211296</v>
      </c>
      <c r="C57" s="2" t="s">
        <v>26</v>
      </c>
      <c r="D57" s="2" t="s">
        <v>345</v>
      </c>
      <c r="E57" s="2" t="s">
        <v>346</v>
      </c>
      <c r="K57" s="38" t="s">
        <v>349</v>
      </c>
      <c r="M57" s="30">
        <f>B57*C58*D59</f>
        <v>1.3411765839684058</v>
      </c>
    </row>
    <row r="58" spans="1:13" ht="14" x14ac:dyDescent="0.2">
      <c r="A58" s="228"/>
      <c r="B58" s="210"/>
      <c r="C58" s="2">
        <v>1.0869565217391299</v>
      </c>
      <c r="D58" s="2" t="s">
        <v>26</v>
      </c>
      <c r="E58" s="2" t="s">
        <v>299</v>
      </c>
      <c r="F58" s="2" t="s">
        <v>300</v>
      </c>
      <c r="G58" s="2" t="s">
        <v>24</v>
      </c>
      <c r="K58" s="38" t="s">
        <v>350</v>
      </c>
      <c r="M58" s="30">
        <f>B60*C61*D62</f>
        <v>5.7421919282035265E-2</v>
      </c>
    </row>
    <row r="59" spans="1:13" ht="42" x14ac:dyDescent="0.2">
      <c r="A59" s="228"/>
      <c r="B59" s="210"/>
      <c r="C59" s="210"/>
      <c r="D59" s="2">
        <v>1.4611074614867701</v>
      </c>
      <c r="E59" s="2" t="s">
        <v>26</v>
      </c>
      <c r="F59" s="2" t="s">
        <v>301</v>
      </c>
      <c r="G59" s="2" t="s">
        <v>302</v>
      </c>
      <c r="H59" s="1" t="s">
        <v>24</v>
      </c>
      <c r="I59" s="1">
        <f>SUM(B57:B64)</f>
        <v>1.4628339393647132</v>
      </c>
      <c r="K59" s="38" t="s">
        <v>351</v>
      </c>
      <c r="M59" s="30">
        <f>B63</f>
        <v>0.55587802902068695</v>
      </c>
    </row>
    <row r="60" spans="1:13" ht="29" thickBot="1" x14ac:dyDescent="0.25">
      <c r="A60" s="228"/>
      <c r="B60" s="2">
        <v>3.5242560234373797E-2</v>
      </c>
      <c r="C60" s="2" t="s">
        <v>26</v>
      </c>
      <c r="D60" s="2" t="s">
        <v>345</v>
      </c>
      <c r="E60" s="2" t="s">
        <v>346</v>
      </c>
      <c r="I60" s="1">
        <f>B57*C58*D59</f>
        <v>1.3411765839684058</v>
      </c>
      <c r="K60" s="38" t="s">
        <v>352</v>
      </c>
      <c r="M60" s="30">
        <f>B64</f>
        <v>2.7228950587539599E-2</v>
      </c>
    </row>
    <row r="61" spans="1:13" ht="29" thickBot="1" x14ac:dyDescent="0.25">
      <c r="A61" s="228"/>
      <c r="B61" s="210"/>
      <c r="C61" s="2">
        <v>1.0869565217391299</v>
      </c>
      <c r="D61" s="2" t="s">
        <v>26</v>
      </c>
      <c r="E61" s="2" t="s">
        <v>299</v>
      </c>
      <c r="F61" s="2" t="s">
        <v>300</v>
      </c>
      <c r="G61" s="2" t="s">
        <v>50</v>
      </c>
      <c r="K61" s="214" t="s">
        <v>348</v>
      </c>
      <c r="L61" s="215"/>
      <c r="M61" s="219">
        <f>SUM(M57:M60)</f>
        <v>1.9817054828586678</v>
      </c>
    </row>
    <row r="62" spans="1:13" ht="42" x14ac:dyDescent="0.2">
      <c r="A62" s="228"/>
      <c r="B62" s="210"/>
      <c r="C62" s="210"/>
      <c r="D62" s="2">
        <v>1.4989877406223899</v>
      </c>
      <c r="E62" s="2" t="s">
        <v>26</v>
      </c>
      <c r="F62" s="2" t="s">
        <v>301</v>
      </c>
      <c r="G62" s="2" t="s">
        <v>302</v>
      </c>
      <c r="H62" s="1" t="s">
        <v>50</v>
      </c>
    </row>
    <row r="63" spans="1:13" ht="42" x14ac:dyDescent="0.2">
      <c r="A63" s="228"/>
      <c r="B63" s="2">
        <v>0.55587802902068695</v>
      </c>
      <c r="C63" s="2" t="s">
        <v>26</v>
      </c>
      <c r="D63" s="2" t="s">
        <v>301</v>
      </c>
      <c r="E63" s="2" t="s">
        <v>302</v>
      </c>
    </row>
    <row r="64" spans="1:13" s="5" customFormat="1" ht="43" thickBot="1" x14ac:dyDescent="0.25">
      <c r="A64" s="229"/>
      <c r="B64" s="13">
        <v>2.7228950587539599E-2</v>
      </c>
      <c r="C64" s="13" t="s">
        <v>26</v>
      </c>
      <c r="D64" s="13" t="s">
        <v>301</v>
      </c>
      <c r="E64" s="13" t="s">
        <v>302</v>
      </c>
      <c r="F64" s="13"/>
      <c r="G64" s="13"/>
    </row>
    <row r="66" spans="1:32" ht="14" thickBot="1" x14ac:dyDescent="0.25"/>
    <row r="67" spans="1:32" ht="15" thickBot="1" x14ac:dyDescent="0.25">
      <c r="A67" s="321"/>
      <c r="B67" s="323" t="s">
        <v>308</v>
      </c>
      <c r="C67" s="324" t="s">
        <v>309</v>
      </c>
    </row>
    <row r="68" spans="1:32" ht="28" x14ac:dyDescent="0.2">
      <c r="A68" s="160" t="s">
        <v>439</v>
      </c>
      <c r="B68" s="220">
        <f>(0.0214+0.02771)/2</f>
        <v>2.4555E-2</v>
      </c>
      <c r="C68" s="224">
        <f>(0.0694+0.0384)/2</f>
        <v>5.3900000000000003E-2</v>
      </c>
      <c r="H68" s="2"/>
      <c r="I68" s="2"/>
    </row>
    <row r="69" spans="1:32" ht="14" x14ac:dyDescent="0.2">
      <c r="A69" s="160" t="s">
        <v>440</v>
      </c>
      <c r="B69" s="2">
        <v>140</v>
      </c>
      <c r="C69" s="189">
        <v>110</v>
      </c>
      <c r="H69" s="2"/>
      <c r="I69" s="2"/>
    </row>
    <row r="70" spans="1:32" ht="13.25" hidden="1" customHeight="1" x14ac:dyDescent="0.2">
      <c r="A70" s="160"/>
      <c r="B70" s="245"/>
      <c r="C70" s="244"/>
      <c r="G70" s="207"/>
      <c r="H70" s="238"/>
    </row>
    <row r="71" spans="1:32" ht="29" thickBot="1" x14ac:dyDescent="0.25">
      <c r="A71" s="158" t="s">
        <v>441</v>
      </c>
      <c r="B71" s="206">
        <f>B68/B69</f>
        <v>1.7539285714285714E-4</v>
      </c>
      <c r="C71" s="226">
        <f>C68/C69</f>
        <v>4.8999999999999998E-4</v>
      </c>
      <c r="G71" s="204"/>
      <c r="H71" s="204"/>
      <c r="I71" s="204"/>
    </row>
    <row r="72" spans="1:32" ht="15" thickBot="1" x14ac:dyDescent="0.25">
      <c r="A72" s="325"/>
      <c r="B72" s="210"/>
      <c r="C72" s="210"/>
      <c r="D72" s="321" t="s">
        <v>253</v>
      </c>
      <c r="G72" s="204"/>
      <c r="H72" s="204"/>
      <c r="I72" s="204"/>
    </row>
    <row r="73" spans="1:32" ht="28" x14ac:dyDescent="0.2">
      <c r="A73" s="159" t="s">
        <v>331</v>
      </c>
      <c r="B73" s="230">
        <f>(N8+P8)/32</f>
        <v>553092.6417309742</v>
      </c>
      <c r="C73" s="230">
        <f>O8/32</f>
        <v>834973.71121811296</v>
      </c>
      <c r="D73" s="246">
        <f>B73+C73</f>
        <v>1388066.352949087</v>
      </c>
      <c r="G73" s="204"/>
      <c r="H73" s="204"/>
      <c r="I73" s="204"/>
      <c r="AF73"/>
    </row>
    <row r="74" spans="1:32" ht="28" x14ac:dyDescent="0.2">
      <c r="A74" s="160" t="s">
        <v>332</v>
      </c>
      <c r="B74" s="220">
        <f>(N9+P9)/32</f>
        <v>1062898.8876675148</v>
      </c>
      <c r="C74" s="220">
        <f>(O9+Q9)/32</f>
        <v>5011391.3724452034</v>
      </c>
      <c r="D74" s="246">
        <f>B74+C74</f>
        <v>6074290.2601127177</v>
      </c>
      <c r="G74" s="204"/>
      <c r="H74" s="204"/>
      <c r="I74" s="204"/>
    </row>
    <row r="75" spans="1:32" ht="15" thickBot="1" x14ac:dyDescent="0.25">
      <c r="A75" s="160" t="s">
        <v>333</v>
      </c>
      <c r="B75" s="220">
        <f>(N10+P10)/32</f>
        <v>804360.81748469593</v>
      </c>
      <c r="C75" s="220">
        <f>O10/32</f>
        <v>1214299.53367615</v>
      </c>
      <c r="D75" s="246">
        <f>B75+C75</f>
        <v>2018660.351160846</v>
      </c>
      <c r="G75" s="204"/>
      <c r="H75" s="204"/>
      <c r="I75" s="204"/>
    </row>
    <row r="76" spans="1:32" ht="15" thickBot="1" x14ac:dyDescent="0.25">
      <c r="A76" s="321" t="s">
        <v>337</v>
      </c>
      <c r="B76" s="323"/>
      <c r="C76" s="324"/>
      <c r="D76" s="321"/>
      <c r="E76" s="357" t="s">
        <v>502</v>
      </c>
      <c r="G76" s="204"/>
      <c r="H76" s="204"/>
      <c r="I76" s="204"/>
    </row>
    <row r="77" spans="1:32" ht="15" x14ac:dyDescent="0.2">
      <c r="A77" s="160" t="s">
        <v>378</v>
      </c>
      <c r="B77" s="220">
        <f>B73/B$71</f>
        <v>3153450207.3849068</v>
      </c>
      <c r="C77" s="224">
        <f>C73/C$71</f>
        <v>1704027982.0777817</v>
      </c>
      <c r="D77" s="246">
        <f>B77+C77</f>
        <v>4857478189.4626884</v>
      </c>
      <c r="E77" s="408">
        <f t="shared" ref="E77:E78" si="1">D77/1000000</f>
        <v>4857.4781894626885</v>
      </c>
      <c r="G77" s="204"/>
      <c r="H77" s="204"/>
      <c r="I77" s="204"/>
      <c r="K77" s="237"/>
    </row>
    <row r="78" spans="1:32" ht="14" x14ac:dyDescent="0.2">
      <c r="A78" s="160" t="s">
        <v>236</v>
      </c>
      <c r="B78" s="220">
        <f>B74/B$71</f>
        <v>6060103615.2902498</v>
      </c>
      <c r="C78" s="224">
        <f t="shared" ref="C78:C79" si="2">C74/C$71</f>
        <v>10227329331.520824</v>
      </c>
      <c r="D78" s="246">
        <f t="shared" ref="D78:D79" si="3">B78+C78</f>
        <v>16287432946.811073</v>
      </c>
      <c r="E78" s="408">
        <f t="shared" si="1"/>
        <v>16287.432946811074</v>
      </c>
      <c r="G78" s="204"/>
      <c r="H78" s="204"/>
      <c r="I78" s="204"/>
    </row>
    <row r="79" spans="1:32" ht="15" thickBot="1" x14ac:dyDescent="0.25">
      <c r="A79" s="158" t="s">
        <v>241</v>
      </c>
      <c r="B79" s="206">
        <f t="shared" ref="B79" si="4">B75/B$71</f>
        <v>4586052309.01476</v>
      </c>
      <c r="C79" s="226">
        <f t="shared" si="2"/>
        <v>2478162313.6247959</v>
      </c>
      <c r="D79" s="247">
        <f t="shared" si="3"/>
        <v>7064214622.6395559</v>
      </c>
      <c r="E79" s="408">
        <f>D79/1000000</f>
        <v>7064.2146226395562</v>
      </c>
      <c r="G79" s="204"/>
      <c r="H79" s="204"/>
      <c r="I79" s="204"/>
    </row>
    <row r="80" spans="1:32" ht="14" thickBot="1" x14ac:dyDescent="0.25">
      <c r="A80" s="160"/>
      <c r="G80" s="204"/>
      <c r="H80" s="204"/>
      <c r="I80" s="204"/>
    </row>
    <row r="81" spans="1:9" ht="15" thickBot="1" x14ac:dyDescent="0.25">
      <c r="A81" s="321" t="s">
        <v>258</v>
      </c>
      <c r="B81" s="127">
        <v>41543000000</v>
      </c>
      <c r="C81" s="39" t="s">
        <v>255</v>
      </c>
      <c r="G81" s="204"/>
      <c r="H81" s="204"/>
      <c r="I81" s="204"/>
    </row>
    <row r="82" spans="1:9" ht="14" thickBot="1" x14ac:dyDescent="0.25">
      <c r="A82" s="160"/>
      <c r="G82" s="204"/>
      <c r="H82" s="204"/>
      <c r="I82" s="204"/>
    </row>
    <row r="83" spans="1:9" ht="15" thickBot="1" x14ac:dyDescent="0.25">
      <c r="A83" s="322" t="s">
        <v>359</v>
      </c>
      <c r="B83" s="323"/>
      <c r="C83" s="324"/>
      <c r="D83" s="321" t="s">
        <v>253</v>
      </c>
    </row>
    <row r="84" spans="1:9" ht="14" x14ac:dyDescent="0.2">
      <c r="A84" s="159" t="s">
        <v>235</v>
      </c>
      <c r="B84" s="231">
        <f>B77/B$81</f>
        <v>7.5908100218686825E-2</v>
      </c>
      <c r="C84" s="232">
        <f>C77/B$81</f>
        <v>4.1018414223281459E-2</v>
      </c>
      <c r="D84" s="250">
        <f>B84+C84</f>
        <v>0.11692651444196828</v>
      </c>
    </row>
    <row r="85" spans="1:9" ht="14" x14ac:dyDescent="0.2">
      <c r="A85" s="160" t="s">
        <v>236</v>
      </c>
      <c r="B85" s="233">
        <f t="shared" ref="B85:B86" si="5">B78/B$81</f>
        <v>0.14587544508798714</v>
      </c>
      <c r="C85" s="234">
        <f t="shared" ref="C85:C86" si="6">C78/B$81</f>
        <v>0.24618658574298496</v>
      </c>
      <c r="D85" s="251">
        <f>B85+C85</f>
        <v>0.39206203083097213</v>
      </c>
    </row>
    <row r="86" spans="1:9" ht="15" thickBot="1" x14ac:dyDescent="0.25">
      <c r="A86" s="158" t="s">
        <v>241</v>
      </c>
      <c r="B86" s="235">
        <f t="shared" si="5"/>
        <v>0.11039290154814915</v>
      </c>
      <c r="C86" s="236">
        <f t="shared" si="6"/>
        <v>5.9652945469147532E-2</v>
      </c>
      <c r="D86" s="252">
        <f t="shared" ref="D86" si="7">B86+C86</f>
        <v>0.17004584701729669</v>
      </c>
    </row>
    <row r="87" spans="1:9" x14ac:dyDescent="0.2">
      <c r="A87" s="160"/>
    </row>
    <row r="89" spans="1:9" ht="14" x14ac:dyDescent="0.2">
      <c r="A89" s="57"/>
      <c r="D89" s="1"/>
    </row>
    <row r="90" spans="1:9" x14ac:dyDescent="0.2">
      <c r="D90" s="204"/>
    </row>
    <row r="91" spans="1:9" x14ac:dyDescent="0.2">
      <c r="C91" s="207"/>
      <c r="D91" s="238"/>
    </row>
    <row r="92" spans="1:9" x14ac:dyDescent="0.2">
      <c r="C92" s="204"/>
      <c r="D92" s="238"/>
    </row>
    <row r="93" spans="1:9" x14ac:dyDescent="0.2">
      <c r="D93" s="320"/>
    </row>
    <row r="94" spans="1:9" x14ac:dyDescent="0.2">
      <c r="D94" s="1"/>
    </row>
    <row r="95" spans="1:9" x14ac:dyDescent="0.2">
      <c r="D95" s="1"/>
    </row>
    <row r="96" spans="1:9" x14ac:dyDescent="0.2">
      <c r="D96" s="1"/>
    </row>
    <row r="97" spans="4:4" x14ac:dyDescent="0.2">
      <c r="D97" s="238"/>
    </row>
    <row r="98" spans="4:4" x14ac:dyDescent="0.2">
      <c r="D98" s="1"/>
    </row>
    <row r="99" spans="4:4" ht="15" x14ac:dyDescent="0.2">
      <c r="D99" s="237"/>
    </row>
    <row r="119" spans="6:13" x14ac:dyDescent="0.2">
      <c r="I119" s="2"/>
      <c r="J119" s="2"/>
      <c r="K119" s="2"/>
    </row>
    <row r="120" spans="6:13" ht="11.75" customHeight="1" x14ac:dyDescent="0.2">
      <c r="I120" s="253"/>
      <c r="J120" s="253"/>
      <c r="K120" s="253"/>
      <c r="L120" s="253"/>
      <c r="M120" s="253"/>
    </row>
    <row r="121" spans="6:13" x14ac:dyDescent="0.2">
      <c r="I121" s="253"/>
      <c r="J121" s="253"/>
      <c r="K121" s="253"/>
      <c r="L121" s="253"/>
      <c r="M121" s="253"/>
    </row>
    <row r="122" spans="6:13" x14ac:dyDescent="0.2">
      <c r="F122" s="253"/>
      <c r="G122" s="253"/>
      <c r="H122" s="253"/>
      <c r="I122" s="253"/>
      <c r="J122" s="253"/>
      <c r="K122" s="253"/>
      <c r="L122" s="253"/>
      <c r="M122" s="253"/>
    </row>
  </sheetData>
  <mergeCells count="1">
    <mergeCell ref="A16:C16"/>
  </mergeCells>
  <phoneticPr fontId="16" type="noConversion"/>
  <pageMargins left="0.7" right="0.7" top="0.75" bottom="0.75" header="0.3" footer="0.3"/>
  <pageSetup paperSize="9" orientation="portrait" horizontalDpi="4294967293"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E2F2-80C3-43A7-9571-AD42C095D520}">
  <sheetPr>
    <tabColor rgb="FFB3A2C7"/>
  </sheetPr>
  <dimension ref="A1:AA55"/>
  <sheetViews>
    <sheetView zoomScale="60" zoomScaleNormal="85" workbookViewId="0">
      <selection activeCell="Y26" sqref="Y26"/>
    </sheetView>
  </sheetViews>
  <sheetFormatPr baseColWidth="10" defaultColWidth="8.83203125" defaultRowHeight="15" x14ac:dyDescent="0.2"/>
  <cols>
    <col min="1" max="1" width="9" style="47" bestFit="1" customWidth="1"/>
    <col min="5" max="5" width="8.83203125" style="48"/>
    <col min="6" max="6" width="11.83203125" bestFit="1" customWidth="1"/>
    <col min="7" max="7" width="9" bestFit="1" customWidth="1"/>
    <col min="8" max="8" width="11.83203125" bestFit="1" customWidth="1"/>
    <col min="9" max="18" width="9" bestFit="1" customWidth="1"/>
    <col min="20" max="27" width="9" bestFit="1" customWidth="1"/>
  </cols>
  <sheetData>
    <row r="1" spans="1:27" s="162" customFormat="1" ht="72.5" customHeight="1" x14ac:dyDescent="0.2">
      <c r="A1" s="164"/>
      <c r="B1" s="165" t="s">
        <v>385</v>
      </c>
      <c r="C1" s="165" t="s">
        <v>233</v>
      </c>
      <c r="D1" s="165" t="s">
        <v>234</v>
      </c>
      <c r="E1" s="166" t="s">
        <v>382</v>
      </c>
      <c r="F1" s="163" t="s">
        <v>88</v>
      </c>
      <c r="G1" s="161" t="s">
        <v>177</v>
      </c>
      <c r="H1" s="161" t="s">
        <v>191</v>
      </c>
      <c r="I1" s="161" t="s">
        <v>193</v>
      </c>
      <c r="J1" s="161" t="s">
        <v>237</v>
      </c>
      <c r="K1" s="161" t="s">
        <v>199</v>
      </c>
      <c r="L1" s="161" t="s">
        <v>197</v>
      </c>
      <c r="M1" s="161" t="s">
        <v>196</v>
      </c>
      <c r="N1" s="161" t="s">
        <v>194</v>
      </c>
      <c r="O1" s="161" t="s">
        <v>383</v>
      </c>
      <c r="P1" s="161" t="s">
        <v>205</v>
      </c>
      <c r="Q1" s="161" t="s">
        <v>92</v>
      </c>
      <c r="R1" s="161" t="s">
        <v>384</v>
      </c>
      <c r="S1" s="161" t="s">
        <v>93</v>
      </c>
      <c r="T1" s="161" t="s">
        <v>239</v>
      </c>
      <c r="U1" s="161" t="s">
        <v>240</v>
      </c>
      <c r="V1" s="161" t="s">
        <v>214</v>
      </c>
      <c r="W1" s="161" t="s">
        <v>180</v>
      </c>
      <c r="X1" s="161" t="s">
        <v>86</v>
      </c>
      <c r="Y1" s="161" t="s">
        <v>87</v>
      </c>
      <c r="Z1" s="161" t="s">
        <v>218</v>
      </c>
      <c r="AA1" s="161" t="s">
        <v>220</v>
      </c>
    </row>
    <row r="2" spans="1:27" x14ac:dyDescent="0.2">
      <c r="A2" s="167">
        <v>0</v>
      </c>
      <c r="B2" s="1" t="s">
        <v>378</v>
      </c>
      <c r="C2" s="1" t="s">
        <v>378</v>
      </c>
      <c r="D2" s="1" t="s">
        <v>381</v>
      </c>
      <c r="E2" s="11" t="s">
        <v>369</v>
      </c>
      <c r="F2" s="75">
        <v>40229044.445205003</v>
      </c>
      <c r="G2" s="75">
        <v>101410.6962094</v>
      </c>
      <c r="H2" s="75">
        <v>11110902.048526499</v>
      </c>
      <c r="I2" s="75">
        <v>6036923.3946390003</v>
      </c>
      <c r="J2" s="75">
        <v>5690.4033269050014</v>
      </c>
      <c r="K2" s="75">
        <v>13145.744584079999</v>
      </c>
      <c r="L2" s="75">
        <v>2054.0225912625001</v>
      </c>
      <c r="M2" s="75">
        <v>0</v>
      </c>
      <c r="N2" s="75">
        <v>0</v>
      </c>
      <c r="O2" s="75">
        <v>0</v>
      </c>
      <c r="P2" s="75">
        <v>5239.7277852670004</v>
      </c>
      <c r="Q2" s="75">
        <v>34463.004458036346</v>
      </c>
      <c r="R2" s="75">
        <v>203001.2591363785</v>
      </c>
      <c r="S2" s="75"/>
      <c r="T2" s="75">
        <v>611571.53274083743</v>
      </c>
      <c r="U2" s="75">
        <v>429591.71080331987</v>
      </c>
      <c r="V2" s="75">
        <v>0</v>
      </c>
      <c r="W2" s="75">
        <v>44585.939795500002</v>
      </c>
      <c r="X2" s="75">
        <v>195883.80495389999</v>
      </c>
      <c r="Y2" s="75">
        <v>37003.975917120013</v>
      </c>
      <c r="Z2" s="75">
        <v>49651.048453446921</v>
      </c>
      <c r="AA2" s="75">
        <v>0</v>
      </c>
    </row>
    <row r="3" spans="1:27" x14ac:dyDescent="0.2">
      <c r="A3" s="167">
        <v>1</v>
      </c>
      <c r="B3" s="1" t="s">
        <v>378</v>
      </c>
      <c r="C3" s="1" t="s">
        <v>378</v>
      </c>
      <c r="D3" s="1" t="s">
        <v>381</v>
      </c>
      <c r="E3" s="11" t="s">
        <v>272</v>
      </c>
      <c r="F3" s="75">
        <v>22296710.291715</v>
      </c>
      <c r="G3" s="75">
        <v>48302.136899400008</v>
      </c>
      <c r="H3" s="75">
        <v>4958528.7242565006</v>
      </c>
      <c r="I3" s="75">
        <v>3802488.3376739998</v>
      </c>
      <c r="J3" s="75">
        <v>3414.444305870401</v>
      </c>
      <c r="K3" s="75">
        <v>7887.9141183744014</v>
      </c>
      <c r="L3" s="75">
        <v>1232.4865809959999</v>
      </c>
      <c r="M3" s="75">
        <v>0</v>
      </c>
      <c r="N3" s="75">
        <v>0</v>
      </c>
      <c r="O3" s="75">
        <v>0</v>
      </c>
      <c r="P3" s="75">
        <v>3021.2334367399999</v>
      </c>
      <c r="Q3" s="75">
        <v>20696.474907627002</v>
      </c>
      <c r="R3" s="75">
        <v>121910.74260657</v>
      </c>
      <c r="S3" s="75"/>
      <c r="T3" s="75">
        <v>295461.08743460989</v>
      </c>
      <c r="U3" s="75">
        <v>207543.398002848</v>
      </c>
      <c r="V3" s="75">
        <v>0</v>
      </c>
      <c r="W3" s="75">
        <v>25205.589563499991</v>
      </c>
      <c r="X3" s="75">
        <v>158528.73089159999</v>
      </c>
      <c r="Y3" s="75">
        <v>17750.204797359998</v>
      </c>
      <c r="Z3" s="75">
        <v>46795.463580676871</v>
      </c>
      <c r="AA3" s="75">
        <v>0</v>
      </c>
    </row>
    <row r="4" spans="1:27" x14ac:dyDescent="0.2">
      <c r="A4" s="167">
        <v>2</v>
      </c>
      <c r="B4" s="1" t="s">
        <v>378</v>
      </c>
      <c r="C4" s="1" t="s">
        <v>378</v>
      </c>
      <c r="D4" s="1" t="s">
        <v>381</v>
      </c>
      <c r="E4" s="11" t="s">
        <v>273</v>
      </c>
      <c r="F4" s="75">
        <v>457464.01055489993</v>
      </c>
      <c r="G4" s="75">
        <v>1073.6720261800001</v>
      </c>
      <c r="H4" s="75">
        <v>74631.761267850001</v>
      </c>
      <c r="I4" s="75">
        <v>109278.88433667</v>
      </c>
      <c r="J4" s="75">
        <v>111.56860560667801</v>
      </c>
      <c r="K4" s="75">
        <v>257.74137765820802</v>
      </c>
      <c r="L4" s="75">
        <v>40.272090259095009</v>
      </c>
      <c r="M4" s="75">
        <v>0</v>
      </c>
      <c r="N4" s="75">
        <v>0</v>
      </c>
      <c r="O4" s="75">
        <v>0</v>
      </c>
      <c r="P4" s="75">
        <v>69.228745786299996</v>
      </c>
      <c r="Q4" s="75">
        <v>256.05921488023949</v>
      </c>
      <c r="R4" s="75">
        <v>1508.2940054589451</v>
      </c>
      <c r="S4" s="75"/>
      <c r="T4" s="75">
        <v>8577.124090314248</v>
      </c>
      <c r="U4" s="75">
        <v>6024.9066780743988</v>
      </c>
      <c r="V4" s="75">
        <v>0</v>
      </c>
      <c r="W4" s="75">
        <v>749.14250790525</v>
      </c>
      <c r="X4" s="75">
        <v>1515.5117508338999</v>
      </c>
      <c r="Y4" s="75">
        <v>464.72047486560012</v>
      </c>
      <c r="Z4" s="75">
        <v>1029.9376878210001</v>
      </c>
      <c r="AA4" s="75">
        <v>0</v>
      </c>
    </row>
    <row r="5" spans="1:27" x14ac:dyDescent="0.2">
      <c r="A5" s="167">
        <v>3</v>
      </c>
      <c r="B5" s="1" t="s">
        <v>378</v>
      </c>
      <c r="C5" s="1" t="s">
        <v>378</v>
      </c>
      <c r="D5" s="1" t="s">
        <v>380</v>
      </c>
      <c r="E5" s="11" t="s">
        <v>369</v>
      </c>
      <c r="F5" s="75">
        <v>17296639.471074</v>
      </c>
      <c r="G5" s="75">
        <v>44793.922290609997</v>
      </c>
      <c r="H5" s="75">
        <v>4759241.2283875505</v>
      </c>
      <c r="I5" s="75">
        <v>2508261.2557919999</v>
      </c>
      <c r="J5" s="75">
        <v>2383.030061596141</v>
      </c>
      <c r="K5" s="75">
        <v>5505.1817465750401</v>
      </c>
      <c r="L5" s="75">
        <v>860.18464790235009</v>
      </c>
      <c r="M5" s="75">
        <v>0</v>
      </c>
      <c r="N5" s="75">
        <v>0</v>
      </c>
      <c r="O5" s="75">
        <v>0</v>
      </c>
      <c r="P5" s="75">
        <v>2233.0076884139999</v>
      </c>
      <c r="Q5" s="75">
        <v>14148.331429017529</v>
      </c>
      <c r="R5" s="75">
        <v>83339.486499692299</v>
      </c>
      <c r="S5" s="75"/>
      <c r="T5" s="75">
        <v>276637.90523880429</v>
      </c>
      <c r="U5" s="75">
        <v>194321.2602653064</v>
      </c>
      <c r="V5" s="75">
        <v>0</v>
      </c>
      <c r="W5" s="75">
        <v>18806.858583925001</v>
      </c>
      <c r="X5" s="75">
        <v>75456.011129760009</v>
      </c>
      <c r="Y5" s="75">
        <v>15531.214820712001</v>
      </c>
      <c r="Z5" s="75">
        <v>22349.358946543722</v>
      </c>
      <c r="AA5" s="75">
        <v>0</v>
      </c>
    </row>
    <row r="6" spans="1:27" x14ac:dyDescent="0.2">
      <c r="A6" s="167">
        <v>4</v>
      </c>
      <c r="B6" s="1" t="s">
        <v>378</v>
      </c>
      <c r="C6" s="1" t="s">
        <v>378</v>
      </c>
      <c r="D6" s="1" t="s">
        <v>380</v>
      </c>
      <c r="E6" s="11" t="s">
        <v>272</v>
      </c>
      <c r="F6" s="75">
        <v>10771795.2870735</v>
      </c>
      <c r="G6" s="75">
        <v>25566.10759666</v>
      </c>
      <c r="H6" s="75">
        <v>2392799.42173095</v>
      </c>
      <c r="I6" s="75">
        <v>1692921.5517869999</v>
      </c>
      <c r="J6" s="75">
        <v>1586.34631348314</v>
      </c>
      <c r="K6" s="75">
        <v>3664.71447820704</v>
      </c>
      <c r="L6" s="75">
        <v>572.61163721985008</v>
      </c>
      <c r="M6" s="75">
        <v>0</v>
      </c>
      <c r="N6" s="75">
        <v>0</v>
      </c>
      <c r="O6" s="75">
        <v>0</v>
      </c>
      <c r="P6" s="75">
        <v>1452.5245233430001</v>
      </c>
      <c r="Q6" s="75">
        <v>9108.5430217123467</v>
      </c>
      <c r="R6" s="75">
        <v>53653.061634743957</v>
      </c>
      <c r="S6" s="75"/>
      <c r="T6" s="75">
        <v>160185.11639154021</v>
      </c>
      <c r="U6" s="75">
        <v>112520.27687991119</v>
      </c>
      <c r="V6" s="75">
        <v>0</v>
      </c>
      <c r="W6" s="75">
        <v>11456.977737325</v>
      </c>
      <c r="X6" s="75">
        <v>63090.46403091</v>
      </c>
      <c r="Y6" s="75">
        <v>8287.736483232</v>
      </c>
      <c r="Z6" s="75">
        <v>21489.370900604172</v>
      </c>
      <c r="AA6" s="75">
        <v>0</v>
      </c>
    </row>
    <row r="7" spans="1:27" x14ac:dyDescent="0.2">
      <c r="A7" s="167">
        <v>5</v>
      </c>
      <c r="B7" s="1" t="s">
        <v>378</v>
      </c>
      <c r="C7" s="1" t="s">
        <v>378</v>
      </c>
      <c r="D7" s="1" t="s">
        <v>380</v>
      </c>
      <c r="E7" s="11" t="s">
        <v>273</v>
      </c>
      <c r="F7" s="75">
        <v>71544.956959215007</v>
      </c>
      <c r="G7" s="75">
        <v>325.6991578276</v>
      </c>
      <c r="H7" s="75">
        <v>18207.191488103999</v>
      </c>
      <c r="I7" s="75">
        <v>12704.00517162</v>
      </c>
      <c r="J7" s="75">
        <v>12.4198084086142</v>
      </c>
      <c r="K7" s="75">
        <v>28.6917499065312</v>
      </c>
      <c r="L7" s="75">
        <v>4.4830859228954996</v>
      </c>
      <c r="M7" s="75">
        <v>0</v>
      </c>
      <c r="N7" s="75">
        <v>0</v>
      </c>
      <c r="O7" s="75">
        <v>0</v>
      </c>
      <c r="P7" s="75">
        <v>21.27465846035</v>
      </c>
      <c r="Q7" s="75">
        <v>63.47597676016219</v>
      </c>
      <c r="R7" s="75">
        <v>373.89958913520189</v>
      </c>
      <c r="S7" s="75"/>
      <c r="T7" s="75">
        <v>2186.31296680381</v>
      </c>
      <c r="U7" s="75">
        <v>1535.7515474134079</v>
      </c>
      <c r="V7" s="75">
        <v>0</v>
      </c>
      <c r="W7" s="75">
        <v>79.691241619249993</v>
      </c>
      <c r="X7" s="75">
        <v>277.28425537380002</v>
      </c>
      <c r="Y7" s="75">
        <v>85.062153504160008</v>
      </c>
      <c r="Z7" s="75">
        <v>261.29490171570001</v>
      </c>
      <c r="AA7" s="75">
        <v>0</v>
      </c>
    </row>
    <row r="8" spans="1:27" x14ac:dyDescent="0.2">
      <c r="A8" s="167">
        <v>6</v>
      </c>
      <c r="B8" s="1" t="s">
        <v>381</v>
      </c>
      <c r="C8" s="1" t="s">
        <v>378</v>
      </c>
      <c r="D8" s="1" t="s">
        <v>381</v>
      </c>
      <c r="E8" s="11" t="s">
        <v>369</v>
      </c>
      <c r="F8" s="75">
        <v>40229044.445205003</v>
      </c>
      <c r="G8" s="75">
        <v>101410.6962094</v>
      </c>
      <c r="H8" s="75">
        <v>11110902.048526499</v>
      </c>
      <c r="I8" s="75">
        <v>6036923.3946390003</v>
      </c>
      <c r="J8" s="75">
        <v>5690.4033269050014</v>
      </c>
      <c r="K8" s="75">
        <v>13145.744584079999</v>
      </c>
      <c r="L8" s="75">
        <v>2054.0225912625001</v>
      </c>
      <c r="M8" s="75">
        <v>0</v>
      </c>
      <c r="N8" s="75">
        <v>0</v>
      </c>
      <c r="O8" s="75">
        <v>0</v>
      </c>
      <c r="P8" s="75">
        <v>5239.7277852670004</v>
      </c>
      <c r="Q8" s="75">
        <v>34463.004458036346</v>
      </c>
      <c r="R8" s="75">
        <v>203001.2591363785</v>
      </c>
      <c r="S8" s="75"/>
      <c r="T8" s="75">
        <v>611571.53274083743</v>
      </c>
      <c r="U8" s="75">
        <v>429591.71080331987</v>
      </c>
      <c r="V8" s="75">
        <v>0</v>
      </c>
      <c r="W8" s="75">
        <v>44585.939795500002</v>
      </c>
      <c r="X8" s="75">
        <v>195883.80495389999</v>
      </c>
      <c r="Y8" s="75">
        <v>37003.975917120013</v>
      </c>
      <c r="Z8" s="75">
        <v>56530.177178284073</v>
      </c>
      <c r="AA8" s="75">
        <v>0</v>
      </c>
    </row>
    <row r="9" spans="1:27" x14ac:dyDescent="0.2">
      <c r="A9" s="167">
        <v>7</v>
      </c>
      <c r="B9" s="1" t="s">
        <v>381</v>
      </c>
      <c r="C9" s="1" t="s">
        <v>378</v>
      </c>
      <c r="D9" s="1" t="s">
        <v>381</v>
      </c>
      <c r="E9" s="11" t="s">
        <v>272</v>
      </c>
      <c r="F9" s="75">
        <v>22296710.291715</v>
      </c>
      <c r="G9" s="75">
        <v>48302.136899400008</v>
      </c>
      <c r="H9" s="75">
        <v>4958528.7242565006</v>
      </c>
      <c r="I9" s="75">
        <v>3802488.3376739998</v>
      </c>
      <c r="J9" s="75">
        <v>3414.444305870401</v>
      </c>
      <c r="K9" s="75">
        <v>7887.9141183744014</v>
      </c>
      <c r="L9" s="75">
        <v>1232.4865809959999</v>
      </c>
      <c r="M9" s="75">
        <v>0</v>
      </c>
      <c r="N9" s="75">
        <v>0</v>
      </c>
      <c r="O9" s="75">
        <v>0</v>
      </c>
      <c r="P9" s="75">
        <v>3021.2334367399999</v>
      </c>
      <c r="Q9" s="75">
        <v>20696.474907627002</v>
      </c>
      <c r="R9" s="75">
        <v>121910.74260657</v>
      </c>
      <c r="S9" s="75"/>
      <c r="T9" s="75">
        <v>295461.08743460989</v>
      </c>
      <c r="U9" s="75">
        <v>207543.398002848</v>
      </c>
      <c r="V9" s="75">
        <v>0</v>
      </c>
      <c r="W9" s="75">
        <v>25205.589563499991</v>
      </c>
      <c r="X9" s="75">
        <v>158528.73089159999</v>
      </c>
      <c r="Y9" s="75">
        <v>17750.204797359998</v>
      </c>
      <c r="Z9" s="75">
        <v>53160.537991189769</v>
      </c>
      <c r="AA9" s="75">
        <v>0</v>
      </c>
    </row>
    <row r="10" spans="1:27" x14ac:dyDescent="0.2">
      <c r="A10" s="167">
        <v>8</v>
      </c>
      <c r="B10" s="1" t="s">
        <v>381</v>
      </c>
      <c r="C10" s="1" t="s">
        <v>378</v>
      </c>
      <c r="D10" s="1" t="s">
        <v>381</v>
      </c>
      <c r="E10" s="11" t="s">
        <v>273</v>
      </c>
      <c r="F10" s="75">
        <v>457464.01055489993</v>
      </c>
      <c r="G10" s="75">
        <v>1073.6720261800001</v>
      </c>
      <c r="H10" s="75">
        <v>74631.761267850001</v>
      </c>
      <c r="I10" s="75">
        <v>109278.88433667</v>
      </c>
      <c r="J10" s="75">
        <v>111.56860560667801</v>
      </c>
      <c r="K10" s="75">
        <v>257.74137765820802</v>
      </c>
      <c r="L10" s="75">
        <v>40.272090259095009</v>
      </c>
      <c r="M10" s="75">
        <v>0</v>
      </c>
      <c r="N10" s="75">
        <v>0</v>
      </c>
      <c r="O10" s="75">
        <v>0</v>
      </c>
      <c r="P10" s="75">
        <v>69.228745786299996</v>
      </c>
      <c r="Q10" s="75">
        <v>256.05921488023949</v>
      </c>
      <c r="R10" s="75">
        <v>1508.2940054589451</v>
      </c>
      <c r="S10" s="75"/>
      <c r="T10" s="75">
        <v>8577.124090314248</v>
      </c>
      <c r="U10" s="75">
        <v>6024.9066780743988</v>
      </c>
      <c r="V10" s="75">
        <v>0</v>
      </c>
      <c r="W10" s="75">
        <v>749.14250790525</v>
      </c>
      <c r="X10" s="75">
        <v>1515.5117508338999</v>
      </c>
      <c r="Y10" s="75">
        <v>464.72047486560012</v>
      </c>
      <c r="Z10" s="75">
        <v>1029.9376878210001</v>
      </c>
      <c r="AA10" s="75">
        <v>0</v>
      </c>
    </row>
    <row r="11" spans="1:27" x14ac:dyDescent="0.2">
      <c r="A11" s="167">
        <v>9</v>
      </c>
      <c r="B11" s="1" t="s">
        <v>381</v>
      </c>
      <c r="C11" s="1" t="s">
        <v>378</v>
      </c>
      <c r="D11" s="1" t="s">
        <v>380</v>
      </c>
      <c r="E11" s="11" t="s">
        <v>369</v>
      </c>
      <c r="F11" s="75">
        <v>17296639.471074</v>
      </c>
      <c r="G11" s="75">
        <v>44793.922290609997</v>
      </c>
      <c r="H11" s="75">
        <v>4759241.2283875505</v>
      </c>
      <c r="I11" s="75">
        <v>2508261.2557919999</v>
      </c>
      <c r="J11" s="75">
        <v>2383.030061596141</v>
      </c>
      <c r="K11" s="75">
        <v>5505.1817465750401</v>
      </c>
      <c r="L11" s="75">
        <v>860.18464790235009</v>
      </c>
      <c r="M11" s="75">
        <v>0</v>
      </c>
      <c r="N11" s="75">
        <v>0</v>
      </c>
      <c r="O11" s="75">
        <v>0</v>
      </c>
      <c r="P11" s="75">
        <v>2233.0076884139999</v>
      </c>
      <c r="Q11" s="75">
        <v>14148.331429017529</v>
      </c>
      <c r="R11" s="75">
        <v>83339.486499692299</v>
      </c>
      <c r="S11" s="75"/>
      <c r="T11" s="75">
        <v>276637.90523880429</v>
      </c>
      <c r="U11" s="75">
        <v>194321.2602653064</v>
      </c>
      <c r="V11" s="75">
        <v>0</v>
      </c>
      <c r="W11" s="75">
        <v>18806.858583925001</v>
      </c>
      <c r="X11" s="75">
        <v>75456.011129760009</v>
      </c>
      <c r="Y11" s="75">
        <v>15531.214820712001</v>
      </c>
      <c r="Z11" s="75">
        <v>25348.38197772457</v>
      </c>
      <c r="AA11" s="75">
        <v>0</v>
      </c>
    </row>
    <row r="12" spans="1:27" x14ac:dyDescent="0.2">
      <c r="A12" s="167">
        <v>10</v>
      </c>
      <c r="B12" s="1" t="s">
        <v>381</v>
      </c>
      <c r="C12" s="1" t="s">
        <v>378</v>
      </c>
      <c r="D12" s="1" t="s">
        <v>380</v>
      </c>
      <c r="E12" s="11" t="s">
        <v>272</v>
      </c>
      <c r="F12" s="75">
        <v>10771795.2870735</v>
      </c>
      <c r="G12" s="75">
        <v>25566.10759666</v>
      </c>
      <c r="H12" s="75">
        <v>2392799.42173095</v>
      </c>
      <c r="I12" s="75">
        <v>1692921.5517869999</v>
      </c>
      <c r="J12" s="75">
        <v>1586.34631348314</v>
      </c>
      <c r="K12" s="75">
        <v>3664.71447820704</v>
      </c>
      <c r="L12" s="75">
        <v>572.61163721985008</v>
      </c>
      <c r="M12" s="75">
        <v>0</v>
      </c>
      <c r="N12" s="75">
        <v>0</v>
      </c>
      <c r="O12" s="75">
        <v>0</v>
      </c>
      <c r="P12" s="75">
        <v>1452.5245233430001</v>
      </c>
      <c r="Q12" s="75">
        <v>9108.5430217123467</v>
      </c>
      <c r="R12" s="75">
        <v>53653.061634743957</v>
      </c>
      <c r="S12" s="75"/>
      <c r="T12" s="75">
        <v>160185.11639154021</v>
      </c>
      <c r="U12" s="75">
        <v>112520.27687991119</v>
      </c>
      <c r="V12" s="75">
        <v>0</v>
      </c>
      <c r="W12" s="75">
        <v>11456.977737325</v>
      </c>
      <c r="X12" s="75">
        <v>63090.46403091</v>
      </c>
      <c r="Y12" s="75">
        <v>8287.736483232</v>
      </c>
      <c r="Z12" s="75">
        <v>24326.96643658667</v>
      </c>
      <c r="AA12" s="75">
        <v>0</v>
      </c>
    </row>
    <row r="13" spans="1:27" x14ac:dyDescent="0.2">
      <c r="A13" s="167">
        <v>11</v>
      </c>
      <c r="B13" s="1" t="s">
        <v>381</v>
      </c>
      <c r="C13" s="1" t="s">
        <v>378</v>
      </c>
      <c r="D13" s="1" t="s">
        <v>380</v>
      </c>
      <c r="E13" s="11" t="s">
        <v>273</v>
      </c>
      <c r="F13" s="75">
        <v>71544.956959215007</v>
      </c>
      <c r="G13" s="75">
        <v>325.6991578276</v>
      </c>
      <c r="H13" s="75">
        <v>18207.191488103999</v>
      </c>
      <c r="I13" s="75">
        <v>12704.00517162</v>
      </c>
      <c r="J13" s="75">
        <v>12.4198084086142</v>
      </c>
      <c r="K13" s="75">
        <v>28.6917499065312</v>
      </c>
      <c r="L13" s="75">
        <v>4.4830859228954996</v>
      </c>
      <c r="M13" s="75">
        <v>0</v>
      </c>
      <c r="N13" s="75">
        <v>0</v>
      </c>
      <c r="O13" s="75">
        <v>0</v>
      </c>
      <c r="P13" s="75">
        <v>21.27465846035</v>
      </c>
      <c r="Q13" s="75">
        <v>63.47597676016219</v>
      </c>
      <c r="R13" s="75">
        <v>373.89958913520189</v>
      </c>
      <c r="S13" s="75"/>
      <c r="T13" s="75">
        <v>2186.31296680381</v>
      </c>
      <c r="U13" s="75">
        <v>1535.7515474134079</v>
      </c>
      <c r="V13" s="75">
        <v>0</v>
      </c>
      <c r="W13" s="75">
        <v>79.691241619249993</v>
      </c>
      <c r="X13" s="75">
        <v>277.28425537380002</v>
      </c>
      <c r="Y13" s="75">
        <v>85.062153504160008</v>
      </c>
      <c r="Z13" s="75">
        <v>261.29490171570001</v>
      </c>
      <c r="AA13" s="75">
        <v>0</v>
      </c>
    </row>
    <row r="14" spans="1:27" x14ac:dyDescent="0.2">
      <c r="A14" s="167">
        <v>12</v>
      </c>
      <c r="B14" s="1" t="s">
        <v>380</v>
      </c>
      <c r="C14" s="1" t="s">
        <v>378</v>
      </c>
      <c r="D14" s="1" t="s">
        <v>381</v>
      </c>
      <c r="E14" s="11" t="s">
        <v>369</v>
      </c>
      <c r="F14" s="75">
        <v>40229044.445205003</v>
      </c>
      <c r="G14" s="75">
        <v>101410.6962094</v>
      </c>
      <c r="H14" s="75">
        <v>11036001.892694959</v>
      </c>
      <c r="I14" s="75">
        <v>6036923.3946390003</v>
      </c>
      <c r="J14" s="75">
        <v>5690.4033269050014</v>
      </c>
      <c r="K14" s="75">
        <v>13145.744584079999</v>
      </c>
      <c r="L14" s="75">
        <v>2054.0225912625001</v>
      </c>
      <c r="M14" s="75">
        <v>0</v>
      </c>
      <c r="N14" s="75">
        <v>0</v>
      </c>
      <c r="O14" s="75">
        <v>0</v>
      </c>
      <c r="P14" s="75">
        <v>5239.7277852670004</v>
      </c>
      <c r="Q14" s="75">
        <v>34463.004458036346</v>
      </c>
      <c r="R14" s="75">
        <v>203001.2591363785</v>
      </c>
      <c r="S14" s="75"/>
      <c r="T14" s="75">
        <v>611571.53274083743</v>
      </c>
      <c r="U14" s="75">
        <v>429591.71080331987</v>
      </c>
      <c r="V14" s="75">
        <v>0</v>
      </c>
      <c r="W14" s="75">
        <v>44585.939795500002</v>
      </c>
      <c r="X14" s="75">
        <v>195883.80495389999</v>
      </c>
      <c r="Y14" s="75">
        <v>37003.975917120013</v>
      </c>
      <c r="Z14" s="75">
        <v>42771.919728609777</v>
      </c>
      <c r="AA14" s="75">
        <v>0</v>
      </c>
    </row>
    <row r="15" spans="1:27" x14ac:dyDescent="0.2">
      <c r="A15" s="167">
        <v>13</v>
      </c>
      <c r="B15" s="1" t="s">
        <v>380</v>
      </c>
      <c r="C15" s="1" t="s">
        <v>378</v>
      </c>
      <c r="D15" s="1" t="s">
        <v>381</v>
      </c>
      <c r="E15" s="11" t="s">
        <v>272</v>
      </c>
      <c r="F15" s="75">
        <v>22296710.291715</v>
      </c>
      <c r="G15" s="75">
        <v>48302.136899400008</v>
      </c>
      <c r="H15" s="75">
        <v>4958528.7242565006</v>
      </c>
      <c r="I15" s="75">
        <v>3802488.3376739998</v>
      </c>
      <c r="J15" s="75">
        <v>3414.444305870401</v>
      </c>
      <c r="K15" s="75">
        <v>7887.9141183744014</v>
      </c>
      <c r="L15" s="75">
        <v>1232.4865809959999</v>
      </c>
      <c r="M15" s="75">
        <v>0</v>
      </c>
      <c r="N15" s="75">
        <v>0</v>
      </c>
      <c r="O15" s="75">
        <v>0</v>
      </c>
      <c r="P15" s="75">
        <v>3021.2334367399999</v>
      </c>
      <c r="Q15" s="75">
        <v>20696.474907627002</v>
      </c>
      <c r="R15" s="75">
        <v>121910.74260657</v>
      </c>
      <c r="S15" s="75"/>
      <c r="T15" s="75">
        <v>295461.08743460989</v>
      </c>
      <c r="U15" s="75">
        <v>207543.398002848</v>
      </c>
      <c r="V15" s="75">
        <v>0</v>
      </c>
      <c r="W15" s="75">
        <v>25205.589563499991</v>
      </c>
      <c r="X15" s="75">
        <v>158528.73089159999</v>
      </c>
      <c r="Y15" s="75">
        <v>17750.204797359998</v>
      </c>
      <c r="Z15" s="75">
        <v>40430.389170163973</v>
      </c>
      <c r="AA15" s="75">
        <v>0</v>
      </c>
    </row>
    <row r="16" spans="1:27" x14ac:dyDescent="0.2">
      <c r="A16" s="167">
        <v>14</v>
      </c>
      <c r="B16" s="1" t="s">
        <v>380</v>
      </c>
      <c r="C16" s="1" t="s">
        <v>378</v>
      </c>
      <c r="D16" s="1" t="s">
        <v>381</v>
      </c>
      <c r="E16" s="11" t="s">
        <v>273</v>
      </c>
      <c r="F16" s="75">
        <v>457464.01055489993</v>
      </c>
      <c r="G16" s="75">
        <v>1073.6720261800001</v>
      </c>
      <c r="H16" s="75">
        <v>74631.761267850001</v>
      </c>
      <c r="I16" s="75">
        <v>109278.88433667</v>
      </c>
      <c r="J16" s="75">
        <v>111.56860560667801</v>
      </c>
      <c r="K16" s="75">
        <v>257.74137765820802</v>
      </c>
      <c r="L16" s="75">
        <v>40.272090259095009</v>
      </c>
      <c r="M16" s="75">
        <v>0</v>
      </c>
      <c r="N16" s="75">
        <v>0</v>
      </c>
      <c r="O16" s="75">
        <v>0</v>
      </c>
      <c r="P16" s="75">
        <v>69.228745786299996</v>
      </c>
      <c r="Q16" s="75">
        <v>256.05921488023949</v>
      </c>
      <c r="R16" s="75">
        <v>1508.2940054589451</v>
      </c>
      <c r="S16" s="75"/>
      <c r="T16" s="75">
        <v>8577.124090314248</v>
      </c>
      <c r="U16" s="75">
        <v>6024.9066780743988</v>
      </c>
      <c r="V16" s="75">
        <v>0</v>
      </c>
      <c r="W16" s="75">
        <v>749.14250790525</v>
      </c>
      <c r="X16" s="75">
        <v>1515.5117508338999</v>
      </c>
      <c r="Y16" s="75">
        <v>464.72047486560012</v>
      </c>
      <c r="Z16" s="75">
        <v>1029.9376878210001</v>
      </c>
      <c r="AA16" s="75">
        <v>0</v>
      </c>
    </row>
    <row r="17" spans="1:27" x14ac:dyDescent="0.2">
      <c r="A17" s="167">
        <v>15</v>
      </c>
      <c r="B17" s="1" t="s">
        <v>380</v>
      </c>
      <c r="C17" s="1" t="s">
        <v>378</v>
      </c>
      <c r="D17" s="1" t="s">
        <v>380</v>
      </c>
      <c r="E17" s="11" t="s">
        <v>369</v>
      </c>
      <c r="F17" s="75">
        <v>17296639.471074</v>
      </c>
      <c r="G17" s="75">
        <v>44793.922290609997</v>
      </c>
      <c r="H17" s="75">
        <v>4680281.8807531437</v>
      </c>
      <c r="I17" s="75">
        <v>2508261.2557919999</v>
      </c>
      <c r="J17" s="75">
        <v>2383.030061596141</v>
      </c>
      <c r="K17" s="75">
        <v>5505.1817465750401</v>
      </c>
      <c r="L17" s="75">
        <v>860.18464790235009</v>
      </c>
      <c r="M17" s="75">
        <v>0</v>
      </c>
      <c r="N17" s="75">
        <v>0</v>
      </c>
      <c r="O17" s="75">
        <v>0</v>
      </c>
      <c r="P17" s="75">
        <v>2233.0076884139999</v>
      </c>
      <c r="Q17" s="75">
        <v>14148.331429017529</v>
      </c>
      <c r="R17" s="75">
        <v>83339.486499692299</v>
      </c>
      <c r="S17" s="75"/>
      <c r="T17" s="75">
        <v>276637.90523880429</v>
      </c>
      <c r="U17" s="75">
        <v>194321.2602653064</v>
      </c>
      <c r="V17" s="75">
        <v>0</v>
      </c>
      <c r="W17" s="75">
        <v>18806.858583925001</v>
      </c>
      <c r="X17" s="75">
        <v>75456.011129760009</v>
      </c>
      <c r="Y17" s="75">
        <v>15531.214820712001</v>
      </c>
      <c r="Z17" s="75">
        <v>19350.33591536287</v>
      </c>
      <c r="AA17" s="75">
        <v>0</v>
      </c>
    </row>
    <row r="18" spans="1:27" x14ac:dyDescent="0.2">
      <c r="A18" s="167">
        <v>16</v>
      </c>
      <c r="B18" s="1" t="s">
        <v>380</v>
      </c>
      <c r="C18" s="1" t="s">
        <v>378</v>
      </c>
      <c r="D18" s="1" t="s">
        <v>380</v>
      </c>
      <c r="E18" s="11" t="s">
        <v>272</v>
      </c>
      <c r="F18" s="75">
        <v>10771795.2870735</v>
      </c>
      <c r="G18" s="75">
        <v>25566.10759666</v>
      </c>
      <c r="H18" s="75">
        <v>2392799.42173095</v>
      </c>
      <c r="I18" s="75">
        <v>1692921.5517869999</v>
      </c>
      <c r="J18" s="75">
        <v>1586.34631348314</v>
      </c>
      <c r="K18" s="75">
        <v>3664.71447820704</v>
      </c>
      <c r="L18" s="75">
        <v>572.61163721985008</v>
      </c>
      <c r="M18" s="75">
        <v>0</v>
      </c>
      <c r="N18" s="75">
        <v>0</v>
      </c>
      <c r="O18" s="75">
        <v>0</v>
      </c>
      <c r="P18" s="75">
        <v>1452.5245233430001</v>
      </c>
      <c r="Q18" s="75">
        <v>9108.5430217123467</v>
      </c>
      <c r="R18" s="75">
        <v>53653.061634743957</v>
      </c>
      <c r="S18" s="75"/>
      <c r="T18" s="75">
        <v>160185.11639154021</v>
      </c>
      <c r="U18" s="75">
        <v>112520.27687991119</v>
      </c>
      <c r="V18" s="75">
        <v>0</v>
      </c>
      <c r="W18" s="75">
        <v>11456.977737325</v>
      </c>
      <c r="X18" s="75">
        <v>63090.46403091</v>
      </c>
      <c r="Y18" s="75">
        <v>8287.736483232</v>
      </c>
      <c r="Z18" s="75">
        <v>18651.775364621681</v>
      </c>
      <c r="AA18" s="75">
        <v>0</v>
      </c>
    </row>
    <row r="19" spans="1:27" x14ac:dyDescent="0.2">
      <c r="A19" s="167">
        <v>17</v>
      </c>
      <c r="B19" s="1" t="s">
        <v>380</v>
      </c>
      <c r="C19" s="1" t="s">
        <v>378</v>
      </c>
      <c r="D19" s="1" t="s">
        <v>380</v>
      </c>
      <c r="E19" s="11" t="s">
        <v>273</v>
      </c>
      <c r="F19" s="75">
        <v>71544.956959215007</v>
      </c>
      <c r="G19" s="75">
        <v>325.6991578276</v>
      </c>
      <c r="H19" s="75">
        <v>18207.191488103999</v>
      </c>
      <c r="I19" s="75">
        <v>12704.00517162</v>
      </c>
      <c r="J19" s="75">
        <v>12.4198084086142</v>
      </c>
      <c r="K19" s="75">
        <v>28.6917499065312</v>
      </c>
      <c r="L19" s="75">
        <v>4.4830859228954996</v>
      </c>
      <c r="M19" s="75">
        <v>0</v>
      </c>
      <c r="N19" s="75">
        <v>0</v>
      </c>
      <c r="O19" s="75">
        <v>0</v>
      </c>
      <c r="P19" s="75">
        <v>21.27465846035</v>
      </c>
      <c r="Q19" s="75">
        <v>63.47597676016219</v>
      </c>
      <c r="R19" s="75">
        <v>373.89958913520189</v>
      </c>
      <c r="S19" s="75"/>
      <c r="T19" s="75">
        <v>2186.31296680381</v>
      </c>
      <c r="U19" s="75">
        <v>1535.7515474134079</v>
      </c>
      <c r="V19" s="75">
        <v>0</v>
      </c>
      <c r="W19" s="75">
        <v>79.691241619249993</v>
      </c>
      <c r="X19" s="75">
        <v>277.28425537380002</v>
      </c>
      <c r="Y19" s="75">
        <v>85.062153504160008</v>
      </c>
      <c r="Z19" s="75">
        <v>261.29490171570001</v>
      </c>
      <c r="AA19" s="75">
        <v>0</v>
      </c>
    </row>
    <row r="20" spans="1:27" x14ac:dyDescent="0.2">
      <c r="A20" s="167">
        <v>18</v>
      </c>
      <c r="B20" s="1" t="s">
        <v>378</v>
      </c>
      <c r="C20" s="1" t="s">
        <v>236</v>
      </c>
      <c r="D20" s="1" t="s">
        <v>381</v>
      </c>
      <c r="E20" s="11" t="s">
        <v>369</v>
      </c>
      <c r="F20" s="75">
        <v>40229044.445205003</v>
      </c>
      <c r="G20" s="75">
        <v>101410.6962094</v>
      </c>
      <c r="H20" s="75">
        <v>11110902.048526499</v>
      </c>
      <c r="I20" s="75">
        <v>4596200.9979896126</v>
      </c>
      <c r="J20" s="75">
        <v>5690.4033269050014</v>
      </c>
      <c r="K20" s="75">
        <v>13145.744584079999</v>
      </c>
      <c r="L20" s="75">
        <v>5690.4033269050014</v>
      </c>
      <c r="M20" s="75">
        <v>0</v>
      </c>
      <c r="N20" s="75">
        <v>0</v>
      </c>
      <c r="O20" s="75">
        <v>76.074910787500002</v>
      </c>
      <c r="P20" s="75">
        <v>5239.7277852670004</v>
      </c>
      <c r="Q20" s="75">
        <v>34463.004458036346</v>
      </c>
      <c r="R20" s="75">
        <v>203001.2591363785</v>
      </c>
      <c r="S20" s="75"/>
      <c r="T20" s="75">
        <v>611571.53274083743</v>
      </c>
      <c r="U20" s="75">
        <v>429591.71080331987</v>
      </c>
      <c r="V20" s="75">
        <v>0</v>
      </c>
      <c r="W20" s="75">
        <v>44585.939795500002</v>
      </c>
      <c r="X20" s="75">
        <v>195883.80495389999</v>
      </c>
      <c r="Y20" s="75">
        <v>37003.975917120013</v>
      </c>
      <c r="Z20" s="75">
        <v>45105.889522897189</v>
      </c>
      <c r="AA20" s="75">
        <v>0</v>
      </c>
    </row>
    <row r="21" spans="1:27" x14ac:dyDescent="0.2">
      <c r="A21" s="167">
        <v>19</v>
      </c>
      <c r="B21" s="1" t="s">
        <v>378</v>
      </c>
      <c r="C21" s="1" t="s">
        <v>236</v>
      </c>
      <c r="D21" s="1" t="s">
        <v>381</v>
      </c>
      <c r="E21" s="11" t="s">
        <v>272</v>
      </c>
      <c r="F21" s="75">
        <v>22296710.291715</v>
      </c>
      <c r="G21" s="75">
        <v>48302.136899400008</v>
      </c>
      <c r="H21" s="75">
        <v>4958528.7242565006</v>
      </c>
      <c r="I21" s="75">
        <v>3802488.3376739998</v>
      </c>
      <c r="J21" s="75">
        <v>3414.444305870401</v>
      </c>
      <c r="K21" s="75">
        <v>7887.9141183744014</v>
      </c>
      <c r="L21" s="75">
        <v>3414.444305870401</v>
      </c>
      <c r="M21" s="75">
        <v>0</v>
      </c>
      <c r="N21" s="75">
        <v>0</v>
      </c>
      <c r="O21" s="75">
        <v>45.647651148000008</v>
      </c>
      <c r="P21" s="75">
        <v>3021.2334367399999</v>
      </c>
      <c r="Q21" s="75">
        <v>20696.474907627002</v>
      </c>
      <c r="R21" s="75">
        <v>121910.74260657</v>
      </c>
      <c r="S21" s="75"/>
      <c r="T21" s="75">
        <v>295461.08743460989</v>
      </c>
      <c r="U21" s="75">
        <v>207543.398002848</v>
      </c>
      <c r="V21" s="75">
        <v>0</v>
      </c>
      <c r="W21" s="75">
        <v>25205.589563499991</v>
      </c>
      <c r="X21" s="75">
        <v>158528.73089159999</v>
      </c>
      <c r="Y21" s="75">
        <v>17750.204797359998</v>
      </c>
      <c r="Z21" s="75">
        <v>42844.673310422673</v>
      </c>
      <c r="AA21" s="75">
        <v>0</v>
      </c>
    </row>
    <row r="22" spans="1:27" x14ac:dyDescent="0.2">
      <c r="A22" s="167">
        <v>20</v>
      </c>
      <c r="B22" s="1" t="s">
        <v>378</v>
      </c>
      <c r="C22" s="1" t="s">
        <v>236</v>
      </c>
      <c r="D22" s="1" t="s">
        <v>381</v>
      </c>
      <c r="E22" s="11" t="s">
        <v>273</v>
      </c>
      <c r="F22" s="75">
        <v>457464.01055489993</v>
      </c>
      <c r="G22" s="75">
        <v>1073.6720261800001</v>
      </c>
      <c r="H22" s="75">
        <v>74631.761267850001</v>
      </c>
      <c r="I22" s="75">
        <v>109278.88433667</v>
      </c>
      <c r="J22" s="75">
        <v>111.56860560667801</v>
      </c>
      <c r="K22" s="75">
        <v>257.74137765820802</v>
      </c>
      <c r="L22" s="75">
        <v>111.56860560667801</v>
      </c>
      <c r="M22" s="75">
        <v>0</v>
      </c>
      <c r="N22" s="75">
        <v>0</v>
      </c>
      <c r="O22" s="75">
        <v>1.4915588984849999</v>
      </c>
      <c r="P22" s="75">
        <v>69.228745786299996</v>
      </c>
      <c r="Q22" s="75">
        <v>256.05921488023949</v>
      </c>
      <c r="R22" s="75">
        <v>1508.2940054589451</v>
      </c>
      <c r="S22" s="75"/>
      <c r="T22" s="75">
        <v>8577.124090314248</v>
      </c>
      <c r="U22" s="75">
        <v>6024.9066780743988</v>
      </c>
      <c r="V22" s="75">
        <v>0</v>
      </c>
      <c r="W22" s="75">
        <v>749.14250790525</v>
      </c>
      <c r="X22" s="75">
        <v>1515.5117508338999</v>
      </c>
      <c r="Y22" s="75">
        <v>464.72047486560012</v>
      </c>
      <c r="Z22" s="75">
        <v>1029.9376878210001</v>
      </c>
      <c r="AA22" s="75">
        <v>0</v>
      </c>
    </row>
    <row r="23" spans="1:27" x14ac:dyDescent="0.2">
      <c r="A23" s="167">
        <v>21</v>
      </c>
      <c r="B23" s="1" t="s">
        <v>378</v>
      </c>
      <c r="C23" s="1" t="s">
        <v>236</v>
      </c>
      <c r="D23" s="1" t="s">
        <v>380</v>
      </c>
      <c r="E23" s="11" t="s">
        <v>369</v>
      </c>
      <c r="F23" s="75">
        <v>17296639.471074</v>
      </c>
      <c r="G23" s="75">
        <v>44793.922290609997</v>
      </c>
      <c r="H23" s="75">
        <v>4759241.2283875505</v>
      </c>
      <c r="I23" s="75">
        <v>1876741.892898448</v>
      </c>
      <c r="J23" s="75">
        <v>2383.030061596141</v>
      </c>
      <c r="K23" s="75">
        <v>5505.1817465750401</v>
      </c>
      <c r="L23" s="75">
        <v>2383.030061596141</v>
      </c>
      <c r="M23" s="75">
        <v>0</v>
      </c>
      <c r="N23" s="75">
        <v>0</v>
      </c>
      <c r="O23" s="75">
        <v>31.858690663050009</v>
      </c>
      <c r="P23" s="75">
        <v>2233.0076884139999</v>
      </c>
      <c r="Q23" s="75">
        <v>14148.331429017529</v>
      </c>
      <c r="R23" s="75">
        <v>83339.486499692299</v>
      </c>
      <c r="S23" s="75"/>
      <c r="T23" s="75">
        <v>276637.90523880429</v>
      </c>
      <c r="U23" s="75">
        <v>194321.2602653064</v>
      </c>
      <c r="V23" s="75">
        <v>0</v>
      </c>
      <c r="W23" s="75">
        <v>18806.858583925001</v>
      </c>
      <c r="X23" s="75">
        <v>75456.011129760009</v>
      </c>
      <c r="Y23" s="75">
        <v>15531.214820712001</v>
      </c>
      <c r="Z23" s="75">
        <v>20400.95672624759</v>
      </c>
      <c r="AA23" s="75">
        <v>0</v>
      </c>
    </row>
    <row r="24" spans="1:27" x14ac:dyDescent="0.2">
      <c r="A24" s="167">
        <v>22</v>
      </c>
      <c r="B24" s="1" t="s">
        <v>378</v>
      </c>
      <c r="C24" s="1" t="s">
        <v>236</v>
      </c>
      <c r="D24" s="1" t="s">
        <v>380</v>
      </c>
      <c r="E24" s="11" t="s">
        <v>272</v>
      </c>
      <c r="F24" s="75">
        <v>10771795.2870735</v>
      </c>
      <c r="G24" s="75">
        <v>25566.10759666</v>
      </c>
      <c r="H24" s="75">
        <v>2392799.42173095</v>
      </c>
      <c r="I24" s="75">
        <v>1692921.5517869999</v>
      </c>
      <c r="J24" s="75">
        <v>1586.34631348314</v>
      </c>
      <c r="K24" s="75">
        <v>3664.71447820704</v>
      </c>
      <c r="L24" s="75">
        <v>1586.34631348314</v>
      </c>
      <c r="M24" s="75">
        <v>0</v>
      </c>
      <c r="N24" s="75">
        <v>0</v>
      </c>
      <c r="O24" s="75">
        <v>21.20783841555</v>
      </c>
      <c r="P24" s="75">
        <v>1452.5245233430001</v>
      </c>
      <c r="Q24" s="75">
        <v>9108.5430217123467</v>
      </c>
      <c r="R24" s="75">
        <v>53653.061634743957</v>
      </c>
      <c r="S24" s="75"/>
      <c r="T24" s="75">
        <v>160185.11639154021</v>
      </c>
      <c r="U24" s="75">
        <v>112520.27687991119</v>
      </c>
      <c r="V24" s="75">
        <v>0</v>
      </c>
      <c r="W24" s="75">
        <v>11456.977737325</v>
      </c>
      <c r="X24" s="75">
        <v>63090.46403091</v>
      </c>
      <c r="Y24" s="75">
        <v>8287.736483232</v>
      </c>
      <c r="Z24" s="75">
        <v>19716.46849806586</v>
      </c>
      <c r="AA24" s="75">
        <v>0</v>
      </c>
    </row>
    <row r="25" spans="1:27" x14ac:dyDescent="0.2">
      <c r="A25" s="167">
        <v>23</v>
      </c>
      <c r="B25" s="1" t="s">
        <v>378</v>
      </c>
      <c r="C25" s="1" t="s">
        <v>236</v>
      </c>
      <c r="D25" s="1" t="s">
        <v>380</v>
      </c>
      <c r="E25" s="11" t="s">
        <v>273</v>
      </c>
      <c r="F25" s="75">
        <v>71544.956959215007</v>
      </c>
      <c r="G25" s="75">
        <v>325.6991578276</v>
      </c>
      <c r="H25" s="75">
        <v>18207.191488103999</v>
      </c>
      <c r="I25" s="75">
        <v>12704.00517162</v>
      </c>
      <c r="J25" s="75">
        <v>12.4198084086142</v>
      </c>
      <c r="K25" s="75">
        <v>28.6917499065312</v>
      </c>
      <c r="L25" s="75">
        <v>12.4198084086142</v>
      </c>
      <c r="M25" s="75">
        <v>0</v>
      </c>
      <c r="N25" s="75">
        <v>0</v>
      </c>
      <c r="O25" s="75">
        <v>0.16604021936650001</v>
      </c>
      <c r="P25" s="75">
        <v>21.27465846035</v>
      </c>
      <c r="Q25" s="75">
        <v>63.47597676016219</v>
      </c>
      <c r="R25" s="75">
        <v>373.89958913520189</v>
      </c>
      <c r="S25" s="75"/>
      <c r="T25" s="75">
        <v>2186.31296680381</v>
      </c>
      <c r="U25" s="75">
        <v>1535.7515474134079</v>
      </c>
      <c r="V25" s="75">
        <v>0</v>
      </c>
      <c r="W25" s="75">
        <v>79.691241619249993</v>
      </c>
      <c r="X25" s="75">
        <v>277.28425537380002</v>
      </c>
      <c r="Y25" s="75">
        <v>85.062153504160008</v>
      </c>
      <c r="Z25" s="75">
        <v>261.29490171570001</v>
      </c>
      <c r="AA25" s="75">
        <v>0</v>
      </c>
    </row>
    <row r="26" spans="1:27" x14ac:dyDescent="0.2">
      <c r="A26" s="167">
        <v>24</v>
      </c>
      <c r="B26" s="1" t="s">
        <v>381</v>
      </c>
      <c r="C26" s="1" t="s">
        <v>236</v>
      </c>
      <c r="D26" s="1" t="s">
        <v>381</v>
      </c>
      <c r="E26" s="11" t="s">
        <v>369</v>
      </c>
      <c r="F26" s="75">
        <v>40229044.445205003</v>
      </c>
      <c r="G26" s="75">
        <v>101410.6962094</v>
      </c>
      <c r="H26" s="75">
        <v>11110902.048526499</v>
      </c>
      <c r="I26" s="75">
        <v>5327081.4791929377</v>
      </c>
      <c r="J26" s="75">
        <v>5690.4033269050014</v>
      </c>
      <c r="K26" s="75">
        <v>13145.744584079999</v>
      </c>
      <c r="L26" s="75">
        <v>5690.4033269050014</v>
      </c>
      <c r="M26" s="75">
        <v>0</v>
      </c>
      <c r="N26" s="75">
        <v>0</v>
      </c>
      <c r="O26" s="75">
        <v>76.074910787500002</v>
      </c>
      <c r="P26" s="75">
        <v>5239.7277852670004</v>
      </c>
      <c r="Q26" s="75">
        <v>34463.004458036346</v>
      </c>
      <c r="R26" s="75">
        <v>203001.2591363785</v>
      </c>
      <c r="S26" s="75"/>
      <c r="T26" s="75">
        <v>611571.53274083743</v>
      </c>
      <c r="U26" s="75">
        <v>429591.71080331987</v>
      </c>
      <c r="V26" s="75">
        <v>0</v>
      </c>
      <c r="W26" s="75">
        <v>44585.939795500002</v>
      </c>
      <c r="X26" s="75">
        <v>195883.80495389999</v>
      </c>
      <c r="Y26" s="75">
        <v>37003.975917120013</v>
      </c>
      <c r="Z26" s="75">
        <v>51206.665649277551</v>
      </c>
      <c r="AA26" s="75">
        <v>0</v>
      </c>
    </row>
    <row r="27" spans="1:27" x14ac:dyDescent="0.2">
      <c r="A27" s="167">
        <v>25</v>
      </c>
      <c r="B27" s="1" t="s">
        <v>381</v>
      </c>
      <c r="C27" s="1" t="s">
        <v>236</v>
      </c>
      <c r="D27" s="1" t="s">
        <v>381</v>
      </c>
      <c r="E27" s="11" t="s">
        <v>272</v>
      </c>
      <c r="F27" s="75">
        <v>22296710.291715</v>
      </c>
      <c r="G27" s="75">
        <v>48302.136899400008</v>
      </c>
      <c r="H27" s="75">
        <v>4958528.7242565006</v>
      </c>
      <c r="I27" s="75">
        <v>3802488.3376739998</v>
      </c>
      <c r="J27" s="75">
        <v>3414.444305870401</v>
      </c>
      <c r="K27" s="75">
        <v>7887.9141183744014</v>
      </c>
      <c r="L27" s="75">
        <v>3414.444305870401</v>
      </c>
      <c r="M27" s="75">
        <v>0</v>
      </c>
      <c r="N27" s="75">
        <v>0</v>
      </c>
      <c r="O27" s="75">
        <v>45.647651148000008</v>
      </c>
      <c r="P27" s="75">
        <v>3021.2334367399999</v>
      </c>
      <c r="Q27" s="75">
        <v>20696.474907627002</v>
      </c>
      <c r="R27" s="75">
        <v>121910.74260657</v>
      </c>
      <c r="S27" s="75"/>
      <c r="T27" s="75">
        <v>295461.08743460989</v>
      </c>
      <c r="U27" s="75">
        <v>207543.398002848</v>
      </c>
      <c r="V27" s="75">
        <v>0</v>
      </c>
      <c r="W27" s="75">
        <v>25205.589563499991</v>
      </c>
      <c r="X27" s="75">
        <v>158528.73089159999</v>
      </c>
      <c r="Y27" s="75">
        <v>17750.204797359998</v>
      </c>
      <c r="Z27" s="75">
        <v>48550.659327562127</v>
      </c>
      <c r="AA27" s="75">
        <v>0</v>
      </c>
    </row>
    <row r="28" spans="1:27" x14ac:dyDescent="0.2">
      <c r="A28" s="167">
        <v>26</v>
      </c>
      <c r="B28" s="1" t="s">
        <v>381</v>
      </c>
      <c r="C28" s="1" t="s">
        <v>236</v>
      </c>
      <c r="D28" s="1" t="s">
        <v>381</v>
      </c>
      <c r="E28" s="11" t="s">
        <v>273</v>
      </c>
      <c r="F28" s="75">
        <v>457464.01055489993</v>
      </c>
      <c r="G28" s="75">
        <v>1073.6720261800001</v>
      </c>
      <c r="H28" s="75">
        <v>74631.761267850001</v>
      </c>
      <c r="I28" s="75">
        <v>109278.88433667</v>
      </c>
      <c r="J28" s="75">
        <v>111.56860560667801</v>
      </c>
      <c r="K28" s="75">
        <v>257.74137765820802</v>
      </c>
      <c r="L28" s="75">
        <v>111.56860560667801</v>
      </c>
      <c r="M28" s="75">
        <v>0</v>
      </c>
      <c r="N28" s="75">
        <v>0</v>
      </c>
      <c r="O28" s="75">
        <v>1.4915588984849999</v>
      </c>
      <c r="P28" s="75">
        <v>69.228745786299996</v>
      </c>
      <c r="Q28" s="75">
        <v>256.05921488023949</v>
      </c>
      <c r="R28" s="75">
        <v>1508.2940054589451</v>
      </c>
      <c r="S28" s="75"/>
      <c r="T28" s="75">
        <v>8577.124090314248</v>
      </c>
      <c r="U28" s="75">
        <v>6024.9066780743988</v>
      </c>
      <c r="V28" s="75">
        <v>0</v>
      </c>
      <c r="W28" s="75">
        <v>749.14250790525</v>
      </c>
      <c r="X28" s="75">
        <v>1515.5117508338999</v>
      </c>
      <c r="Y28" s="75">
        <v>464.72047486560012</v>
      </c>
      <c r="Z28" s="75">
        <v>1029.9376878210001</v>
      </c>
      <c r="AA28" s="75">
        <v>0</v>
      </c>
    </row>
    <row r="29" spans="1:27" x14ac:dyDescent="0.2">
      <c r="A29" s="167">
        <v>27</v>
      </c>
      <c r="B29" s="1" t="s">
        <v>381</v>
      </c>
      <c r="C29" s="1" t="s">
        <v>236</v>
      </c>
      <c r="D29" s="1" t="s">
        <v>380</v>
      </c>
      <c r="E29" s="11" t="s">
        <v>369</v>
      </c>
      <c r="F29" s="75">
        <v>17296639.471074</v>
      </c>
      <c r="G29" s="75">
        <v>44793.922290609997</v>
      </c>
      <c r="H29" s="75">
        <v>4759241.2283875505</v>
      </c>
      <c r="I29" s="75">
        <v>2185114.2394198691</v>
      </c>
      <c r="J29" s="75">
        <v>2383.030061596141</v>
      </c>
      <c r="K29" s="75">
        <v>5505.1817465750401</v>
      </c>
      <c r="L29" s="75">
        <v>2383.030061596141</v>
      </c>
      <c r="M29" s="75">
        <v>0</v>
      </c>
      <c r="N29" s="75">
        <v>0</v>
      </c>
      <c r="O29" s="75">
        <v>31.858690663050009</v>
      </c>
      <c r="P29" s="75">
        <v>2233.0076884139999</v>
      </c>
      <c r="Q29" s="75">
        <v>14148.331429017529</v>
      </c>
      <c r="R29" s="75">
        <v>83339.486499692299</v>
      </c>
      <c r="S29" s="75"/>
      <c r="T29" s="75">
        <v>276637.90523880429</v>
      </c>
      <c r="U29" s="75">
        <v>194321.2602653064</v>
      </c>
      <c r="V29" s="75">
        <v>0</v>
      </c>
      <c r="W29" s="75">
        <v>18806.858583925001</v>
      </c>
      <c r="X29" s="75">
        <v>75456.011129760009</v>
      </c>
      <c r="Y29" s="75">
        <v>15531.214820712001</v>
      </c>
      <c r="Z29" s="75">
        <v>23049.244032538922</v>
      </c>
      <c r="AA29" s="75">
        <v>0</v>
      </c>
    </row>
    <row r="30" spans="1:27" x14ac:dyDescent="0.2">
      <c r="A30" s="167">
        <v>28</v>
      </c>
      <c r="B30" s="1" t="s">
        <v>381</v>
      </c>
      <c r="C30" s="1" t="s">
        <v>236</v>
      </c>
      <c r="D30" s="1" t="s">
        <v>380</v>
      </c>
      <c r="E30" s="11" t="s">
        <v>272</v>
      </c>
      <c r="F30" s="75">
        <v>10771795.2870735</v>
      </c>
      <c r="G30" s="75">
        <v>25566.10759666</v>
      </c>
      <c r="H30" s="75">
        <v>2392799.42173095</v>
      </c>
      <c r="I30" s="75">
        <v>1692921.5517869999</v>
      </c>
      <c r="J30" s="75">
        <v>1586.34631348314</v>
      </c>
      <c r="K30" s="75">
        <v>3664.71447820704</v>
      </c>
      <c r="L30" s="75">
        <v>1586.34631348314</v>
      </c>
      <c r="M30" s="75">
        <v>0</v>
      </c>
      <c r="N30" s="75">
        <v>0</v>
      </c>
      <c r="O30" s="75">
        <v>21.20783841555</v>
      </c>
      <c r="P30" s="75">
        <v>1452.5245233430001</v>
      </c>
      <c r="Q30" s="75">
        <v>9108.5430217123467</v>
      </c>
      <c r="R30" s="75">
        <v>53653.061634743957</v>
      </c>
      <c r="S30" s="75"/>
      <c r="T30" s="75">
        <v>160185.11639154021</v>
      </c>
      <c r="U30" s="75">
        <v>112520.27687991119</v>
      </c>
      <c r="V30" s="75">
        <v>0</v>
      </c>
      <c r="W30" s="75">
        <v>11456.977737325</v>
      </c>
      <c r="X30" s="75">
        <v>63090.46403091</v>
      </c>
      <c r="Y30" s="75">
        <v>8287.736483232</v>
      </c>
      <c r="Z30" s="75">
        <v>22237.98019985202</v>
      </c>
      <c r="AA30" s="75">
        <v>0</v>
      </c>
    </row>
    <row r="31" spans="1:27" x14ac:dyDescent="0.2">
      <c r="A31" s="167">
        <v>29</v>
      </c>
      <c r="B31" s="1" t="s">
        <v>381</v>
      </c>
      <c r="C31" s="1" t="s">
        <v>236</v>
      </c>
      <c r="D31" s="1" t="s">
        <v>380</v>
      </c>
      <c r="E31" s="11" t="s">
        <v>273</v>
      </c>
      <c r="F31" s="75">
        <v>71544.956959215007</v>
      </c>
      <c r="G31" s="75">
        <v>325.6991578276</v>
      </c>
      <c r="H31" s="75">
        <v>18207.191488103999</v>
      </c>
      <c r="I31" s="75">
        <v>12704.00517162</v>
      </c>
      <c r="J31" s="75">
        <v>12.4198084086142</v>
      </c>
      <c r="K31" s="75">
        <v>28.6917499065312</v>
      </c>
      <c r="L31" s="75">
        <v>12.4198084086142</v>
      </c>
      <c r="M31" s="75">
        <v>0</v>
      </c>
      <c r="N31" s="75">
        <v>0</v>
      </c>
      <c r="O31" s="75">
        <v>0.16604021936650001</v>
      </c>
      <c r="P31" s="75">
        <v>21.27465846035</v>
      </c>
      <c r="Q31" s="75">
        <v>63.47597676016219</v>
      </c>
      <c r="R31" s="75">
        <v>373.89958913520189</v>
      </c>
      <c r="S31" s="75"/>
      <c r="T31" s="75">
        <v>2186.31296680381</v>
      </c>
      <c r="U31" s="75">
        <v>1535.7515474134079</v>
      </c>
      <c r="V31" s="75">
        <v>0</v>
      </c>
      <c r="W31" s="75">
        <v>79.691241619249993</v>
      </c>
      <c r="X31" s="75">
        <v>277.28425537380002</v>
      </c>
      <c r="Y31" s="75">
        <v>85.062153504160008</v>
      </c>
      <c r="Z31" s="75">
        <v>261.29490171570001</v>
      </c>
      <c r="AA31" s="75">
        <v>0</v>
      </c>
    </row>
    <row r="32" spans="1:27" x14ac:dyDescent="0.2">
      <c r="A32" s="167">
        <v>30</v>
      </c>
      <c r="B32" s="1" t="s">
        <v>380</v>
      </c>
      <c r="C32" s="1" t="s">
        <v>236</v>
      </c>
      <c r="D32" s="1" t="s">
        <v>381</v>
      </c>
      <c r="E32" s="11" t="s">
        <v>369</v>
      </c>
      <c r="F32" s="75">
        <v>36981347.438247897</v>
      </c>
      <c r="G32" s="75">
        <v>101410.6962094</v>
      </c>
      <c r="H32" s="75">
        <v>10976371.751527339</v>
      </c>
      <c r="I32" s="75">
        <v>3865320.516786288</v>
      </c>
      <c r="J32" s="75">
        <v>5690.4033269050014</v>
      </c>
      <c r="K32" s="75">
        <v>13145.744584079999</v>
      </c>
      <c r="L32" s="75">
        <v>5690.4033269050014</v>
      </c>
      <c r="M32" s="75">
        <v>0</v>
      </c>
      <c r="N32" s="75">
        <v>0</v>
      </c>
      <c r="O32" s="75">
        <v>76.074910787500002</v>
      </c>
      <c r="P32" s="75">
        <v>5239.7277852670004</v>
      </c>
      <c r="Q32" s="75">
        <v>34463.004458036346</v>
      </c>
      <c r="R32" s="75">
        <v>203001.2591363785</v>
      </c>
      <c r="S32" s="75"/>
      <c r="T32" s="75">
        <v>611571.53274083743</v>
      </c>
      <c r="U32" s="75">
        <v>429591.71080331987</v>
      </c>
      <c r="V32" s="75">
        <v>0</v>
      </c>
      <c r="W32" s="75">
        <v>44585.939795500002</v>
      </c>
      <c r="X32" s="75">
        <v>195883.80495389999</v>
      </c>
      <c r="Y32" s="75">
        <v>37003.975917120013</v>
      </c>
      <c r="Z32" s="75">
        <v>39005.113396516812</v>
      </c>
      <c r="AA32" s="75">
        <v>0</v>
      </c>
    </row>
    <row r="33" spans="1:27" x14ac:dyDescent="0.2">
      <c r="A33" s="167">
        <v>31</v>
      </c>
      <c r="B33" s="1" t="s">
        <v>380</v>
      </c>
      <c r="C33" s="1" t="s">
        <v>236</v>
      </c>
      <c r="D33" s="1" t="s">
        <v>381</v>
      </c>
      <c r="E33" s="11" t="s">
        <v>272</v>
      </c>
      <c r="F33" s="75">
        <v>22296710.291715</v>
      </c>
      <c r="G33" s="75">
        <v>48302.136899400008</v>
      </c>
      <c r="H33" s="75">
        <v>4958528.7242565006</v>
      </c>
      <c r="I33" s="75">
        <v>3802488.3376739998</v>
      </c>
      <c r="J33" s="75">
        <v>3414.444305870401</v>
      </c>
      <c r="K33" s="75">
        <v>7887.9141183744014</v>
      </c>
      <c r="L33" s="75">
        <v>3414.444305870401</v>
      </c>
      <c r="M33" s="75">
        <v>0</v>
      </c>
      <c r="N33" s="75">
        <v>0</v>
      </c>
      <c r="O33" s="75">
        <v>45.647651148000008</v>
      </c>
      <c r="P33" s="75">
        <v>3021.2334367399999</v>
      </c>
      <c r="Q33" s="75">
        <v>20696.474907627002</v>
      </c>
      <c r="R33" s="75">
        <v>121910.74260657</v>
      </c>
      <c r="S33" s="75"/>
      <c r="T33" s="75">
        <v>295461.08743460989</v>
      </c>
      <c r="U33" s="75">
        <v>207543.398002848</v>
      </c>
      <c r="V33" s="75">
        <v>0</v>
      </c>
      <c r="W33" s="75">
        <v>25205.589563499991</v>
      </c>
      <c r="X33" s="75">
        <v>158528.73089159999</v>
      </c>
      <c r="Y33" s="75">
        <v>17750.204797359998</v>
      </c>
      <c r="Z33" s="75">
        <v>37138.687293283248</v>
      </c>
      <c r="AA33" s="75">
        <v>0</v>
      </c>
    </row>
    <row r="34" spans="1:27" x14ac:dyDescent="0.2">
      <c r="A34" s="167">
        <v>32</v>
      </c>
      <c r="B34" s="1" t="s">
        <v>380</v>
      </c>
      <c r="C34" s="1" t="s">
        <v>236</v>
      </c>
      <c r="D34" s="1" t="s">
        <v>381</v>
      </c>
      <c r="E34" s="11" t="s">
        <v>273</v>
      </c>
      <c r="F34" s="75">
        <v>457464.01055489993</v>
      </c>
      <c r="G34" s="75">
        <v>1073.6720261800001</v>
      </c>
      <c r="H34" s="75">
        <v>74631.761267850001</v>
      </c>
      <c r="I34" s="75">
        <v>109278.88433667</v>
      </c>
      <c r="J34" s="75">
        <v>111.56860560667801</v>
      </c>
      <c r="K34" s="75">
        <v>257.74137765820802</v>
      </c>
      <c r="L34" s="75">
        <v>111.56860560667801</v>
      </c>
      <c r="M34" s="75">
        <v>0</v>
      </c>
      <c r="N34" s="75">
        <v>0</v>
      </c>
      <c r="O34" s="75">
        <v>1.4915588984849999</v>
      </c>
      <c r="P34" s="75">
        <v>69.228745786299996</v>
      </c>
      <c r="Q34" s="75">
        <v>256.05921488023949</v>
      </c>
      <c r="R34" s="75">
        <v>1508.2940054589451</v>
      </c>
      <c r="S34" s="75"/>
      <c r="T34" s="75">
        <v>8577.124090314248</v>
      </c>
      <c r="U34" s="75">
        <v>6024.9066780743988</v>
      </c>
      <c r="V34" s="75">
        <v>0</v>
      </c>
      <c r="W34" s="75">
        <v>749.14250790525</v>
      </c>
      <c r="X34" s="75">
        <v>1515.5117508338999</v>
      </c>
      <c r="Y34" s="75">
        <v>464.72047486560012</v>
      </c>
      <c r="Z34" s="75">
        <v>1029.9376878210001</v>
      </c>
      <c r="AA34" s="75">
        <v>0</v>
      </c>
    </row>
    <row r="35" spans="1:27" x14ac:dyDescent="0.2">
      <c r="A35" s="167">
        <v>33</v>
      </c>
      <c r="B35" s="1" t="s">
        <v>380</v>
      </c>
      <c r="C35" s="1" t="s">
        <v>236</v>
      </c>
      <c r="D35" s="1" t="s">
        <v>380</v>
      </c>
      <c r="E35" s="11" t="s">
        <v>369</v>
      </c>
      <c r="F35" s="75">
        <v>15408689.397983089</v>
      </c>
      <c r="G35" s="75">
        <v>44793.922290609997</v>
      </c>
      <c r="H35" s="75">
        <v>4557730.3712257044</v>
      </c>
      <c r="I35" s="75">
        <v>1568369.5463770269</v>
      </c>
      <c r="J35" s="75">
        <v>2383.030061596141</v>
      </c>
      <c r="K35" s="75">
        <v>5505.1817465750401</v>
      </c>
      <c r="L35" s="75">
        <v>2383.030061596141</v>
      </c>
      <c r="M35" s="75">
        <v>0</v>
      </c>
      <c r="N35" s="75">
        <v>0</v>
      </c>
      <c r="O35" s="75">
        <v>31.858690663050009</v>
      </c>
      <c r="P35" s="75">
        <v>2233.0076884139999</v>
      </c>
      <c r="Q35" s="75">
        <v>14148.331429017529</v>
      </c>
      <c r="R35" s="75">
        <v>83339.486499692299</v>
      </c>
      <c r="S35" s="75"/>
      <c r="T35" s="75">
        <v>276637.90523880429</v>
      </c>
      <c r="U35" s="75">
        <v>194321.2602653064</v>
      </c>
      <c r="V35" s="75">
        <v>0</v>
      </c>
      <c r="W35" s="75">
        <v>18806.858583925001</v>
      </c>
      <c r="X35" s="75">
        <v>75456.011129760009</v>
      </c>
      <c r="Y35" s="75">
        <v>15531.214820712001</v>
      </c>
      <c r="Z35" s="75">
        <v>17752.66941995627</v>
      </c>
      <c r="AA35" s="75">
        <v>0</v>
      </c>
    </row>
    <row r="36" spans="1:27" x14ac:dyDescent="0.2">
      <c r="A36" s="167">
        <v>34</v>
      </c>
      <c r="B36" s="1" t="s">
        <v>380</v>
      </c>
      <c r="C36" s="1" t="s">
        <v>236</v>
      </c>
      <c r="D36" s="1" t="s">
        <v>380</v>
      </c>
      <c r="E36" s="11" t="s">
        <v>272</v>
      </c>
      <c r="F36" s="75">
        <v>10771795.2870735</v>
      </c>
      <c r="G36" s="75">
        <v>25566.10759666</v>
      </c>
      <c r="H36" s="75">
        <v>2392799.42173095</v>
      </c>
      <c r="I36" s="75">
        <v>1541801.367432178</v>
      </c>
      <c r="J36" s="75">
        <v>1586.34631348314</v>
      </c>
      <c r="K36" s="75">
        <v>3664.71447820704</v>
      </c>
      <c r="L36" s="75">
        <v>1586.34631348314</v>
      </c>
      <c r="M36" s="75">
        <v>0</v>
      </c>
      <c r="N36" s="75">
        <v>0</v>
      </c>
      <c r="O36" s="75">
        <v>21.20783841555</v>
      </c>
      <c r="P36" s="75">
        <v>1452.5245233430001</v>
      </c>
      <c r="Q36" s="75">
        <v>9108.5430217123467</v>
      </c>
      <c r="R36" s="75">
        <v>53653.061634743957</v>
      </c>
      <c r="S36" s="75"/>
      <c r="T36" s="75">
        <v>160185.11639154021</v>
      </c>
      <c r="U36" s="75">
        <v>112520.27687991119</v>
      </c>
      <c r="V36" s="75">
        <v>0</v>
      </c>
      <c r="W36" s="75">
        <v>11456.977737325</v>
      </c>
      <c r="X36" s="75">
        <v>63090.46403091</v>
      </c>
      <c r="Y36" s="75">
        <v>8287.736483232</v>
      </c>
      <c r="Z36" s="75">
        <v>17194.956796279708</v>
      </c>
      <c r="AA36" s="75">
        <v>0</v>
      </c>
    </row>
    <row r="37" spans="1:27" x14ac:dyDescent="0.2">
      <c r="A37" s="167">
        <v>35</v>
      </c>
      <c r="B37" s="1" t="s">
        <v>380</v>
      </c>
      <c r="C37" s="1" t="s">
        <v>236</v>
      </c>
      <c r="D37" s="1" t="s">
        <v>380</v>
      </c>
      <c r="E37" s="11" t="s">
        <v>273</v>
      </c>
      <c r="F37" s="75">
        <v>71544.956959215007</v>
      </c>
      <c r="G37" s="75">
        <v>325.6991578276</v>
      </c>
      <c r="H37" s="75">
        <v>18207.191488103999</v>
      </c>
      <c r="I37" s="75">
        <v>12704.00517162</v>
      </c>
      <c r="J37" s="75">
        <v>12.4198084086142</v>
      </c>
      <c r="K37" s="75">
        <v>28.6917499065312</v>
      </c>
      <c r="L37" s="75">
        <v>12.4198084086142</v>
      </c>
      <c r="M37" s="75">
        <v>0</v>
      </c>
      <c r="N37" s="75">
        <v>0</v>
      </c>
      <c r="O37" s="75">
        <v>0.16604021936650001</v>
      </c>
      <c r="P37" s="75">
        <v>21.27465846035</v>
      </c>
      <c r="Q37" s="75">
        <v>63.47597676016219</v>
      </c>
      <c r="R37" s="75">
        <v>373.89958913520189</v>
      </c>
      <c r="S37" s="75"/>
      <c r="T37" s="75">
        <v>2186.31296680381</v>
      </c>
      <c r="U37" s="75">
        <v>1535.7515474134079</v>
      </c>
      <c r="V37" s="75">
        <v>0</v>
      </c>
      <c r="W37" s="75">
        <v>79.691241619249993</v>
      </c>
      <c r="X37" s="75">
        <v>277.28425537380002</v>
      </c>
      <c r="Y37" s="75">
        <v>85.062153504160008</v>
      </c>
      <c r="Z37" s="75">
        <v>261.29490171570001</v>
      </c>
      <c r="AA37" s="75">
        <v>0</v>
      </c>
    </row>
    <row r="38" spans="1:27" x14ac:dyDescent="0.2">
      <c r="A38" s="167">
        <v>36</v>
      </c>
      <c r="B38" s="1" t="s">
        <v>378</v>
      </c>
      <c r="C38" s="1" t="s">
        <v>241</v>
      </c>
      <c r="D38" s="1" t="s">
        <v>381</v>
      </c>
      <c r="E38" s="11" t="s">
        <v>369</v>
      </c>
      <c r="F38" s="75">
        <v>40229044.445205003</v>
      </c>
      <c r="G38" s="75">
        <v>101410.6962094</v>
      </c>
      <c r="H38" s="75">
        <v>11110902.048526499</v>
      </c>
      <c r="I38" s="75">
        <v>6036923.3946390003</v>
      </c>
      <c r="J38" s="75">
        <v>5690.4033269050014</v>
      </c>
      <c r="K38" s="75">
        <v>13145.744584079999</v>
      </c>
      <c r="L38" s="75">
        <v>5690.4033269050014</v>
      </c>
      <c r="M38" s="75">
        <v>0</v>
      </c>
      <c r="N38" s="75">
        <v>0</v>
      </c>
      <c r="O38" s="75">
        <v>76.074910787500002</v>
      </c>
      <c r="P38" s="75">
        <v>5239.7277852670004</v>
      </c>
      <c r="Q38" s="75">
        <v>34463.004458036346</v>
      </c>
      <c r="R38" s="75">
        <v>203001.2591363785</v>
      </c>
      <c r="S38" s="75"/>
      <c r="T38" s="75">
        <v>611571.53274083743</v>
      </c>
      <c r="U38" s="75">
        <v>429591.71080331987</v>
      </c>
      <c r="V38" s="75">
        <v>0</v>
      </c>
      <c r="W38" s="75">
        <v>44585.939795500002</v>
      </c>
      <c r="X38" s="75">
        <v>195883.80495389999</v>
      </c>
      <c r="Y38" s="75">
        <v>37003.975917120013</v>
      </c>
      <c r="Z38" s="75">
        <v>49533.205986693189</v>
      </c>
      <c r="AA38" s="75">
        <v>0</v>
      </c>
    </row>
    <row r="39" spans="1:27" x14ac:dyDescent="0.2">
      <c r="A39" s="167">
        <v>37</v>
      </c>
      <c r="B39" s="1" t="s">
        <v>378</v>
      </c>
      <c r="C39" s="1" t="s">
        <v>241</v>
      </c>
      <c r="D39" s="1" t="s">
        <v>381</v>
      </c>
      <c r="E39" s="11" t="s">
        <v>272</v>
      </c>
      <c r="F39" s="75">
        <v>22296710.291715</v>
      </c>
      <c r="G39" s="75">
        <v>48302.136899400008</v>
      </c>
      <c r="H39" s="75">
        <v>4958528.7242565006</v>
      </c>
      <c r="I39" s="75">
        <v>3802488.3376739998</v>
      </c>
      <c r="J39" s="75">
        <v>3414.444305870401</v>
      </c>
      <c r="K39" s="75">
        <v>7887.9141183744014</v>
      </c>
      <c r="L39" s="75">
        <v>3414.444305870401</v>
      </c>
      <c r="M39" s="75">
        <v>0</v>
      </c>
      <c r="N39" s="75">
        <v>0</v>
      </c>
      <c r="O39" s="75">
        <v>45.647651148000008</v>
      </c>
      <c r="P39" s="75">
        <v>3021.2334367399999</v>
      </c>
      <c r="Q39" s="75">
        <v>20696.474907627002</v>
      </c>
      <c r="R39" s="75">
        <v>121910.74260657</v>
      </c>
      <c r="S39" s="75"/>
      <c r="T39" s="75">
        <v>295461.08743460989</v>
      </c>
      <c r="U39" s="75">
        <v>207543.398002848</v>
      </c>
      <c r="V39" s="75">
        <v>0</v>
      </c>
      <c r="W39" s="75">
        <v>25205.589563499991</v>
      </c>
      <c r="X39" s="75">
        <v>158528.73089159999</v>
      </c>
      <c r="Y39" s="75">
        <v>17750.204797359998</v>
      </c>
      <c r="Z39" s="75">
        <v>46681.577130422083</v>
      </c>
      <c r="AA39" s="75">
        <v>0</v>
      </c>
    </row>
    <row r="40" spans="1:27" x14ac:dyDescent="0.2">
      <c r="A40" s="167">
        <v>38</v>
      </c>
      <c r="B40" s="1" t="s">
        <v>378</v>
      </c>
      <c r="C40" s="1" t="s">
        <v>241</v>
      </c>
      <c r="D40" s="1" t="s">
        <v>381</v>
      </c>
      <c r="E40" s="11" t="s">
        <v>273</v>
      </c>
      <c r="F40" s="75">
        <v>457464.01055489993</v>
      </c>
      <c r="G40" s="75">
        <v>1073.6720261800001</v>
      </c>
      <c r="H40" s="75">
        <v>74631.761267850001</v>
      </c>
      <c r="I40" s="75">
        <v>109278.88433667</v>
      </c>
      <c r="J40" s="75">
        <v>111.56860560667801</v>
      </c>
      <c r="K40" s="75">
        <v>257.74137765820802</v>
      </c>
      <c r="L40" s="75">
        <v>111.56860560667801</v>
      </c>
      <c r="M40" s="75">
        <v>0</v>
      </c>
      <c r="N40" s="75">
        <v>0</v>
      </c>
      <c r="O40" s="75">
        <v>1.4915588984849999</v>
      </c>
      <c r="P40" s="75">
        <v>69.228745786299996</v>
      </c>
      <c r="Q40" s="75">
        <v>256.05921488023949</v>
      </c>
      <c r="R40" s="75">
        <v>1508.2940054589451</v>
      </c>
      <c r="S40" s="75"/>
      <c r="T40" s="75">
        <v>8577.124090314248</v>
      </c>
      <c r="U40" s="75">
        <v>6024.9066780743988</v>
      </c>
      <c r="V40" s="75">
        <v>0</v>
      </c>
      <c r="W40" s="75">
        <v>749.14250790525</v>
      </c>
      <c r="X40" s="75">
        <v>1515.5117508338999</v>
      </c>
      <c r="Y40" s="75">
        <v>464.72047486560012</v>
      </c>
      <c r="Z40" s="75">
        <v>1029.9376878210001</v>
      </c>
      <c r="AA40" s="75">
        <v>0</v>
      </c>
    </row>
    <row r="41" spans="1:27" x14ac:dyDescent="0.2">
      <c r="A41" s="167">
        <v>39</v>
      </c>
      <c r="B41" s="1" t="s">
        <v>378</v>
      </c>
      <c r="C41" s="1" t="s">
        <v>241</v>
      </c>
      <c r="D41" s="1" t="s">
        <v>380</v>
      </c>
      <c r="E41" s="11" t="s">
        <v>369</v>
      </c>
      <c r="F41" s="75">
        <v>17296639.471074</v>
      </c>
      <c r="G41" s="75">
        <v>44793.922290609997</v>
      </c>
      <c r="H41" s="75">
        <v>4759241.2283875505</v>
      </c>
      <c r="I41" s="75">
        <v>2508261.2557919999</v>
      </c>
      <c r="J41" s="75">
        <v>2383.030061596141</v>
      </c>
      <c r="K41" s="75">
        <v>5505.1817465750401</v>
      </c>
      <c r="L41" s="75">
        <v>2383.030061596141</v>
      </c>
      <c r="M41" s="75">
        <v>0</v>
      </c>
      <c r="N41" s="75">
        <v>0</v>
      </c>
      <c r="O41" s="75">
        <v>31.858690663050009</v>
      </c>
      <c r="P41" s="75">
        <v>2233.0076884139999</v>
      </c>
      <c r="Q41" s="75">
        <v>14148.331429017529</v>
      </c>
      <c r="R41" s="75">
        <v>83339.486499692299</v>
      </c>
      <c r="S41" s="75"/>
      <c r="T41" s="75">
        <v>276637.90523880429</v>
      </c>
      <c r="U41" s="75">
        <v>194321.2602653064</v>
      </c>
      <c r="V41" s="75">
        <v>0</v>
      </c>
      <c r="W41" s="75">
        <v>18806.858583925001</v>
      </c>
      <c r="X41" s="75">
        <v>75456.011129760009</v>
      </c>
      <c r="Y41" s="75">
        <v>15531.214820712001</v>
      </c>
      <c r="Z41" s="75">
        <v>22277.582962812379</v>
      </c>
      <c r="AA41" s="75">
        <v>0</v>
      </c>
    </row>
    <row r="42" spans="1:27" x14ac:dyDescent="0.2">
      <c r="A42" s="167">
        <v>40</v>
      </c>
      <c r="B42" s="1" t="s">
        <v>378</v>
      </c>
      <c r="C42" s="1" t="s">
        <v>241</v>
      </c>
      <c r="D42" s="1" t="s">
        <v>380</v>
      </c>
      <c r="E42" s="11" t="s">
        <v>272</v>
      </c>
      <c r="F42" s="75">
        <v>10771795.2870735</v>
      </c>
      <c r="G42" s="75">
        <v>25566.10759666</v>
      </c>
      <c r="H42" s="75">
        <v>2392799.42173095</v>
      </c>
      <c r="I42" s="75">
        <v>1692921.5517869999</v>
      </c>
      <c r="J42" s="75">
        <v>1586.34631348314</v>
      </c>
      <c r="K42" s="75">
        <v>3664.71447820704</v>
      </c>
      <c r="L42" s="75">
        <v>1586.34631348314</v>
      </c>
      <c r="M42" s="75">
        <v>0</v>
      </c>
      <c r="N42" s="75">
        <v>0</v>
      </c>
      <c r="O42" s="75">
        <v>21.20783841555</v>
      </c>
      <c r="P42" s="75">
        <v>1452.5245233430001</v>
      </c>
      <c r="Q42" s="75">
        <v>9108.5430217123467</v>
      </c>
      <c r="R42" s="75">
        <v>53653.061634743957</v>
      </c>
      <c r="S42" s="75"/>
      <c r="T42" s="75">
        <v>160185.11639154021</v>
      </c>
      <c r="U42" s="75">
        <v>112520.27687991119</v>
      </c>
      <c r="V42" s="75">
        <v>0</v>
      </c>
      <c r="W42" s="75">
        <v>11456.977737325</v>
      </c>
      <c r="X42" s="75">
        <v>63090.46403091</v>
      </c>
      <c r="Y42" s="75">
        <v>8287.736483232</v>
      </c>
      <c r="Z42" s="75">
        <v>21418.530779787739</v>
      </c>
      <c r="AA42" s="75">
        <v>0</v>
      </c>
    </row>
    <row r="43" spans="1:27" x14ac:dyDescent="0.2">
      <c r="A43" s="167">
        <v>41</v>
      </c>
      <c r="B43" s="1" t="s">
        <v>378</v>
      </c>
      <c r="C43" s="1" t="s">
        <v>241</v>
      </c>
      <c r="D43" s="1" t="s">
        <v>380</v>
      </c>
      <c r="E43" s="11" t="s">
        <v>273</v>
      </c>
      <c r="F43" s="75">
        <v>71544.956959215007</v>
      </c>
      <c r="G43" s="75">
        <v>325.6991578276</v>
      </c>
      <c r="H43" s="75">
        <v>18207.191488103999</v>
      </c>
      <c r="I43" s="75">
        <v>12704.00517162</v>
      </c>
      <c r="J43" s="75">
        <v>12.4198084086142</v>
      </c>
      <c r="K43" s="75">
        <v>28.6917499065312</v>
      </c>
      <c r="L43" s="75">
        <v>12.4198084086142</v>
      </c>
      <c r="M43" s="75">
        <v>0</v>
      </c>
      <c r="N43" s="75">
        <v>0</v>
      </c>
      <c r="O43" s="75">
        <v>0.16604021936650001</v>
      </c>
      <c r="P43" s="75">
        <v>21.27465846035</v>
      </c>
      <c r="Q43" s="75">
        <v>63.47597676016219</v>
      </c>
      <c r="R43" s="75">
        <v>373.89958913520189</v>
      </c>
      <c r="S43" s="75"/>
      <c r="T43" s="75">
        <v>2186.31296680381</v>
      </c>
      <c r="U43" s="75">
        <v>1535.7515474134079</v>
      </c>
      <c r="V43" s="75">
        <v>0</v>
      </c>
      <c r="W43" s="75">
        <v>79.691241619249993</v>
      </c>
      <c r="X43" s="75">
        <v>277.28425537380002</v>
      </c>
      <c r="Y43" s="75">
        <v>85.062153504160008</v>
      </c>
      <c r="Z43" s="75">
        <v>261.29490171570001</v>
      </c>
      <c r="AA43" s="75">
        <v>0</v>
      </c>
    </row>
    <row r="44" spans="1:27" x14ac:dyDescent="0.2">
      <c r="A44" s="167">
        <v>42</v>
      </c>
      <c r="B44" s="1" t="s">
        <v>381</v>
      </c>
      <c r="C44" s="1" t="s">
        <v>241</v>
      </c>
      <c r="D44" s="1" t="s">
        <v>381</v>
      </c>
      <c r="E44" s="11" t="s">
        <v>369</v>
      </c>
      <c r="F44" s="75">
        <v>40229044.445205003</v>
      </c>
      <c r="G44" s="75">
        <v>101410.6962094</v>
      </c>
      <c r="H44" s="75">
        <v>11110902.048526499</v>
      </c>
      <c r="I44" s="75">
        <v>6036923.3946390003</v>
      </c>
      <c r="J44" s="75">
        <v>5690.4033269050014</v>
      </c>
      <c r="K44" s="75">
        <v>13145.744584079999</v>
      </c>
      <c r="L44" s="75">
        <v>5690.4033269050014</v>
      </c>
      <c r="M44" s="75">
        <v>0</v>
      </c>
      <c r="N44" s="75">
        <v>0</v>
      </c>
      <c r="O44" s="75">
        <v>76.074910787500002</v>
      </c>
      <c r="P44" s="75">
        <v>5239.7277852670004</v>
      </c>
      <c r="Q44" s="75">
        <v>34463.004458036346</v>
      </c>
      <c r="R44" s="75">
        <v>203001.2591363785</v>
      </c>
      <c r="S44" s="75"/>
      <c r="T44" s="75">
        <v>611571.53274083743</v>
      </c>
      <c r="U44" s="75">
        <v>429591.71080331987</v>
      </c>
      <c r="V44" s="75">
        <v>0</v>
      </c>
      <c r="W44" s="75">
        <v>44585.939795500002</v>
      </c>
      <c r="X44" s="75">
        <v>195883.80495389999</v>
      </c>
      <c r="Y44" s="75">
        <v>37003.975917120013</v>
      </c>
      <c r="Z44" s="75">
        <v>56412.334711530333</v>
      </c>
      <c r="AA44" s="75">
        <v>0</v>
      </c>
    </row>
    <row r="45" spans="1:27" x14ac:dyDescent="0.2">
      <c r="A45" s="167">
        <v>43</v>
      </c>
      <c r="B45" s="1" t="s">
        <v>381</v>
      </c>
      <c r="C45" s="1" t="s">
        <v>241</v>
      </c>
      <c r="D45" s="1" t="s">
        <v>381</v>
      </c>
      <c r="E45" s="11" t="s">
        <v>272</v>
      </c>
      <c r="F45" s="75">
        <v>22296710.291715</v>
      </c>
      <c r="G45" s="75">
        <v>48302.136899400008</v>
      </c>
      <c r="H45" s="75">
        <v>4958528.7242565006</v>
      </c>
      <c r="I45" s="75">
        <v>3802488.3376739998</v>
      </c>
      <c r="J45" s="75">
        <v>3414.444305870401</v>
      </c>
      <c r="K45" s="75">
        <v>7887.9141183744014</v>
      </c>
      <c r="L45" s="75">
        <v>3414.444305870401</v>
      </c>
      <c r="M45" s="75">
        <v>0</v>
      </c>
      <c r="N45" s="75">
        <v>0</v>
      </c>
      <c r="O45" s="75">
        <v>45.647651148000008</v>
      </c>
      <c r="P45" s="75">
        <v>3021.2334367399999</v>
      </c>
      <c r="Q45" s="75">
        <v>20696.474907627002</v>
      </c>
      <c r="R45" s="75">
        <v>121910.74260657</v>
      </c>
      <c r="S45" s="75"/>
      <c r="T45" s="75">
        <v>295461.08743460989</v>
      </c>
      <c r="U45" s="75">
        <v>207543.398002848</v>
      </c>
      <c r="V45" s="75">
        <v>0</v>
      </c>
      <c r="W45" s="75">
        <v>25205.589563499991</v>
      </c>
      <c r="X45" s="75">
        <v>158528.73089159999</v>
      </c>
      <c r="Y45" s="75">
        <v>17750.204797359998</v>
      </c>
      <c r="Z45" s="75">
        <v>53046.651540934981</v>
      </c>
      <c r="AA45" s="75">
        <v>0</v>
      </c>
    </row>
    <row r="46" spans="1:27" x14ac:dyDescent="0.2">
      <c r="A46" s="167">
        <v>44</v>
      </c>
      <c r="B46" s="1" t="s">
        <v>381</v>
      </c>
      <c r="C46" s="1" t="s">
        <v>241</v>
      </c>
      <c r="D46" s="1" t="s">
        <v>381</v>
      </c>
      <c r="E46" s="11" t="s">
        <v>273</v>
      </c>
      <c r="F46" s="75">
        <v>457464.01055489993</v>
      </c>
      <c r="G46" s="75">
        <v>1073.6720261800001</v>
      </c>
      <c r="H46" s="75">
        <v>74631.761267850001</v>
      </c>
      <c r="I46" s="75">
        <v>109278.88433667</v>
      </c>
      <c r="J46" s="75">
        <v>111.56860560667801</v>
      </c>
      <c r="K46" s="75">
        <v>257.74137765820802</v>
      </c>
      <c r="L46" s="75">
        <v>111.56860560667801</v>
      </c>
      <c r="M46" s="75">
        <v>0</v>
      </c>
      <c r="N46" s="75">
        <v>0</v>
      </c>
      <c r="O46" s="75">
        <v>1.4915588984849999</v>
      </c>
      <c r="P46" s="75">
        <v>69.228745786299996</v>
      </c>
      <c r="Q46" s="75">
        <v>256.05921488023949</v>
      </c>
      <c r="R46" s="75">
        <v>1508.2940054589451</v>
      </c>
      <c r="S46" s="75"/>
      <c r="T46" s="75">
        <v>8577.124090314248</v>
      </c>
      <c r="U46" s="75">
        <v>6024.9066780743988</v>
      </c>
      <c r="V46" s="75">
        <v>0</v>
      </c>
      <c r="W46" s="75">
        <v>749.14250790525</v>
      </c>
      <c r="X46" s="75">
        <v>1515.5117508338999</v>
      </c>
      <c r="Y46" s="75">
        <v>464.72047486560012</v>
      </c>
      <c r="Z46" s="75">
        <v>1029.9376878210001</v>
      </c>
      <c r="AA46" s="75">
        <v>0</v>
      </c>
    </row>
    <row r="47" spans="1:27" x14ac:dyDescent="0.2">
      <c r="A47" s="167">
        <v>45</v>
      </c>
      <c r="B47" s="1" t="s">
        <v>381</v>
      </c>
      <c r="C47" s="1" t="s">
        <v>241</v>
      </c>
      <c r="D47" s="1" t="s">
        <v>380</v>
      </c>
      <c r="E47" s="11" t="s">
        <v>369</v>
      </c>
      <c r="F47" s="75">
        <v>17296639.471074</v>
      </c>
      <c r="G47" s="75">
        <v>44793.922290609997</v>
      </c>
      <c r="H47" s="75">
        <v>4759241.2283875505</v>
      </c>
      <c r="I47" s="75">
        <v>2508261.2557919999</v>
      </c>
      <c r="J47" s="75">
        <v>2383.030061596141</v>
      </c>
      <c r="K47" s="75">
        <v>5505.1817465750401</v>
      </c>
      <c r="L47" s="75">
        <v>2383.030061596141</v>
      </c>
      <c r="M47" s="75">
        <v>0</v>
      </c>
      <c r="N47" s="75">
        <v>0</v>
      </c>
      <c r="O47" s="75">
        <v>31.858690663050009</v>
      </c>
      <c r="P47" s="75">
        <v>2233.0076884139999</v>
      </c>
      <c r="Q47" s="75">
        <v>14148.331429017529</v>
      </c>
      <c r="R47" s="75">
        <v>83339.486499692299</v>
      </c>
      <c r="S47" s="75"/>
      <c r="T47" s="75">
        <v>276637.90523880429</v>
      </c>
      <c r="U47" s="75">
        <v>194321.2602653064</v>
      </c>
      <c r="V47" s="75">
        <v>0</v>
      </c>
      <c r="W47" s="75">
        <v>18806.858583925001</v>
      </c>
      <c r="X47" s="75">
        <v>75456.011129760009</v>
      </c>
      <c r="Y47" s="75">
        <v>15531.214820712001</v>
      </c>
      <c r="Z47" s="75">
        <v>25276.605993993238</v>
      </c>
      <c r="AA47" s="75">
        <v>0</v>
      </c>
    </row>
    <row r="48" spans="1:27" x14ac:dyDescent="0.2">
      <c r="A48" s="167">
        <v>46</v>
      </c>
      <c r="B48" s="1" t="s">
        <v>381</v>
      </c>
      <c r="C48" s="1" t="s">
        <v>241</v>
      </c>
      <c r="D48" s="1" t="s">
        <v>380</v>
      </c>
      <c r="E48" s="11" t="s">
        <v>272</v>
      </c>
      <c r="F48" s="75">
        <v>10771795.2870735</v>
      </c>
      <c r="G48" s="75">
        <v>25566.10759666</v>
      </c>
      <c r="H48" s="75">
        <v>2392799.42173095</v>
      </c>
      <c r="I48" s="75">
        <v>1692921.5517869999</v>
      </c>
      <c r="J48" s="75">
        <v>1586.34631348314</v>
      </c>
      <c r="K48" s="75">
        <v>3664.71447820704</v>
      </c>
      <c r="L48" s="75">
        <v>1586.34631348314</v>
      </c>
      <c r="M48" s="75">
        <v>0</v>
      </c>
      <c r="N48" s="75">
        <v>0</v>
      </c>
      <c r="O48" s="75">
        <v>21.20783841555</v>
      </c>
      <c r="P48" s="75">
        <v>1452.5245233430001</v>
      </c>
      <c r="Q48" s="75">
        <v>9108.5430217123467</v>
      </c>
      <c r="R48" s="75">
        <v>53653.061634743957</v>
      </c>
      <c r="S48" s="75"/>
      <c r="T48" s="75">
        <v>160185.11639154021</v>
      </c>
      <c r="U48" s="75">
        <v>112520.27687991119</v>
      </c>
      <c r="V48" s="75">
        <v>0</v>
      </c>
      <c r="W48" s="75">
        <v>11456.977737325</v>
      </c>
      <c r="X48" s="75">
        <v>63090.46403091</v>
      </c>
      <c r="Y48" s="75">
        <v>8287.736483232</v>
      </c>
      <c r="Z48" s="75">
        <v>24256.126315770231</v>
      </c>
      <c r="AA48" s="75">
        <v>0</v>
      </c>
    </row>
    <row r="49" spans="1:27" x14ac:dyDescent="0.2">
      <c r="A49" s="167">
        <v>47</v>
      </c>
      <c r="B49" s="1" t="s">
        <v>381</v>
      </c>
      <c r="C49" s="1" t="s">
        <v>241</v>
      </c>
      <c r="D49" s="1" t="s">
        <v>380</v>
      </c>
      <c r="E49" s="11" t="s">
        <v>273</v>
      </c>
      <c r="F49" s="75">
        <v>71544.956959215007</v>
      </c>
      <c r="G49" s="75">
        <v>325.6991578276</v>
      </c>
      <c r="H49" s="75">
        <v>18207.191488103999</v>
      </c>
      <c r="I49" s="75">
        <v>12704.00517162</v>
      </c>
      <c r="J49" s="75">
        <v>12.4198084086142</v>
      </c>
      <c r="K49" s="75">
        <v>28.6917499065312</v>
      </c>
      <c r="L49" s="75">
        <v>12.4198084086142</v>
      </c>
      <c r="M49" s="75">
        <v>0</v>
      </c>
      <c r="N49" s="75">
        <v>0</v>
      </c>
      <c r="O49" s="75">
        <v>0.16604021936650001</v>
      </c>
      <c r="P49" s="75">
        <v>21.27465846035</v>
      </c>
      <c r="Q49" s="75">
        <v>63.47597676016219</v>
      </c>
      <c r="R49" s="75">
        <v>373.89958913520189</v>
      </c>
      <c r="S49" s="75"/>
      <c r="T49" s="75">
        <v>2186.31296680381</v>
      </c>
      <c r="U49" s="75">
        <v>1535.7515474134079</v>
      </c>
      <c r="V49" s="75">
        <v>0</v>
      </c>
      <c r="W49" s="75">
        <v>79.691241619249993</v>
      </c>
      <c r="X49" s="75">
        <v>277.28425537380002</v>
      </c>
      <c r="Y49" s="75">
        <v>85.062153504160008</v>
      </c>
      <c r="Z49" s="75">
        <v>261.29490171570001</v>
      </c>
      <c r="AA49" s="75">
        <v>0</v>
      </c>
    </row>
    <row r="50" spans="1:27" x14ac:dyDescent="0.2">
      <c r="A50" s="167">
        <v>48</v>
      </c>
      <c r="B50" s="1" t="s">
        <v>380</v>
      </c>
      <c r="C50" s="1" t="s">
        <v>241</v>
      </c>
      <c r="D50" s="1" t="s">
        <v>381</v>
      </c>
      <c r="E50" s="11" t="s">
        <v>369</v>
      </c>
      <c r="F50" s="75">
        <v>40229044.445205003</v>
      </c>
      <c r="G50" s="75">
        <v>101410.6962094</v>
      </c>
      <c r="H50" s="75">
        <v>9581790.7058959734</v>
      </c>
      <c r="I50" s="75">
        <v>5845075.7018370144</v>
      </c>
      <c r="J50" s="75">
        <v>5690.4033269050014</v>
      </c>
      <c r="K50" s="75">
        <v>13145.744584079999</v>
      </c>
      <c r="L50" s="75">
        <v>5690.4033269050014</v>
      </c>
      <c r="M50" s="75">
        <v>0</v>
      </c>
      <c r="N50" s="75">
        <v>0</v>
      </c>
      <c r="O50" s="75">
        <v>76.074910787500002</v>
      </c>
      <c r="P50" s="75">
        <v>5239.7277852670004</v>
      </c>
      <c r="Q50" s="75">
        <v>34463.004458036346</v>
      </c>
      <c r="R50" s="75">
        <v>203001.2591363785</v>
      </c>
      <c r="S50" s="75"/>
      <c r="T50" s="75">
        <v>611571.53274083743</v>
      </c>
      <c r="U50" s="75">
        <v>429591.71080331987</v>
      </c>
      <c r="V50" s="75">
        <v>0</v>
      </c>
      <c r="W50" s="75">
        <v>44585.939795500002</v>
      </c>
      <c r="X50" s="75">
        <v>195883.80495389999</v>
      </c>
      <c r="Y50" s="75">
        <v>37003.975917120013</v>
      </c>
      <c r="Z50" s="75">
        <v>42654.077261856051</v>
      </c>
      <c r="AA50" s="75">
        <v>0</v>
      </c>
    </row>
    <row r="51" spans="1:27" x14ac:dyDescent="0.2">
      <c r="A51" s="167">
        <v>49</v>
      </c>
      <c r="B51" s="1" t="s">
        <v>380</v>
      </c>
      <c r="C51" s="1" t="s">
        <v>241</v>
      </c>
      <c r="D51" s="1" t="s">
        <v>381</v>
      </c>
      <c r="E51" s="11" t="s">
        <v>272</v>
      </c>
      <c r="F51" s="75">
        <v>22296710.291715</v>
      </c>
      <c r="G51" s="75">
        <v>48302.136899400008</v>
      </c>
      <c r="H51" s="75">
        <v>4958528.7242565006</v>
      </c>
      <c r="I51" s="75">
        <v>3802488.3376739998</v>
      </c>
      <c r="J51" s="75">
        <v>3414.444305870401</v>
      </c>
      <c r="K51" s="75">
        <v>7887.9141183744014</v>
      </c>
      <c r="L51" s="75">
        <v>3414.444305870401</v>
      </c>
      <c r="M51" s="75">
        <v>0</v>
      </c>
      <c r="N51" s="75">
        <v>0</v>
      </c>
      <c r="O51" s="75">
        <v>45.647651148000008</v>
      </c>
      <c r="P51" s="75">
        <v>3021.2334367399999</v>
      </c>
      <c r="Q51" s="75">
        <v>20696.474907627002</v>
      </c>
      <c r="R51" s="75">
        <v>121910.74260657</v>
      </c>
      <c r="S51" s="75"/>
      <c r="T51" s="75">
        <v>295461.08743460989</v>
      </c>
      <c r="U51" s="75">
        <v>207543.398002848</v>
      </c>
      <c r="V51" s="75">
        <v>0</v>
      </c>
      <c r="W51" s="75">
        <v>25205.589563499991</v>
      </c>
      <c r="X51" s="75">
        <v>158528.73089159999</v>
      </c>
      <c r="Y51" s="75">
        <v>17750.204797359998</v>
      </c>
      <c r="Z51" s="75">
        <v>40316.502719909178</v>
      </c>
      <c r="AA51" s="75">
        <v>0</v>
      </c>
    </row>
    <row r="52" spans="1:27" x14ac:dyDescent="0.2">
      <c r="A52" s="167">
        <v>50</v>
      </c>
      <c r="B52" s="1" t="s">
        <v>380</v>
      </c>
      <c r="C52" s="1" t="s">
        <v>241</v>
      </c>
      <c r="D52" s="1" t="s">
        <v>381</v>
      </c>
      <c r="E52" s="11" t="s">
        <v>273</v>
      </c>
      <c r="F52" s="75">
        <v>457464.01055489993</v>
      </c>
      <c r="G52" s="75">
        <v>1073.6720261800001</v>
      </c>
      <c r="H52" s="75">
        <v>74631.761267850001</v>
      </c>
      <c r="I52" s="75">
        <v>109278.88433667</v>
      </c>
      <c r="J52" s="75">
        <v>111.56860560667801</v>
      </c>
      <c r="K52" s="75">
        <v>257.74137765820802</v>
      </c>
      <c r="L52" s="75">
        <v>111.56860560667801</v>
      </c>
      <c r="M52" s="75">
        <v>0</v>
      </c>
      <c r="N52" s="75">
        <v>0</v>
      </c>
      <c r="O52" s="75">
        <v>1.4915588984849999</v>
      </c>
      <c r="P52" s="75">
        <v>69.228745786299996</v>
      </c>
      <c r="Q52" s="75">
        <v>256.05921488023949</v>
      </c>
      <c r="R52" s="75">
        <v>1508.2940054589451</v>
      </c>
      <c r="S52" s="75"/>
      <c r="T52" s="75">
        <v>8577.124090314248</v>
      </c>
      <c r="U52" s="75">
        <v>6024.9066780743988</v>
      </c>
      <c r="V52" s="75">
        <v>0</v>
      </c>
      <c r="W52" s="75">
        <v>749.14250790525</v>
      </c>
      <c r="X52" s="75">
        <v>1515.5117508338999</v>
      </c>
      <c r="Y52" s="75">
        <v>464.72047486560012</v>
      </c>
      <c r="Z52" s="75">
        <v>1029.9376878210001</v>
      </c>
      <c r="AA52" s="75">
        <v>0</v>
      </c>
    </row>
    <row r="53" spans="1:27" x14ac:dyDescent="0.2">
      <c r="A53" s="167">
        <v>51</v>
      </c>
      <c r="B53" s="1" t="s">
        <v>380</v>
      </c>
      <c r="C53" s="1" t="s">
        <v>241</v>
      </c>
      <c r="D53" s="1" t="s">
        <v>380</v>
      </c>
      <c r="E53" s="11" t="s">
        <v>369</v>
      </c>
      <c r="F53" s="75">
        <v>17296639.471074</v>
      </c>
      <c r="G53" s="75">
        <v>44793.922290609997</v>
      </c>
      <c r="H53" s="75">
        <v>4018681.0689129499</v>
      </c>
      <c r="I53" s="75">
        <v>2386495.5990802981</v>
      </c>
      <c r="J53" s="75">
        <v>2383.030061596141</v>
      </c>
      <c r="K53" s="75">
        <v>5505.1817465750401</v>
      </c>
      <c r="L53" s="75">
        <v>2383.030061596141</v>
      </c>
      <c r="M53" s="75">
        <v>0</v>
      </c>
      <c r="N53" s="75">
        <v>0</v>
      </c>
      <c r="O53" s="75">
        <v>31.858690663050009</v>
      </c>
      <c r="P53" s="75">
        <v>2233.0076884139999</v>
      </c>
      <c r="Q53" s="75">
        <v>14148.331429017529</v>
      </c>
      <c r="R53" s="75">
        <v>83339.486499692299</v>
      </c>
      <c r="S53" s="75"/>
      <c r="T53" s="75">
        <v>276637.90523880429</v>
      </c>
      <c r="U53" s="75">
        <v>194321.2602653064</v>
      </c>
      <c r="V53" s="75">
        <v>0</v>
      </c>
      <c r="W53" s="75">
        <v>18806.858583925001</v>
      </c>
      <c r="X53" s="75">
        <v>75456.011129760009</v>
      </c>
      <c r="Y53" s="75">
        <v>15531.214820712001</v>
      </c>
      <c r="Z53" s="75">
        <v>19278.559931631531</v>
      </c>
      <c r="AA53" s="75">
        <v>0</v>
      </c>
    </row>
    <row r="54" spans="1:27" x14ac:dyDescent="0.2">
      <c r="A54" s="167">
        <v>52</v>
      </c>
      <c r="B54" s="1" t="s">
        <v>380</v>
      </c>
      <c r="C54" s="1" t="s">
        <v>241</v>
      </c>
      <c r="D54" s="1" t="s">
        <v>380</v>
      </c>
      <c r="E54" s="11" t="s">
        <v>272</v>
      </c>
      <c r="F54" s="75">
        <v>10771795.2870735</v>
      </c>
      <c r="G54" s="75">
        <v>25566.10759666</v>
      </c>
      <c r="H54" s="75">
        <v>2392799.42173095</v>
      </c>
      <c r="I54" s="75">
        <v>1692921.5517869999</v>
      </c>
      <c r="J54" s="75">
        <v>1586.34631348314</v>
      </c>
      <c r="K54" s="75">
        <v>3664.71447820704</v>
      </c>
      <c r="L54" s="75">
        <v>1586.34631348314</v>
      </c>
      <c r="M54" s="75">
        <v>0</v>
      </c>
      <c r="N54" s="75">
        <v>0</v>
      </c>
      <c r="O54" s="75">
        <v>21.20783841555</v>
      </c>
      <c r="P54" s="75">
        <v>1452.5245233430001</v>
      </c>
      <c r="Q54" s="75">
        <v>9108.5430217123467</v>
      </c>
      <c r="R54" s="75">
        <v>53653.061634743957</v>
      </c>
      <c r="S54" s="75"/>
      <c r="T54" s="75">
        <v>160185.11639154021</v>
      </c>
      <c r="U54" s="75">
        <v>112520.27687991119</v>
      </c>
      <c r="V54" s="75">
        <v>0</v>
      </c>
      <c r="W54" s="75">
        <v>11456.977737325</v>
      </c>
      <c r="X54" s="75">
        <v>63090.46403091</v>
      </c>
      <c r="Y54" s="75">
        <v>8287.736483232</v>
      </c>
      <c r="Z54" s="75">
        <v>18580.935243805241</v>
      </c>
      <c r="AA54" s="75">
        <v>0</v>
      </c>
    </row>
    <row r="55" spans="1:27" x14ac:dyDescent="0.2">
      <c r="A55" s="167">
        <v>53</v>
      </c>
      <c r="B55" s="1" t="s">
        <v>380</v>
      </c>
      <c r="C55" s="1" t="s">
        <v>241</v>
      </c>
      <c r="D55" s="1" t="s">
        <v>380</v>
      </c>
      <c r="E55" s="11" t="s">
        <v>273</v>
      </c>
      <c r="F55" s="75">
        <v>71544.956959215007</v>
      </c>
      <c r="G55" s="75">
        <v>325.6991578276</v>
      </c>
      <c r="H55" s="75">
        <v>18207.191488103999</v>
      </c>
      <c r="I55" s="75">
        <v>12704.00517162</v>
      </c>
      <c r="J55" s="75">
        <v>12.4198084086142</v>
      </c>
      <c r="K55" s="75">
        <v>28.6917499065312</v>
      </c>
      <c r="L55" s="75">
        <v>12.4198084086142</v>
      </c>
      <c r="M55" s="75">
        <v>0</v>
      </c>
      <c r="N55" s="75">
        <v>0</v>
      </c>
      <c r="O55" s="75">
        <v>0.16604021936650001</v>
      </c>
      <c r="P55" s="75">
        <v>21.27465846035</v>
      </c>
      <c r="Q55" s="75">
        <v>63.47597676016219</v>
      </c>
      <c r="R55" s="75">
        <v>373.89958913520189</v>
      </c>
      <c r="S55" s="75"/>
      <c r="T55" s="75">
        <v>2186.31296680381</v>
      </c>
      <c r="U55" s="75">
        <v>1535.7515474134079</v>
      </c>
      <c r="V55" s="75">
        <v>0</v>
      </c>
      <c r="W55" s="75">
        <v>79.691241619249993</v>
      </c>
      <c r="X55" s="75">
        <v>277.28425537380002</v>
      </c>
      <c r="Y55" s="75">
        <v>85.062153504160008</v>
      </c>
      <c r="Z55" s="75">
        <v>261.29490171570001</v>
      </c>
      <c r="AA55" s="75">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A9A6-1662-4DA8-991D-409ADE0A6D6C}">
  <sheetPr>
    <tabColor rgb="FFB3A2C7"/>
  </sheetPr>
  <dimension ref="A1:AA55"/>
  <sheetViews>
    <sheetView zoomScale="70" zoomScaleNormal="70" workbookViewId="0">
      <selection activeCell="L17" sqref="L17"/>
    </sheetView>
  </sheetViews>
  <sheetFormatPr baseColWidth="10" defaultColWidth="8.83203125" defaultRowHeight="15" x14ac:dyDescent="0.2"/>
  <cols>
    <col min="1" max="1" width="9" style="47" bestFit="1" customWidth="1"/>
    <col min="5" max="5" width="12.1640625" style="48" customWidth="1"/>
    <col min="6" max="6" width="11.83203125" bestFit="1" customWidth="1"/>
    <col min="7" max="7" width="9" bestFit="1" customWidth="1"/>
    <col min="8" max="8" width="11.83203125" bestFit="1" customWidth="1"/>
    <col min="9" max="18" width="9" bestFit="1" customWidth="1"/>
    <col min="20" max="27" width="9" bestFit="1" customWidth="1"/>
  </cols>
  <sheetData>
    <row r="1" spans="1:27" s="304" customFormat="1" ht="37" customHeight="1" x14ac:dyDescent="0.2">
      <c r="A1" s="326"/>
      <c r="B1" s="165" t="s">
        <v>385</v>
      </c>
      <c r="C1" s="165" t="s">
        <v>233</v>
      </c>
      <c r="D1" s="165" t="s">
        <v>234</v>
      </c>
      <c r="E1" s="166" t="s">
        <v>382</v>
      </c>
      <c r="F1" s="327" t="s">
        <v>88</v>
      </c>
      <c r="G1" s="327" t="s">
        <v>177</v>
      </c>
      <c r="H1" s="327" t="s">
        <v>191</v>
      </c>
      <c r="I1" s="327" t="s">
        <v>193</v>
      </c>
      <c r="J1" s="327" t="s">
        <v>443</v>
      </c>
      <c r="K1" s="327" t="s">
        <v>444</v>
      </c>
      <c r="L1" s="327" t="s">
        <v>197</v>
      </c>
      <c r="M1" s="327" t="s">
        <v>196</v>
      </c>
      <c r="N1" s="327" t="s">
        <v>194</v>
      </c>
      <c r="O1" s="327" t="s">
        <v>445</v>
      </c>
      <c r="P1" s="327" t="s">
        <v>205</v>
      </c>
      <c r="Q1" s="327" t="s">
        <v>92</v>
      </c>
      <c r="R1" s="327" t="s">
        <v>247</v>
      </c>
      <c r="S1" s="327" t="s">
        <v>93</v>
      </c>
      <c r="T1" s="327" t="s">
        <v>446</v>
      </c>
      <c r="U1" s="327" t="s">
        <v>447</v>
      </c>
      <c r="V1" s="327" t="s">
        <v>214</v>
      </c>
      <c r="W1" s="327" t="s">
        <v>180</v>
      </c>
      <c r="X1" s="327" t="s">
        <v>86</v>
      </c>
      <c r="Y1" s="327" t="s">
        <v>87</v>
      </c>
      <c r="Z1" s="327" t="s">
        <v>218</v>
      </c>
      <c r="AA1" s="327" t="s">
        <v>220</v>
      </c>
    </row>
    <row r="2" spans="1:27" s="135" customFormat="1" x14ac:dyDescent="0.2">
      <c r="A2" s="395">
        <v>0</v>
      </c>
      <c r="B2" s="316" t="s">
        <v>378</v>
      </c>
      <c r="C2" s="316" t="s">
        <v>378</v>
      </c>
      <c r="D2" s="316" t="s">
        <v>381</v>
      </c>
      <c r="E2" s="317" t="s">
        <v>369</v>
      </c>
      <c r="F2" s="396">
        <v>63590121.131806493</v>
      </c>
      <c r="G2" s="396">
        <v>9634016.1398929991</v>
      </c>
      <c r="H2" s="396">
        <v>13190596.70196281</v>
      </c>
      <c r="I2" s="396">
        <v>6372308.0276744999</v>
      </c>
      <c r="J2" s="396">
        <v>225942.48503887499</v>
      </c>
      <c r="K2" s="396">
        <v>369724.06642724999</v>
      </c>
      <c r="L2" s="396">
        <v>161483.75852695861</v>
      </c>
      <c r="M2" s="396">
        <v>0</v>
      </c>
      <c r="N2" s="396">
        <v>0</v>
      </c>
      <c r="O2" s="396">
        <v>0</v>
      </c>
      <c r="P2" s="396">
        <v>497774.13960036502</v>
      </c>
      <c r="Q2" s="396">
        <v>472095.95147994999</v>
      </c>
      <c r="R2" s="396">
        <v>0</v>
      </c>
      <c r="S2" s="396"/>
      <c r="T2" s="396">
        <v>2446286.1309633502</v>
      </c>
      <c r="U2" s="396">
        <v>536989.63850414986</v>
      </c>
      <c r="V2" s="396">
        <v>0</v>
      </c>
      <c r="W2" s="396">
        <v>160509.3832638</v>
      </c>
      <c r="X2" s="396">
        <v>206766.23856244999</v>
      </c>
      <c r="Y2" s="396">
        <v>43942.221401580013</v>
      </c>
      <c r="Z2" s="396">
        <v>49651.048453446921</v>
      </c>
      <c r="AA2" s="396">
        <v>0</v>
      </c>
    </row>
    <row r="3" spans="1:27" x14ac:dyDescent="0.2">
      <c r="A3" s="328">
        <v>1</v>
      </c>
      <c r="B3" s="1" t="s">
        <v>378</v>
      </c>
      <c r="C3" s="1" t="s">
        <v>378</v>
      </c>
      <c r="D3" s="1" t="s">
        <v>381</v>
      </c>
      <c r="E3" s="11" t="s">
        <v>272</v>
      </c>
      <c r="F3" s="142">
        <v>35244449.075149499</v>
      </c>
      <c r="G3" s="142">
        <v>4588703.0054430002</v>
      </c>
      <c r="H3" s="142">
        <v>7837955.0536054512</v>
      </c>
      <c r="I3" s="142">
        <v>4013737.6897669998</v>
      </c>
      <c r="J3" s="142">
        <v>135573.52390956</v>
      </c>
      <c r="K3" s="142">
        <v>221847.58457928</v>
      </c>
      <c r="L3" s="142">
        <v>166385.68843446011</v>
      </c>
      <c r="M3" s="142">
        <v>0</v>
      </c>
      <c r="N3" s="142">
        <v>0</v>
      </c>
      <c r="O3" s="142">
        <v>0</v>
      </c>
      <c r="P3" s="142">
        <v>287017.17649029999</v>
      </c>
      <c r="Q3" s="142">
        <v>283513.35489900003</v>
      </c>
      <c r="R3" s="142">
        <v>0</v>
      </c>
      <c r="S3" s="142"/>
      <c r="T3" s="142">
        <v>1181844.34973844</v>
      </c>
      <c r="U3" s="142">
        <v>259429.24750356001</v>
      </c>
      <c r="V3" s="142">
        <v>0</v>
      </c>
      <c r="W3" s="142">
        <v>90740.122428599978</v>
      </c>
      <c r="X3" s="142">
        <v>167335.88260780001</v>
      </c>
      <c r="Y3" s="142">
        <v>21078.368196865002</v>
      </c>
      <c r="Z3" s="142">
        <v>46795.463580676871</v>
      </c>
      <c r="AA3" s="142">
        <v>0</v>
      </c>
    </row>
    <row r="4" spans="1:27" x14ac:dyDescent="0.2">
      <c r="A4" s="328">
        <v>2</v>
      </c>
      <c r="B4" s="1" t="s">
        <v>378</v>
      </c>
      <c r="C4" s="1" t="s">
        <v>378</v>
      </c>
      <c r="D4" s="1" t="s">
        <v>381</v>
      </c>
      <c r="E4" s="11" t="s">
        <v>273</v>
      </c>
      <c r="F4" s="142">
        <v>723114.16405257001</v>
      </c>
      <c r="G4" s="142">
        <v>101998.8424871</v>
      </c>
      <c r="H4" s="142">
        <v>117970.555969005</v>
      </c>
      <c r="I4" s="142">
        <v>115349.933466485</v>
      </c>
      <c r="J4" s="142">
        <v>4429.9299285004508</v>
      </c>
      <c r="K4" s="142">
        <v>7248.9762466371012</v>
      </c>
      <c r="L4" s="142">
        <v>5436.7321849778264</v>
      </c>
      <c r="M4" s="142">
        <v>0</v>
      </c>
      <c r="N4" s="142">
        <v>0</v>
      </c>
      <c r="O4" s="142">
        <v>0</v>
      </c>
      <c r="P4" s="142">
        <v>6576.7308496984988</v>
      </c>
      <c r="Q4" s="142">
        <v>3507.6604778115002</v>
      </c>
      <c r="R4" s="142">
        <v>0</v>
      </c>
      <c r="S4" s="142"/>
      <c r="T4" s="142">
        <v>34308.496361256992</v>
      </c>
      <c r="U4" s="142">
        <v>7531.1333475929987</v>
      </c>
      <c r="V4" s="142">
        <v>0</v>
      </c>
      <c r="W4" s="142">
        <v>2696.9130284589</v>
      </c>
      <c r="X4" s="142">
        <v>1599.7068481024501</v>
      </c>
      <c r="Y4" s="142">
        <v>551.85556390290003</v>
      </c>
      <c r="Z4" s="142">
        <v>1087.1564482555</v>
      </c>
      <c r="AA4" s="142">
        <v>0</v>
      </c>
    </row>
    <row r="5" spans="1:27" x14ac:dyDescent="0.2">
      <c r="A5" s="328">
        <v>3</v>
      </c>
      <c r="B5" s="1" t="s">
        <v>378</v>
      </c>
      <c r="C5" s="1" t="s">
        <v>378</v>
      </c>
      <c r="D5" s="1" t="s">
        <v>380</v>
      </c>
      <c r="E5" s="11" t="s">
        <v>369</v>
      </c>
      <c r="F5" s="142">
        <v>27340828.356908198</v>
      </c>
      <c r="G5" s="142">
        <v>4255422.6176079502</v>
      </c>
      <c r="H5" s="142">
        <v>5578414.8445273582</v>
      </c>
      <c r="I5" s="142">
        <v>2647609.1033359999</v>
      </c>
      <c r="J5" s="142">
        <v>94620.311269258513</v>
      </c>
      <c r="K5" s="142">
        <v>154833.23662242299</v>
      </c>
      <c r="L5" s="142">
        <v>62450.327437553773</v>
      </c>
      <c r="M5" s="142">
        <v>0</v>
      </c>
      <c r="N5" s="142">
        <v>0</v>
      </c>
      <c r="O5" s="142">
        <v>0</v>
      </c>
      <c r="P5" s="142">
        <v>212135.73039933</v>
      </c>
      <c r="Q5" s="142">
        <v>193812.75930161</v>
      </c>
      <c r="R5" s="142">
        <v>0</v>
      </c>
      <c r="S5" s="142"/>
      <c r="T5" s="142">
        <v>1106551.6209552169</v>
      </c>
      <c r="U5" s="142">
        <v>242901.57533163301</v>
      </c>
      <c r="V5" s="142">
        <v>0</v>
      </c>
      <c r="W5" s="142">
        <v>67704.690902130009</v>
      </c>
      <c r="X5" s="142">
        <v>79648.011748080011</v>
      </c>
      <c r="Y5" s="142">
        <v>18443.317599595499</v>
      </c>
      <c r="Z5" s="142">
        <v>22349.358946543722</v>
      </c>
      <c r="AA5" s="142">
        <v>0</v>
      </c>
    </row>
    <row r="6" spans="1:27" x14ac:dyDescent="0.2">
      <c r="A6" s="328">
        <v>4</v>
      </c>
      <c r="B6" s="1" t="s">
        <v>378</v>
      </c>
      <c r="C6" s="1" t="s">
        <v>378</v>
      </c>
      <c r="D6" s="1" t="s">
        <v>380</v>
      </c>
      <c r="E6" s="11" t="s">
        <v>272</v>
      </c>
      <c r="F6" s="142">
        <v>17026995.708163548</v>
      </c>
      <c r="G6" s="142">
        <v>2428780.2216826999</v>
      </c>
      <c r="H6" s="142">
        <v>3782302.2438238361</v>
      </c>
      <c r="I6" s="142">
        <v>1786972.7491085001</v>
      </c>
      <c r="J6" s="142">
        <v>62987.280094183501</v>
      </c>
      <c r="K6" s="142">
        <v>103070.094699573</v>
      </c>
      <c r="L6" s="142">
        <v>64679.307867788862</v>
      </c>
      <c r="M6" s="142">
        <v>0</v>
      </c>
      <c r="N6" s="142">
        <v>0</v>
      </c>
      <c r="O6" s="142">
        <v>0</v>
      </c>
      <c r="P6" s="142">
        <v>137989.829717585</v>
      </c>
      <c r="Q6" s="142">
        <v>124774.561941265</v>
      </c>
      <c r="R6" s="142">
        <v>0</v>
      </c>
      <c r="S6" s="142"/>
      <c r="T6" s="142">
        <v>640740.46556616086</v>
      </c>
      <c r="U6" s="142">
        <v>140650.34609988899</v>
      </c>
      <c r="V6" s="142">
        <v>0</v>
      </c>
      <c r="W6" s="142">
        <v>41245.119854370008</v>
      </c>
      <c r="X6" s="142">
        <v>66595.489810404993</v>
      </c>
      <c r="Y6" s="142">
        <v>9841.6870738380003</v>
      </c>
      <c r="Z6" s="142">
        <v>21489.370900604172</v>
      </c>
      <c r="AA6" s="142">
        <v>0</v>
      </c>
    </row>
    <row r="7" spans="1:27" x14ac:dyDescent="0.2">
      <c r="A7" s="328">
        <v>5</v>
      </c>
      <c r="B7" s="1" t="s">
        <v>378</v>
      </c>
      <c r="C7" s="1" t="s">
        <v>378</v>
      </c>
      <c r="D7" s="1" t="s">
        <v>380</v>
      </c>
      <c r="E7" s="11" t="s">
        <v>273</v>
      </c>
      <c r="F7" s="142">
        <v>113091.23898289949</v>
      </c>
      <c r="G7" s="142">
        <v>30941.419993621999</v>
      </c>
      <c r="H7" s="142">
        <v>28780.139527687199</v>
      </c>
      <c r="I7" s="142">
        <v>13409.78323671</v>
      </c>
      <c r="J7" s="142">
        <v>493.13945151850498</v>
      </c>
      <c r="K7" s="142">
        <v>806.95546612118994</v>
      </c>
      <c r="L7" s="142">
        <v>605.21659959089254</v>
      </c>
      <c r="M7" s="142">
        <v>0</v>
      </c>
      <c r="N7" s="142">
        <v>0</v>
      </c>
      <c r="O7" s="142">
        <v>0</v>
      </c>
      <c r="P7" s="142">
        <v>2021.09255373325</v>
      </c>
      <c r="Q7" s="142">
        <v>869.53392822139983</v>
      </c>
      <c r="R7" s="142">
        <v>0</v>
      </c>
      <c r="S7" s="142"/>
      <c r="T7" s="142">
        <v>8745.2518672152401</v>
      </c>
      <c r="U7" s="142">
        <v>1919.6894342667599</v>
      </c>
      <c r="V7" s="142">
        <v>0</v>
      </c>
      <c r="W7" s="142">
        <v>286.88846982929999</v>
      </c>
      <c r="X7" s="142">
        <v>292.6889362279</v>
      </c>
      <c r="Y7" s="142">
        <v>101.01130728619</v>
      </c>
      <c r="Z7" s="142">
        <v>275.81128514434999</v>
      </c>
      <c r="AA7" s="142">
        <v>0</v>
      </c>
    </row>
    <row r="8" spans="1:27" x14ac:dyDescent="0.2">
      <c r="A8" s="328">
        <v>6</v>
      </c>
      <c r="B8" s="1" t="s">
        <v>381</v>
      </c>
      <c r="C8" s="1" t="s">
        <v>378</v>
      </c>
      <c r="D8" s="1" t="s">
        <v>381</v>
      </c>
      <c r="E8" s="11" t="s">
        <v>369</v>
      </c>
      <c r="F8" s="142">
        <v>63590121.131806493</v>
      </c>
      <c r="G8" s="142">
        <v>9634016.1398929991</v>
      </c>
      <c r="H8" s="142">
        <v>15345191.511230661</v>
      </c>
      <c r="I8" s="142">
        <v>6372308.0276744999</v>
      </c>
      <c r="J8" s="142">
        <v>225942.48503887499</v>
      </c>
      <c r="K8" s="142">
        <v>369724.06642724999</v>
      </c>
      <c r="L8" s="142">
        <v>189945.828684015</v>
      </c>
      <c r="M8" s="142">
        <v>0</v>
      </c>
      <c r="N8" s="142">
        <v>0</v>
      </c>
      <c r="O8" s="142">
        <v>0</v>
      </c>
      <c r="P8" s="142">
        <v>497774.13960036502</v>
      </c>
      <c r="Q8" s="142">
        <v>472095.95147994999</v>
      </c>
      <c r="R8" s="142">
        <v>0</v>
      </c>
      <c r="S8" s="142"/>
      <c r="T8" s="142">
        <v>2446286.1309633502</v>
      </c>
      <c r="U8" s="142">
        <v>536989.63850414986</v>
      </c>
      <c r="V8" s="142">
        <v>0</v>
      </c>
      <c r="W8" s="142">
        <v>160509.3832638</v>
      </c>
      <c r="X8" s="142">
        <v>206766.23856244999</v>
      </c>
      <c r="Y8" s="142">
        <v>43942.221401580013</v>
      </c>
      <c r="Z8" s="142">
        <v>56530.177178284073</v>
      </c>
      <c r="AA8" s="142">
        <v>0</v>
      </c>
    </row>
    <row r="9" spans="1:27" x14ac:dyDescent="0.2">
      <c r="A9" s="328">
        <v>7</v>
      </c>
      <c r="B9" s="1" t="s">
        <v>381</v>
      </c>
      <c r="C9" s="1" t="s">
        <v>378</v>
      </c>
      <c r="D9" s="1" t="s">
        <v>381</v>
      </c>
      <c r="E9" s="11" t="s">
        <v>272</v>
      </c>
      <c r="F9" s="142">
        <v>35244449.075149499</v>
      </c>
      <c r="G9" s="142">
        <v>4588703.0054430002</v>
      </c>
      <c r="H9" s="142">
        <v>7837955.0536054512</v>
      </c>
      <c r="I9" s="142">
        <v>4013737.6897669998</v>
      </c>
      <c r="J9" s="142">
        <v>135573.52390956</v>
      </c>
      <c r="K9" s="142">
        <v>221847.58457928</v>
      </c>
      <c r="L9" s="142">
        <v>166385.68843446011</v>
      </c>
      <c r="M9" s="142">
        <v>0</v>
      </c>
      <c r="N9" s="142">
        <v>0</v>
      </c>
      <c r="O9" s="142">
        <v>0</v>
      </c>
      <c r="P9" s="142">
        <v>287017.17649029999</v>
      </c>
      <c r="Q9" s="142">
        <v>283513.35489900003</v>
      </c>
      <c r="R9" s="142">
        <v>0</v>
      </c>
      <c r="S9" s="142"/>
      <c r="T9" s="142">
        <v>1181844.34973844</v>
      </c>
      <c r="U9" s="142">
        <v>259429.24750356001</v>
      </c>
      <c r="V9" s="142">
        <v>0</v>
      </c>
      <c r="W9" s="142">
        <v>90740.122428599978</v>
      </c>
      <c r="X9" s="142">
        <v>167335.88260780001</v>
      </c>
      <c r="Y9" s="142">
        <v>21078.368196865002</v>
      </c>
      <c r="Z9" s="142">
        <v>53160.537991189769</v>
      </c>
      <c r="AA9" s="142">
        <v>0</v>
      </c>
    </row>
    <row r="10" spans="1:27" x14ac:dyDescent="0.2">
      <c r="A10" s="328">
        <v>8</v>
      </c>
      <c r="B10" s="1" t="s">
        <v>381</v>
      </c>
      <c r="C10" s="1" t="s">
        <v>378</v>
      </c>
      <c r="D10" s="1" t="s">
        <v>381</v>
      </c>
      <c r="E10" s="11" t="s">
        <v>273</v>
      </c>
      <c r="F10" s="142">
        <v>723114.16405257001</v>
      </c>
      <c r="G10" s="142">
        <v>101998.8424871</v>
      </c>
      <c r="H10" s="142">
        <v>117970.555969005</v>
      </c>
      <c r="I10" s="142">
        <v>115349.933466485</v>
      </c>
      <c r="J10" s="142">
        <v>4429.9299285004508</v>
      </c>
      <c r="K10" s="142">
        <v>7248.9762466371012</v>
      </c>
      <c r="L10" s="142">
        <v>5436.7321849778264</v>
      </c>
      <c r="M10" s="142">
        <v>0</v>
      </c>
      <c r="N10" s="142">
        <v>0</v>
      </c>
      <c r="O10" s="142">
        <v>0</v>
      </c>
      <c r="P10" s="142">
        <v>6576.7308496984988</v>
      </c>
      <c r="Q10" s="142">
        <v>3507.6604778115002</v>
      </c>
      <c r="R10" s="142">
        <v>0</v>
      </c>
      <c r="S10" s="142"/>
      <c r="T10" s="142">
        <v>34308.496361256992</v>
      </c>
      <c r="U10" s="142">
        <v>7531.1333475929987</v>
      </c>
      <c r="V10" s="142">
        <v>0</v>
      </c>
      <c r="W10" s="142">
        <v>2696.9130284589</v>
      </c>
      <c r="X10" s="142">
        <v>1599.7068481024501</v>
      </c>
      <c r="Y10" s="142">
        <v>551.85556390290003</v>
      </c>
      <c r="Z10" s="142">
        <v>1087.1564482555</v>
      </c>
      <c r="AA10" s="142">
        <v>0</v>
      </c>
    </row>
    <row r="11" spans="1:27" x14ac:dyDescent="0.2">
      <c r="A11" s="328">
        <v>9</v>
      </c>
      <c r="B11" s="1" t="s">
        <v>381</v>
      </c>
      <c r="C11" s="1" t="s">
        <v>378</v>
      </c>
      <c r="D11" s="1" t="s">
        <v>380</v>
      </c>
      <c r="E11" s="11" t="s">
        <v>369</v>
      </c>
      <c r="F11" s="142">
        <v>27340828.356908198</v>
      </c>
      <c r="G11" s="142">
        <v>4255422.6176079502</v>
      </c>
      <c r="H11" s="142">
        <v>6476547.8083015736</v>
      </c>
      <c r="I11" s="142">
        <v>2647609.1033359999</v>
      </c>
      <c r="J11" s="142">
        <v>94620.311269258513</v>
      </c>
      <c r="K11" s="142">
        <v>154833.23662242299</v>
      </c>
      <c r="L11" s="142">
        <v>73957.080946514077</v>
      </c>
      <c r="M11" s="142">
        <v>0</v>
      </c>
      <c r="N11" s="142">
        <v>0</v>
      </c>
      <c r="O11" s="142">
        <v>0</v>
      </c>
      <c r="P11" s="142">
        <v>212135.73039933</v>
      </c>
      <c r="Q11" s="142">
        <v>193812.75930161</v>
      </c>
      <c r="R11" s="142">
        <v>0</v>
      </c>
      <c r="S11" s="142"/>
      <c r="T11" s="142">
        <v>1106551.6209552169</v>
      </c>
      <c r="U11" s="142">
        <v>242901.57533163301</v>
      </c>
      <c r="V11" s="142">
        <v>0</v>
      </c>
      <c r="W11" s="142">
        <v>67704.690902130009</v>
      </c>
      <c r="X11" s="142">
        <v>79648.011748080011</v>
      </c>
      <c r="Y11" s="142">
        <v>18443.317599595499</v>
      </c>
      <c r="Z11" s="142">
        <v>25348.38197772457</v>
      </c>
      <c r="AA11" s="142">
        <v>0</v>
      </c>
    </row>
    <row r="12" spans="1:27" x14ac:dyDescent="0.2">
      <c r="A12" s="328">
        <v>10</v>
      </c>
      <c r="B12" s="1" t="s">
        <v>381</v>
      </c>
      <c r="C12" s="1" t="s">
        <v>378</v>
      </c>
      <c r="D12" s="1" t="s">
        <v>380</v>
      </c>
      <c r="E12" s="11" t="s">
        <v>272</v>
      </c>
      <c r="F12" s="142">
        <v>17026995.708163548</v>
      </c>
      <c r="G12" s="142">
        <v>2428780.2216826999</v>
      </c>
      <c r="H12" s="142">
        <v>3782302.2438238361</v>
      </c>
      <c r="I12" s="142">
        <v>1786972.7491085001</v>
      </c>
      <c r="J12" s="142">
        <v>62987.280094183501</v>
      </c>
      <c r="K12" s="142">
        <v>103070.094699573</v>
      </c>
      <c r="L12" s="142">
        <v>76615.709619068235</v>
      </c>
      <c r="M12" s="142">
        <v>0</v>
      </c>
      <c r="N12" s="142">
        <v>0</v>
      </c>
      <c r="O12" s="142">
        <v>0</v>
      </c>
      <c r="P12" s="142">
        <v>137989.829717585</v>
      </c>
      <c r="Q12" s="142">
        <v>124774.561941265</v>
      </c>
      <c r="R12" s="142">
        <v>0</v>
      </c>
      <c r="S12" s="142"/>
      <c r="T12" s="142">
        <v>640740.46556616086</v>
      </c>
      <c r="U12" s="142">
        <v>140650.34609988899</v>
      </c>
      <c r="V12" s="142">
        <v>0</v>
      </c>
      <c r="W12" s="142">
        <v>41245.119854370008</v>
      </c>
      <c r="X12" s="142">
        <v>66595.489810404993</v>
      </c>
      <c r="Y12" s="142">
        <v>9841.6870738380003</v>
      </c>
      <c r="Z12" s="142">
        <v>24326.96643658667</v>
      </c>
      <c r="AA12" s="142">
        <v>0</v>
      </c>
    </row>
    <row r="13" spans="1:27" x14ac:dyDescent="0.2">
      <c r="A13" s="328">
        <v>11</v>
      </c>
      <c r="B13" s="1" t="s">
        <v>381</v>
      </c>
      <c r="C13" s="1" t="s">
        <v>378</v>
      </c>
      <c r="D13" s="1" t="s">
        <v>380</v>
      </c>
      <c r="E13" s="11" t="s">
        <v>273</v>
      </c>
      <c r="F13" s="142">
        <v>113091.23898289949</v>
      </c>
      <c r="G13" s="142">
        <v>30941.419993621999</v>
      </c>
      <c r="H13" s="142">
        <v>28780.139527687199</v>
      </c>
      <c r="I13" s="142">
        <v>13409.78323671</v>
      </c>
      <c r="J13" s="142">
        <v>493.13945151850498</v>
      </c>
      <c r="K13" s="142">
        <v>806.95546612118994</v>
      </c>
      <c r="L13" s="142">
        <v>605.21659959089254</v>
      </c>
      <c r="M13" s="142">
        <v>0</v>
      </c>
      <c r="N13" s="142">
        <v>0</v>
      </c>
      <c r="O13" s="142">
        <v>0</v>
      </c>
      <c r="P13" s="142">
        <v>2021.09255373325</v>
      </c>
      <c r="Q13" s="142">
        <v>869.53392822139983</v>
      </c>
      <c r="R13" s="142">
        <v>0</v>
      </c>
      <c r="S13" s="142"/>
      <c r="T13" s="142">
        <v>8745.2518672152401</v>
      </c>
      <c r="U13" s="142">
        <v>1919.6894342667599</v>
      </c>
      <c r="V13" s="142">
        <v>0</v>
      </c>
      <c r="W13" s="142">
        <v>286.88846982929999</v>
      </c>
      <c r="X13" s="142">
        <v>292.6889362279</v>
      </c>
      <c r="Y13" s="142">
        <v>101.01130728619</v>
      </c>
      <c r="Z13" s="142">
        <v>275.81128514434999</v>
      </c>
      <c r="AA13" s="142">
        <v>0</v>
      </c>
    </row>
    <row r="14" spans="1:27" x14ac:dyDescent="0.2">
      <c r="A14" s="328">
        <v>12</v>
      </c>
      <c r="B14" s="1" t="s">
        <v>380</v>
      </c>
      <c r="C14" s="1" t="s">
        <v>378</v>
      </c>
      <c r="D14" s="1" t="s">
        <v>381</v>
      </c>
      <c r="E14" s="11" t="s">
        <v>369</v>
      </c>
      <c r="F14" s="142">
        <v>63590121.131806493</v>
      </c>
      <c r="G14" s="142">
        <v>9634016.1398929991</v>
      </c>
      <c r="H14" s="142">
        <v>11036001.892694959</v>
      </c>
      <c r="I14" s="142">
        <v>6372308.0276744999</v>
      </c>
      <c r="J14" s="142">
        <v>225942.48503887499</v>
      </c>
      <c r="K14" s="142">
        <v>369724.06642724999</v>
      </c>
      <c r="L14" s="142">
        <v>133021.6883699022</v>
      </c>
      <c r="M14" s="142">
        <v>0</v>
      </c>
      <c r="N14" s="142">
        <v>0</v>
      </c>
      <c r="O14" s="142">
        <v>0</v>
      </c>
      <c r="P14" s="142">
        <v>497774.13960036502</v>
      </c>
      <c r="Q14" s="142">
        <v>472095.95147994999</v>
      </c>
      <c r="R14" s="142">
        <v>0</v>
      </c>
      <c r="S14" s="142"/>
      <c r="T14" s="142">
        <v>2446286.1309633502</v>
      </c>
      <c r="U14" s="142">
        <v>536989.63850414986</v>
      </c>
      <c r="V14" s="142">
        <v>0</v>
      </c>
      <c r="W14" s="142">
        <v>160509.3832638</v>
      </c>
      <c r="X14" s="142">
        <v>206766.23856244999</v>
      </c>
      <c r="Y14" s="142">
        <v>43942.221401580013</v>
      </c>
      <c r="Z14" s="142">
        <v>42771.919728609777</v>
      </c>
      <c r="AA14" s="142">
        <v>0</v>
      </c>
    </row>
    <row r="15" spans="1:27" x14ac:dyDescent="0.2">
      <c r="A15" s="328">
        <v>13</v>
      </c>
      <c r="B15" s="1" t="s">
        <v>380</v>
      </c>
      <c r="C15" s="1" t="s">
        <v>378</v>
      </c>
      <c r="D15" s="1" t="s">
        <v>381</v>
      </c>
      <c r="E15" s="11" t="s">
        <v>272</v>
      </c>
      <c r="F15" s="142">
        <v>35244449.075149499</v>
      </c>
      <c r="G15" s="142">
        <v>4588703.0054430002</v>
      </c>
      <c r="H15" s="142">
        <v>7837955.0536054512</v>
      </c>
      <c r="I15" s="142">
        <v>4013737.6897669998</v>
      </c>
      <c r="J15" s="142">
        <v>135573.52390956</v>
      </c>
      <c r="K15" s="142">
        <v>221847.58457928</v>
      </c>
      <c r="L15" s="142">
        <v>143204.9804984376</v>
      </c>
      <c r="M15" s="142">
        <v>0</v>
      </c>
      <c r="N15" s="142">
        <v>0</v>
      </c>
      <c r="O15" s="142">
        <v>0</v>
      </c>
      <c r="P15" s="142">
        <v>287017.17649029999</v>
      </c>
      <c r="Q15" s="142">
        <v>283513.35489900003</v>
      </c>
      <c r="R15" s="142">
        <v>0</v>
      </c>
      <c r="S15" s="142"/>
      <c r="T15" s="142">
        <v>1181844.34973844</v>
      </c>
      <c r="U15" s="142">
        <v>259429.24750356001</v>
      </c>
      <c r="V15" s="142">
        <v>0</v>
      </c>
      <c r="W15" s="142">
        <v>90740.122428599978</v>
      </c>
      <c r="X15" s="142">
        <v>167335.88260780001</v>
      </c>
      <c r="Y15" s="142">
        <v>21078.368196865002</v>
      </c>
      <c r="Z15" s="142">
        <v>40430.389170163973</v>
      </c>
      <c r="AA15" s="142">
        <v>0</v>
      </c>
    </row>
    <row r="16" spans="1:27" x14ac:dyDescent="0.2">
      <c r="A16" s="328">
        <v>14</v>
      </c>
      <c r="B16" s="1" t="s">
        <v>380</v>
      </c>
      <c r="C16" s="1" t="s">
        <v>378</v>
      </c>
      <c r="D16" s="1" t="s">
        <v>381</v>
      </c>
      <c r="E16" s="11" t="s">
        <v>273</v>
      </c>
      <c r="F16" s="142">
        <v>723114.16405257001</v>
      </c>
      <c r="G16" s="142">
        <v>101998.8424871</v>
      </c>
      <c r="H16" s="142">
        <v>117970.555969005</v>
      </c>
      <c r="I16" s="142">
        <v>115349.933466485</v>
      </c>
      <c r="J16" s="142">
        <v>4429.9299285004508</v>
      </c>
      <c r="K16" s="142">
        <v>7248.9762466371012</v>
      </c>
      <c r="L16" s="142">
        <v>5436.7321849778264</v>
      </c>
      <c r="M16" s="142">
        <v>0</v>
      </c>
      <c r="N16" s="142">
        <v>0</v>
      </c>
      <c r="O16" s="142">
        <v>0</v>
      </c>
      <c r="P16" s="142">
        <v>6576.7308496984988</v>
      </c>
      <c r="Q16" s="142">
        <v>3507.6604778115002</v>
      </c>
      <c r="R16" s="142">
        <v>0</v>
      </c>
      <c r="S16" s="142"/>
      <c r="T16" s="142">
        <v>34308.496361256992</v>
      </c>
      <c r="U16" s="142">
        <v>7531.1333475929987</v>
      </c>
      <c r="V16" s="142">
        <v>0</v>
      </c>
      <c r="W16" s="142">
        <v>2696.9130284589</v>
      </c>
      <c r="X16" s="142">
        <v>1599.7068481024501</v>
      </c>
      <c r="Y16" s="142">
        <v>551.85556390290003</v>
      </c>
      <c r="Z16" s="142">
        <v>1087.1564482555</v>
      </c>
      <c r="AA16" s="142">
        <v>0</v>
      </c>
    </row>
    <row r="17" spans="1:27" x14ac:dyDescent="0.2">
      <c r="A17" s="328">
        <v>15</v>
      </c>
      <c r="B17" s="1" t="s">
        <v>380</v>
      </c>
      <c r="C17" s="1" t="s">
        <v>378</v>
      </c>
      <c r="D17" s="1" t="s">
        <v>380</v>
      </c>
      <c r="E17" s="11" t="s">
        <v>369</v>
      </c>
      <c r="F17" s="142">
        <v>27340828.356908198</v>
      </c>
      <c r="G17" s="142">
        <v>4255422.6176079502</v>
      </c>
      <c r="H17" s="142">
        <v>4680281.8807531437</v>
      </c>
      <c r="I17" s="142">
        <v>2647609.1033359999</v>
      </c>
      <c r="J17" s="142">
        <v>94620.311269258513</v>
      </c>
      <c r="K17" s="142">
        <v>154833.23662242299</v>
      </c>
      <c r="L17" s="142">
        <v>50943.573928593461</v>
      </c>
      <c r="M17" s="142">
        <v>0</v>
      </c>
      <c r="N17" s="142">
        <v>0</v>
      </c>
      <c r="O17" s="142">
        <v>0</v>
      </c>
      <c r="P17" s="142">
        <v>212135.73039933</v>
      </c>
      <c r="Q17" s="142">
        <v>193812.75930161</v>
      </c>
      <c r="R17" s="142">
        <v>0</v>
      </c>
      <c r="S17" s="142"/>
      <c r="T17" s="142">
        <v>1106551.6209552169</v>
      </c>
      <c r="U17" s="142">
        <v>242901.57533163301</v>
      </c>
      <c r="V17" s="142">
        <v>0</v>
      </c>
      <c r="W17" s="142">
        <v>67704.690902130009</v>
      </c>
      <c r="X17" s="142">
        <v>79648.011748080011</v>
      </c>
      <c r="Y17" s="142">
        <v>18443.317599595499</v>
      </c>
      <c r="Z17" s="142">
        <v>19350.33591536287</v>
      </c>
      <c r="AA17" s="142">
        <v>0</v>
      </c>
    </row>
    <row r="18" spans="1:27" x14ac:dyDescent="0.2">
      <c r="A18" s="328">
        <v>16</v>
      </c>
      <c r="B18" s="1" t="s">
        <v>380</v>
      </c>
      <c r="C18" s="1" t="s">
        <v>378</v>
      </c>
      <c r="D18" s="1" t="s">
        <v>380</v>
      </c>
      <c r="E18" s="11" t="s">
        <v>272</v>
      </c>
      <c r="F18" s="142">
        <v>17026995.708163548</v>
      </c>
      <c r="G18" s="142">
        <v>2428780.2216826999</v>
      </c>
      <c r="H18" s="142">
        <v>3782302.2438238361</v>
      </c>
      <c r="I18" s="142">
        <v>1786972.7491085001</v>
      </c>
      <c r="J18" s="142">
        <v>62987.280094183501</v>
      </c>
      <c r="K18" s="142">
        <v>103070.094699573</v>
      </c>
      <c r="L18" s="142">
        <v>52742.906116509483</v>
      </c>
      <c r="M18" s="142">
        <v>0</v>
      </c>
      <c r="N18" s="142">
        <v>0</v>
      </c>
      <c r="O18" s="142">
        <v>0</v>
      </c>
      <c r="P18" s="142">
        <v>137989.829717585</v>
      </c>
      <c r="Q18" s="142">
        <v>124774.561941265</v>
      </c>
      <c r="R18" s="142">
        <v>0</v>
      </c>
      <c r="S18" s="142"/>
      <c r="T18" s="142">
        <v>640740.46556616086</v>
      </c>
      <c r="U18" s="142">
        <v>140650.34609988899</v>
      </c>
      <c r="V18" s="142">
        <v>0</v>
      </c>
      <c r="W18" s="142">
        <v>41245.119854370008</v>
      </c>
      <c r="X18" s="142">
        <v>66595.489810404993</v>
      </c>
      <c r="Y18" s="142">
        <v>9841.6870738380003</v>
      </c>
      <c r="Z18" s="142">
        <v>18651.775364621681</v>
      </c>
      <c r="AA18" s="142">
        <v>0</v>
      </c>
    </row>
    <row r="19" spans="1:27" x14ac:dyDescent="0.2">
      <c r="A19" s="328">
        <v>17</v>
      </c>
      <c r="B19" s="1" t="s">
        <v>380</v>
      </c>
      <c r="C19" s="1" t="s">
        <v>378</v>
      </c>
      <c r="D19" s="1" t="s">
        <v>380</v>
      </c>
      <c r="E19" s="11" t="s">
        <v>273</v>
      </c>
      <c r="F19" s="142">
        <v>113091.23898289949</v>
      </c>
      <c r="G19" s="142">
        <v>30941.419993621999</v>
      </c>
      <c r="H19" s="142">
        <v>28780.139527687199</v>
      </c>
      <c r="I19" s="142">
        <v>13409.78323671</v>
      </c>
      <c r="J19" s="142">
        <v>493.13945151850498</v>
      </c>
      <c r="K19" s="142">
        <v>806.95546612118994</v>
      </c>
      <c r="L19" s="142">
        <v>605.21659959089254</v>
      </c>
      <c r="M19" s="142">
        <v>0</v>
      </c>
      <c r="N19" s="142">
        <v>0</v>
      </c>
      <c r="O19" s="142">
        <v>0</v>
      </c>
      <c r="P19" s="142">
        <v>2021.09255373325</v>
      </c>
      <c r="Q19" s="142">
        <v>869.53392822139983</v>
      </c>
      <c r="R19" s="142">
        <v>0</v>
      </c>
      <c r="S19" s="142"/>
      <c r="T19" s="142">
        <v>8745.2518672152401</v>
      </c>
      <c r="U19" s="142">
        <v>1919.6894342667599</v>
      </c>
      <c r="V19" s="142">
        <v>0</v>
      </c>
      <c r="W19" s="142">
        <v>286.88846982929999</v>
      </c>
      <c r="X19" s="142">
        <v>292.6889362279</v>
      </c>
      <c r="Y19" s="142">
        <v>101.01130728619</v>
      </c>
      <c r="Z19" s="142">
        <v>275.81128514434999</v>
      </c>
      <c r="AA19" s="142">
        <v>0</v>
      </c>
    </row>
    <row r="20" spans="1:27" s="135" customFormat="1" x14ac:dyDescent="0.2">
      <c r="A20" s="395">
        <v>18</v>
      </c>
      <c r="B20" s="316" t="s">
        <v>378</v>
      </c>
      <c r="C20" s="316" t="s">
        <v>236</v>
      </c>
      <c r="D20" s="316" t="s">
        <v>381</v>
      </c>
      <c r="E20" s="317" t="s">
        <v>369</v>
      </c>
      <c r="F20" s="396">
        <v>44699694.353089653</v>
      </c>
      <c r="G20" s="396">
        <v>3430478.7845321279</v>
      </c>
      <c r="H20" s="396">
        <v>13384217.411555881</v>
      </c>
      <c r="I20" s="396">
        <v>4596200.9979896126</v>
      </c>
      <c r="J20" s="396">
        <v>225942.48503887499</v>
      </c>
      <c r="K20" s="396">
        <v>369724.06642724999</v>
      </c>
      <c r="L20" s="396">
        <v>225942.48503887499</v>
      </c>
      <c r="M20" s="396">
        <v>0</v>
      </c>
      <c r="N20" s="396">
        <v>0</v>
      </c>
      <c r="O20" s="396">
        <v>10270.1129563125</v>
      </c>
      <c r="P20" s="396">
        <v>497774.13960036502</v>
      </c>
      <c r="Q20" s="396">
        <v>472095.95147994999</v>
      </c>
      <c r="R20" s="396">
        <v>0</v>
      </c>
      <c r="S20" s="396"/>
      <c r="T20" s="396">
        <v>2446286.1309633502</v>
      </c>
      <c r="U20" s="396">
        <v>536989.63850414986</v>
      </c>
      <c r="V20" s="396">
        <v>0</v>
      </c>
      <c r="W20" s="396">
        <v>160509.3832638</v>
      </c>
      <c r="X20" s="396">
        <v>206766.23856244999</v>
      </c>
      <c r="Y20" s="396">
        <v>43942.221401580013</v>
      </c>
      <c r="Z20" s="396">
        <v>45105.889522897189</v>
      </c>
      <c r="AA20" s="396">
        <v>0</v>
      </c>
    </row>
    <row r="21" spans="1:27" x14ac:dyDescent="0.2">
      <c r="A21" s="328">
        <v>19</v>
      </c>
      <c r="B21" s="1" t="s">
        <v>378</v>
      </c>
      <c r="C21" s="1" t="s">
        <v>236</v>
      </c>
      <c r="D21" s="1" t="s">
        <v>381</v>
      </c>
      <c r="E21" s="11" t="s">
        <v>272</v>
      </c>
      <c r="F21" s="142">
        <v>35244449.075149499</v>
      </c>
      <c r="G21" s="142">
        <v>3126651.729633268</v>
      </c>
      <c r="H21" s="142">
        <v>7837955.0536054512</v>
      </c>
      <c r="I21" s="142">
        <v>4013737.6897669998</v>
      </c>
      <c r="J21" s="142">
        <v>135573.52390956</v>
      </c>
      <c r="K21" s="142">
        <v>221847.58457928</v>
      </c>
      <c r="L21" s="142">
        <v>135573.52390956</v>
      </c>
      <c r="M21" s="142">
        <v>0</v>
      </c>
      <c r="N21" s="142">
        <v>0</v>
      </c>
      <c r="O21" s="142">
        <v>6162.4329049800008</v>
      </c>
      <c r="P21" s="142">
        <v>287017.17649029999</v>
      </c>
      <c r="Q21" s="142">
        <v>283513.35489900003</v>
      </c>
      <c r="R21" s="142">
        <v>0</v>
      </c>
      <c r="S21" s="142"/>
      <c r="T21" s="142">
        <v>1181844.34973844</v>
      </c>
      <c r="U21" s="142">
        <v>259429.24750356001</v>
      </c>
      <c r="V21" s="142">
        <v>0</v>
      </c>
      <c r="W21" s="142">
        <v>90740.122428599978</v>
      </c>
      <c r="X21" s="142">
        <v>167335.88260780001</v>
      </c>
      <c r="Y21" s="142">
        <v>21078.368196865002</v>
      </c>
      <c r="Z21" s="142">
        <v>42844.673310422673</v>
      </c>
      <c r="AA21" s="142">
        <v>0</v>
      </c>
    </row>
    <row r="22" spans="1:27" x14ac:dyDescent="0.2">
      <c r="A22" s="328">
        <v>20</v>
      </c>
      <c r="B22" s="1" t="s">
        <v>378</v>
      </c>
      <c r="C22" s="1" t="s">
        <v>236</v>
      </c>
      <c r="D22" s="1" t="s">
        <v>381</v>
      </c>
      <c r="E22" s="11" t="s">
        <v>273</v>
      </c>
      <c r="F22" s="142">
        <v>723114.16405257001</v>
      </c>
      <c r="G22" s="142">
        <v>101998.8424871</v>
      </c>
      <c r="H22" s="142">
        <v>117970.555969005</v>
      </c>
      <c r="I22" s="142">
        <v>115349.933466485</v>
      </c>
      <c r="J22" s="142">
        <v>4429.9299285004508</v>
      </c>
      <c r="K22" s="142">
        <v>7248.9762466371012</v>
      </c>
      <c r="L22" s="142">
        <v>4429.9299285004508</v>
      </c>
      <c r="M22" s="142">
        <v>0</v>
      </c>
      <c r="N22" s="142">
        <v>0</v>
      </c>
      <c r="O22" s="142">
        <v>201.360451295475</v>
      </c>
      <c r="P22" s="142">
        <v>6576.7308496984988</v>
      </c>
      <c r="Q22" s="142">
        <v>3507.6604778115002</v>
      </c>
      <c r="R22" s="142">
        <v>0</v>
      </c>
      <c r="S22" s="142"/>
      <c r="T22" s="142">
        <v>34308.496361256992</v>
      </c>
      <c r="U22" s="142">
        <v>7531.1333475929987</v>
      </c>
      <c r="V22" s="142">
        <v>0</v>
      </c>
      <c r="W22" s="142">
        <v>2696.9130284589</v>
      </c>
      <c r="X22" s="142">
        <v>1599.7068481024501</v>
      </c>
      <c r="Y22" s="142">
        <v>551.85556390290003</v>
      </c>
      <c r="Z22" s="142">
        <v>1087.1564482555</v>
      </c>
      <c r="AA22" s="142">
        <v>0</v>
      </c>
    </row>
    <row r="23" spans="1:27" x14ac:dyDescent="0.2">
      <c r="A23" s="328">
        <v>21</v>
      </c>
      <c r="B23" s="1" t="s">
        <v>378</v>
      </c>
      <c r="C23" s="1" t="s">
        <v>236</v>
      </c>
      <c r="D23" s="1" t="s">
        <v>380</v>
      </c>
      <c r="E23" s="11" t="s">
        <v>369</v>
      </c>
      <c r="F23" s="142">
        <v>18677123.425869141</v>
      </c>
      <c r="G23" s="142">
        <v>1519974.9258244759</v>
      </c>
      <c r="H23" s="142">
        <v>5555684.5872765575</v>
      </c>
      <c r="I23" s="142">
        <v>1876741.892898448</v>
      </c>
      <c r="J23" s="142">
        <v>94620.311269258513</v>
      </c>
      <c r="K23" s="142">
        <v>154833.23662242299</v>
      </c>
      <c r="L23" s="142">
        <v>94620.311269258513</v>
      </c>
      <c r="M23" s="142">
        <v>0</v>
      </c>
      <c r="N23" s="142">
        <v>0</v>
      </c>
      <c r="O23" s="142">
        <v>4300.9232395117506</v>
      </c>
      <c r="P23" s="142">
        <v>212135.73039933</v>
      </c>
      <c r="Q23" s="142">
        <v>193812.75930161</v>
      </c>
      <c r="R23" s="142">
        <v>0</v>
      </c>
      <c r="S23" s="142"/>
      <c r="T23" s="142">
        <v>1106551.6209552169</v>
      </c>
      <c r="U23" s="142">
        <v>242901.57533163301</v>
      </c>
      <c r="V23" s="142">
        <v>0</v>
      </c>
      <c r="W23" s="142">
        <v>67704.690902130009</v>
      </c>
      <c r="X23" s="142">
        <v>79648.011748080011</v>
      </c>
      <c r="Y23" s="142">
        <v>18443.317599595499</v>
      </c>
      <c r="Z23" s="142">
        <v>20400.95672624759</v>
      </c>
      <c r="AA23" s="142">
        <v>0</v>
      </c>
    </row>
    <row r="24" spans="1:27" x14ac:dyDescent="0.2">
      <c r="A24" s="328">
        <v>22</v>
      </c>
      <c r="B24" s="1" t="s">
        <v>378</v>
      </c>
      <c r="C24" s="1" t="s">
        <v>236</v>
      </c>
      <c r="D24" s="1" t="s">
        <v>380</v>
      </c>
      <c r="E24" s="11" t="s">
        <v>272</v>
      </c>
      <c r="F24" s="142">
        <v>17026995.708163548</v>
      </c>
      <c r="G24" s="142">
        <v>1432537.780089146</v>
      </c>
      <c r="H24" s="142">
        <v>3782302.2438238361</v>
      </c>
      <c r="I24" s="142">
        <v>1786972.7491085001</v>
      </c>
      <c r="J24" s="142">
        <v>62987.280094183501</v>
      </c>
      <c r="K24" s="142">
        <v>103070.094699573</v>
      </c>
      <c r="L24" s="142">
        <v>62987.280094183501</v>
      </c>
      <c r="M24" s="142">
        <v>0</v>
      </c>
      <c r="N24" s="142">
        <v>0</v>
      </c>
      <c r="O24" s="142">
        <v>2863.0581860992502</v>
      </c>
      <c r="P24" s="142">
        <v>137989.829717585</v>
      </c>
      <c r="Q24" s="142">
        <v>124774.561941265</v>
      </c>
      <c r="R24" s="142">
        <v>0</v>
      </c>
      <c r="S24" s="142"/>
      <c r="T24" s="142">
        <v>640740.46556616086</v>
      </c>
      <c r="U24" s="142">
        <v>140650.34609988899</v>
      </c>
      <c r="V24" s="142">
        <v>0</v>
      </c>
      <c r="W24" s="142">
        <v>41245.119854370008</v>
      </c>
      <c r="X24" s="142">
        <v>66595.489810404993</v>
      </c>
      <c r="Y24" s="142">
        <v>9841.6870738380003</v>
      </c>
      <c r="Z24" s="142">
        <v>19716.46849806586</v>
      </c>
      <c r="AA24" s="142">
        <v>0</v>
      </c>
    </row>
    <row r="25" spans="1:27" x14ac:dyDescent="0.2">
      <c r="A25" s="328">
        <v>23</v>
      </c>
      <c r="B25" s="1" t="s">
        <v>378</v>
      </c>
      <c r="C25" s="1" t="s">
        <v>236</v>
      </c>
      <c r="D25" s="1" t="s">
        <v>380</v>
      </c>
      <c r="E25" s="11" t="s">
        <v>273</v>
      </c>
      <c r="F25" s="142">
        <v>113091.23898289949</v>
      </c>
      <c r="G25" s="142">
        <v>30941.419993621999</v>
      </c>
      <c r="H25" s="142">
        <v>28780.139527687199</v>
      </c>
      <c r="I25" s="142">
        <v>13409.78323671</v>
      </c>
      <c r="J25" s="142">
        <v>493.13945151850498</v>
      </c>
      <c r="K25" s="142">
        <v>806.95546612118994</v>
      </c>
      <c r="L25" s="142">
        <v>493.13945151850498</v>
      </c>
      <c r="M25" s="142">
        <v>0</v>
      </c>
      <c r="N25" s="142">
        <v>0</v>
      </c>
      <c r="O25" s="142">
        <v>22.4154296144775</v>
      </c>
      <c r="P25" s="142">
        <v>2021.09255373325</v>
      </c>
      <c r="Q25" s="142">
        <v>869.53392822139983</v>
      </c>
      <c r="R25" s="142">
        <v>0</v>
      </c>
      <c r="S25" s="142"/>
      <c r="T25" s="142">
        <v>8745.2518672152401</v>
      </c>
      <c r="U25" s="142">
        <v>1919.6894342667599</v>
      </c>
      <c r="V25" s="142">
        <v>0</v>
      </c>
      <c r="W25" s="142">
        <v>286.88846982929999</v>
      </c>
      <c r="X25" s="142">
        <v>292.6889362279</v>
      </c>
      <c r="Y25" s="142">
        <v>101.01130728619</v>
      </c>
      <c r="Z25" s="142">
        <v>275.81128514434999</v>
      </c>
      <c r="AA25" s="142">
        <v>0</v>
      </c>
    </row>
    <row r="26" spans="1:27" x14ac:dyDescent="0.2">
      <c r="A26" s="328">
        <v>24</v>
      </c>
      <c r="B26" s="1" t="s">
        <v>381</v>
      </c>
      <c r="C26" s="1" t="s">
        <v>236</v>
      </c>
      <c r="D26" s="1" t="s">
        <v>381</v>
      </c>
      <c r="E26" s="11" t="s">
        <v>369</v>
      </c>
      <c r="F26" s="142">
        <v>52418041.267931402</v>
      </c>
      <c r="G26" s="142">
        <v>4051490.394022211</v>
      </c>
      <c r="H26" s="142">
        <v>15792063.071584409</v>
      </c>
      <c r="I26" s="142">
        <v>5327081.4791929377</v>
      </c>
      <c r="J26" s="142">
        <v>225942.48503887499</v>
      </c>
      <c r="K26" s="142">
        <v>369724.06642724999</v>
      </c>
      <c r="L26" s="142">
        <v>225942.48503887499</v>
      </c>
      <c r="M26" s="142">
        <v>0</v>
      </c>
      <c r="N26" s="142">
        <v>0</v>
      </c>
      <c r="O26" s="142">
        <v>10270.1129563125</v>
      </c>
      <c r="P26" s="142">
        <v>497774.13960036502</v>
      </c>
      <c r="Q26" s="142">
        <v>472095.95147994999</v>
      </c>
      <c r="R26" s="142">
        <v>0</v>
      </c>
      <c r="S26" s="142"/>
      <c r="T26" s="142">
        <v>2446286.1309633502</v>
      </c>
      <c r="U26" s="142">
        <v>536989.63850414986</v>
      </c>
      <c r="V26" s="142">
        <v>0</v>
      </c>
      <c r="W26" s="142">
        <v>160509.3832638</v>
      </c>
      <c r="X26" s="142">
        <v>206766.23856244999</v>
      </c>
      <c r="Y26" s="142">
        <v>43942.221401580013</v>
      </c>
      <c r="Z26" s="142">
        <v>51206.665649277551</v>
      </c>
      <c r="AA26" s="142">
        <v>0</v>
      </c>
    </row>
    <row r="27" spans="1:27" x14ac:dyDescent="0.2">
      <c r="A27" s="328">
        <v>25</v>
      </c>
      <c r="B27" s="1" t="s">
        <v>381</v>
      </c>
      <c r="C27" s="1" t="s">
        <v>236</v>
      </c>
      <c r="D27" s="1" t="s">
        <v>381</v>
      </c>
      <c r="E27" s="11" t="s">
        <v>272</v>
      </c>
      <c r="F27" s="142">
        <v>35244449.075149499</v>
      </c>
      <c r="G27" s="142">
        <v>3688255.8857884239</v>
      </c>
      <c r="H27" s="142">
        <v>7837955.0536054512</v>
      </c>
      <c r="I27" s="142">
        <v>4013737.6897669998</v>
      </c>
      <c r="J27" s="142">
        <v>135573.52390956</v>
      </c>
      <c r="K27" s="142">
        <v>221847.58457928</v>
      </c>
      <c r="L27" s="142">
        <v>135573.52390956</v>
      </c>
      <c r="M27" s="142">
        <v>0</v>
      </c>
      <c r="N27" s="142">
        <v>0</v>
      </c>
      <c r="O27" s="142">
        <v>6162.4329049800008</v>
      </c>
      <c r="P27" s="142">
        <v>287017.17649029999</v>
      </c>
      <c r="Q27" s="142">
        <v>283513.35489900003</v>
      </c>
      <c r="R27" s="142">
        <v>0</v>
      </c>
      <c r="S27" s="142"/>
      <c r="T27" s="142">
        <v>1181844.34973844</v>
      </c>
      <c r="U27" s="142">
        <v>259429.24750356001</v>
      </c>
      <c r="V27" s="142">
        <v>0</v>
      </c>
      <c r="W27" s="142">
        <v>90740.122428599978</v>
      </c>
      <c r="X27" s="142">
        <v>167335.88260780001</v>
      </c>
      <c r="Y27" s="142">
        <v>21078.368196865002</v>
      </c>
      <c r="Z27" s="142">
        <v>48550.659327562127</v>
      </c>
      <c r="AA27" s="142">
        <v>0</v>
      </c>
    </row>
    <row r="28" spans="1:27" x14ac:dyDescent="0.2">
      <c r="A28" s="328">
        <v>26</v>
      </c>
      <c r="B28" s="1" t="s">
        <v>381</v>
      </c>
      <c r="C28" s="1" t="s">
        <v>236</v>
      </c>
      <c r="D28" s="1" t="s">
        <v>381</v>
      </c>
      <c r="E28" s="11" t="s">
        <v>273</v>
      </c>
      <c r="F28" s="142">
        <v>723114.16405257001</v>
      </c>
      <c r="G28" s="142">
        <v>101998.8424871</v>
      </c>
      <c r="H28" s="142">
        <v>117970.555969005</v>
      </c>
      <c r="I28" s="142">
        <v>115349.933466485</v>
      </c>
      <c r="J28" s="142">
        <v>4429.9299285004508</v>
      </c>
      <c r="K28" s="142">
        <v>7248.9762466371012</v>
      </c>
      <c r="L28" s="142">
        <v>4429.9299285004508</v>
      </c>
      <c r="M28" s="142">
        <v>0</v>
      </c>
      <c r="N28" s="142">
        <v>0</v>
      </c>
      <c r="O28" s="142">
        <v>201.360451295475</v>
      </c>
      <c r="P28" s="142">
        <v>6576.7308496984988</v>
      </c>
      <c r="Q28" s="142">
        <v>3507.6604778115002</v>
      </c>
      <c r="R28" s="142">
        <v>0</v>
      </c>
      <c r="S28" s="142"/>
      <c r="T28" s="142">
        <v>34308.496361256992</v>
      </c>
      <c r="U28" s="142">
        <v>7531.1333475929987</v>
      </c>
      <c r="V28" s="142">
        <v>0</v>
      </c>
      <c r="W28" s="142">
        <v>2696.9130284589</v>
      </c>
      <c r="X28" s="142">
        <v>1599.7068481024501</v>
      </c>
      <c r="Y28" s="142">
        <v>551.85556390290003</v>
      </c>
      <c r="Z28" s="142">
        <v>1087.1564482555</v>
      </c>
      <c r="AA28" s="142">
        <v>0</v>
      </c>
    </row>
    <row r="29" spans="1:27" x14ac:dyDescent="0.2">
      <c r="A29" s="328">
        <v>27</v>
      </c>
      <c r="B29" s="1" t="s">
        <v>381</v>
      </c>
      <c r="C29" s="1" t="s">
        <v>236</v>
      </c>
      <c r="D29" s="1" t="s">
        <v>380</v>
      </c>
      <c r="E29" s="11" t="s">
        <v>369</v>
      </c>
      <c r="F29" s="142">
        <v>21945557.4537552</v>
      </c>
      <c r="G29" s="142">
        <v>1793559.847370482</v>
      </c>
      <c r="H29" s="142">
        <v>6553638.8033274142</v>
      </c>
      <c r="I29" s="142">
        <v>2185114.2394198691</v>
      </c>
      <c r="J29" s="142">
        <v>94620.311269258513</v>
      </c>
      <c r="K29" s="142">
        <v>154833.23662242299</v>
      </c>
      <c r="L29" s="142">
        <v>94620.311269258513</v>
      </c>
      <c r="M29" s="142">
        <v>0</v>
      </c>
      <c r="N29" s="142">
        <v>0</v>
      </c>
      <c r="O29" s="142">
        <v>4300.9232395117506</v>
      </c>
      <c r="P29" s="142">
        <v>212135.73039933</v>
      </c>
      <c r="Q29" s="142">
        <v>193812.75930161</v>
      </c>
      <c r="R29" s="142">
        <v>0</v>
      </c>
      <c r="S29" s="142"/>
      <c r="T29" s="142">
        <v>1106551.6209552169</v>
      </c>
      <c r="U29" s="142">
        <v>242901.57533163301</v>
      </c>
      <c r="V29" s="142">
        <v>0</v>
      </c>
      <c r="W29" s="142">
        <v>67704.690902130009</v>
      </c>
      <c r="X29" s="142">
        <v>79648.011748080011</v>
      </c>
      <c r="Y29" s="142">
        <v>18443.317599595499</v>
      </c>
      <c r="Z29" s="142">
        <v>23049.244032538922</v>
      </c>
      <c r="AA29" s="142">
        <v>0</v>
      </c>
    </row>
    <row r="30" spans="1:27" x14ac:dyDescent="0.2">
      <c r="A30" s="328">
        <v>28</v>
      </c>
      <c r="B30" s="1" t="s">
        <v>381</v>
      </c>
      <c r="C30" s="1" t="s">
        <v>236</v>
      </c>
      <c r="D30" s="1" t="s">
        <v>380</v>
      </c>
      <c r="E30" s="11" t="s">
        <v>272</v>
      </c>
      <c r="F30" s="142">
        <v>17026995.708163548</v>
      </c>
      <c r="G30" s="142">
        <v>1688754.791964466</v>
      </c>
      <c r="H30" s="142">
        <v>3782302.2438238361</v>
      </c>
      <c r="I30" s="142">
        <v>1786972.7491085001</v>
      </c>
      <c r="J30" s="142">
        <v>62987.280094183501</v>
      </c>
      <c r="K30" s="142">
        <v>103070.094699573</v>
      </c>
      <c r="L30" s="142">
        <v>62987.280094183501</v>
      </c>
      <c r="M30" s="142">
        <v>0</v>
      </c>
      <c r="N30" s="142">
        <v>0</v>
      </c>
      <c r="O30" s="142">
        <v>2863.0581860992502</v>
      </c>
      <c r="P30" s="142">
        <v>137989.829717585</v>
      </c>
      <c r="Q30" s="142">
        <v>124774.561941265</v>
      </c>
      <c r="R30" s="142">
        <v>0</v>
      </c>
      <c r="S30" s="142"/>
      <c r="T30" s="142">
        <v>640740.46556616086</v>
      </c>
      <c r="U30" s="142">
        <v>140650.34609988899</v>
      </c>
      <c r="V30" s="142">
        <v>0</v>
      </c>
      <c r="W30" s="142">
        <v>41245.119854370008</v>
      </c>
      <c r="X30" s="142">
        <v>66595.489810404993</v>
      </c>
      <c r="Y30" s="142">
        <v>9841.6870738380003</v>
      </c>
      <c r="Z30" s="142">
        <v>22237.98019985202</v>
      </c>
      <c r="AA30" s="142">
        <v>0</v>
      </c>
    </row>
    <row r="31" spans="1:27" x14ac:dyDescent="0.2">
      <c r="A31" s="328">
        <v>29</v>
      </c>
      <c r="B31" s="1" t="s">
        <v>381</v>
      </c>
      <c r="C31" s="1" t="s">
        <v>236</v>
      </c>
      <c r="D31" s="1" t="s">
        <v>380</v>
      </c>
      <c r="E31" s="11" t="s">
        <v>273</v>
      </c>
      <c r="F31" s="142">
        <v>113091.23898289949</v>
      </c>
      <c r="G31" s="142">
        <v>30941.419993621999</v>
      </c>
      <c r="H31" s="142">
        <v>28780.139527687199</v>
      </c>
      <c r="I31" s="142">
        <v>13409.78323671</v>
      </c>
      <c r="J31" s="142">
        <v>493.13945151850498</v>
      </c>
      <c r="K31" s="142">
        <v>806.95546612118994</v>
      </c>
      <c r="L31" s="142">
        <v>493.13945151850498</v>
      </c>
      <c r="M31" s="142">
        <v>0</v>
      </c>
      <c r="N31" s="142">
        <v>0</v>
      </c>
      <c r="O31" s="142">
        <v>22.4154296144775</v>
      </c>
      <c r="P31" s="142">
        <v>2021.09255373325</v>
      </c>
      <c r="Q31" s="142">
        <v>869.53392822139983</v>
      </c>
      <c r="R31" s="142">
        <v>0</v>
      </c>
      <c r="S31" s="142"/>
      <c r="T31" s="142">
        <v>8745.2518672152401</v>
      </c>
      <c r="U31" s="142">
        <v>1919.6894342667599</v>
      </c>
      <c r="V31" s="142">
        <v>0</v>
      </c>
      <c r="W31" s="142">
        <v>286.88846982929999</v>
      </c>
      <c r="X31" s="142">
        <v>292.6889362279</v>
      </c>
      <c r="Y31" s="142">
        <v>101.01130728619</v>
      </c>
      <c r="Z31" s="142">
        <v>275.81128514434999</v>
      </c>
      <c r="AA31" s="142">
        <v>0</v>
      </c>
    </row>
    <row r="32" spans="1:27" x14ac:dyDescent="0.2">
      <c r="A32" s="328">
        <v>30</v>
      </c>
      <c r="B32" s="1" t="s">
        <v>380</v>
      </c>
      <c r="C32" s="1" t="s">
        <v>236</v>
      </c>
      <c r="D32" s="1" t="s">
        <v>381</v>
      </c>
      <c r="E32" s="11" t="s">
        <v>369</v>
      </c>
      <c r="F32" s="142">
        <v>36981347.438247897</v>
      </c>
      <c r="G32" s="142">
        <v>2809467.1750420458</v>
      </c>
      <c r="H32" s="142">
        <v>10976371.751527339</v>
      </c>
      <c r="I32" s="142">
        <v>3865320.516786288</v>
      </c>
      <c r="J32" s="142">
        <v>225942.48503887499</v>
      </c>
      <c r="K32" s="142">
        <v>369724.06642724999</v>
      </c>
      <c r="L32" s="142">
        <v>225942.48503887499</v>
      </c>
      <c r="M32" s="142">
        <v>0</v>
      </c>
      <c r="N32" s="142">
        <v>0</v>
      </c>
      <c r="O32" s="142">
        <v>10270.1129563125</v>
      </c>
      <c r="P32" s="142">
        <v>497774.13960036502</v>
      </c>
      <c r="Q32" s="142">
        <v>472095.95147994999</v>
      </c>
      <c r="R32" s="142">
        <v>0</v>
      </c>
      <c r="S32" s="142"/>
      <c r="T32" s="142">
        <v>2446286.1309633502</v>
      </c>
      <c r="U32" s="142">
        <v>536989.63850414986</v>
      </c>
      <c r="V32" s="142">
        <v>0</v>
      </c>
      <c r="W32" s="142">
        <v>160509.3832638</v>
      </c>
      <c r="X32" s="142">
        <v>206766.23856244999</v>
      </c>
      <c r="Y32" s="142">
        <v>43942.221401580013</v>
      </c>
      <c r="Z32" s="142">
        <v>39005.113396516812</v>
      </c>
      <c r="AA32" s="142">
        <v>0</v>
      </c>
    </row>
    <row r="33" spans="1:27" x14ac:dyDescent="0.2">
      <c r="A33" s="328">
        <v>31</v>
      </c>
      <c r="B33" s="1" t="s">
        <v>380</v>
      </c>
      <c r="C33" s="1" t="s">
        <v>236</v>
      </c>
      <c r="D33" s="1" t="s">
        <v>381</v>
      </c>
      <c r="E33" s="11" t="s">
        <v>272</v>
      </c>
      <c r="F33" s="142">
        <v>35244449.075149499</v>
      </c>
      <c r="G33" s="142">
        <v>2565047.5734781129</v>
      </c>
      <c r="H33" s="142">
        <v>7837955.0536054512</v>
      </c>
      <c r="I33" s="142">
        <v>3846512.9244067599</v>
      </c>
      <c r="J33" s="142">
        <v>135573.52390956</v>
      </c>
      <c r="K33" s="142">
        <v>221847.58457928</v>
      </c>
      <c r="L33" s="142">
        <v>135573.52390956</v>
      </c>
      <c r="M33" s="142">
        <v>0</v>
      </c>
      <c r="N33" s="142">
        <v>0</v>
      </c>
      <c r="O33" s="142">
        <v>6162.4329049800008</v>
      </c>
      <c r="P33" s="142">
        <v>287017.17649029999</v>
      </c>
      <c r="Q33" s="142">
        <v>283513.35489900003</v>
      </c>
      <c r="R33" s="142">
        <v>0</v>
      </c>
      <c r="S33" s="142"/>
      <c r="T33" s="142">
        <v>1181844.34973844</v>
      </c>
      <c r="U33" s="142">
        <v>259429.24750356001</v>
      </c>
      <c r="V33" s="142">
        <v>0</v>
      </c>
      <c r="W33" s="142">
        <v>90740.122428599978</v>
      </c>
      <c r="X33" s="142">
        <v>167335.88260780001</v>
      </c>
      <c r="Y33" s="142">
        <v>21078.368196865002</v>
      </c>
      <c r="Z33" s="142">
        <v>37138.687293283248</v>
      </c>
      <c r="AA33" s="142">
        <v>0</v>
      </c>
    </row>
    <row r="34" spans="1:27" x14ac:dyDescent="0.2">
      <c r="A34" s="328">
        <v>32</v>
      </c>
      <c r="B34" s="1" t="s">
        <v>380</v>
      </c>
      <c r="C34" s="1" t="s">
        <v>236</v>
      </c>
      <c r="D34" s="1" t="s">
        <v>381</v>
      </c>
      <c r="E34" s="11" t="s">
        <v>273</v>
      </c>
      <c r="F34" s="142">
        <v>723114.16405257001</v>
      </c>
      <c r="G34" s="142">
        <v>101998.8424871</v>
      </c>
      <c r="H34" s="142">
        <v>117970.555969005</v>
      </c>
      <c r="I34" s="142">
        <v>115349.933466485</v>
      </c>
      <c r="J34" s="142">
        <v>4429.9299285004508</v>
      </c>
      <c r="K34" s="142">
        <v>7248.9762466371012</v>
      </c>
      <c r="L34" s="142">
        <v>4429.9299285004508</v>
      </c>
      <c r="M34" s="142">
        <v>0</v>
      </c>
      <c r="N34" s="142">
        <v>0</v>
      </c>
      <c r="O34" s="142">
        <v>201.360451295475</v>
      </c>
      <c r="P34" s="142">
        <v>6576.7308496984988</v>
      </c>
      <c r="Q34" s="142">
        <v>3507.6604778115002</v>
      </c>
      <c r="R34" s="142">
        <v>0</v>
      </c>
      <c r="S34" s="142"/>
      <c r="T34" s="142">
        <v>34308.496361256992</v>
      </c>
      <c r="U34" s="142">
        <v>7531.1333475929987</v>
      </c>
      <c r="V34" s="142">
        <v>0</v>
      </c>
      <c r="W34" s="142">
        <v>2696.9130284589</v>
      </c>
      <c r="X34" s="142">
        <v>1599.7068481024501</v>
      </c>
      <c r="Y34" s="142">
        <v>551.85556390290003</v>
      </c>
      <c r="Z34" s="142">
        <v>1087.1564482555</v>
      </c>
      <c r="AA34" s="142">
        <v>0</v>
      </c>
    </row>
    <row r="35" spans="1:27" x14ac:dyDescent="0.2">
      <c r="A35" s="328">
        <v>33</v>
      </c>
      <c r="B35" s="1" t="s">
        <v>380</v>
      </c>
      <c r="C35" s="1" t="s">
        <v>236</v>
      </c>
      <c r="D35" s="1" t="s">
        <v>380</v>
      </c>
      <c r="E35" s="11" t="s">
        <v>369</v>
      </c>
      <c r="F35" s="142">
        <v>15408689.397983089</v>
      </c>
      <c r="G35" s="142">
        <v>1246390.0042784719</v>
      </c>
      <c r="H35" s="142">
        <v>4557730.3712257044</v>
      </c>
      <c r="I35" s="142">
        <v>1568369.5463770269</v>
      </c>
      <c r="J35" s="142">
        <v>94620.311269258513</v>
      </c>
      <c r="K35" s="142">
        <v>154833.23662242299</v>
      </c>
      <c r="L35" s="142">
        <v>94620.311269258513</v>
      </c>
      <c r="M35" s="142">
        <v>0</v>
      </c>
      <c r="N35" s="142">
        <v>0</v>
      </c>
      <c r="O35" s="142">
        <v>4300.9232395117506</v>
      </c>
      <c r="P35" s="142">
        <v>212135.73039933</v>
      </c>
      <c r="Q35" s="142">
        <v>193812.75930161</v>
      </c>
      <c r="R35" s="142">
        <v>0</v>
      </c>
      <c r="S35" s="142"/>
      <c r="T35" s="142">
        <v>1106551.6209552169</v>
      </c>
      <c r="U35" s="142">
        <v>242901.57533163301</v>
      </c>
      <c r="V35" s="142">
        <v>0</v>
      </c>
      <c r="W35" s="142">
        <v>67704.690902130009</v>
      </c>
      <c r="X35" s="142">
        <v>79648.011748080011</v>
      </c>
      <c r="Y35" s="142">
        <v>18443.317599595499</v>
      </c>
      <c r="Z35" s="142">
        <v>17752.66941995627</v>
      </c>
      <c r="AA35" s="142">
        <v>0</v>
      </c>
    </row>
    <row r="36" spans="1:27" x14ac:dyDescent="0.2">
      <c r="A36" s="328">
        <v>34</v>
      </c>
      <c r="B36" s="1" t="s">
        <v>380</v>
      </c>
      <c r="C36" s="1" t="s">
        <v>236</v>
      </c>
      <c r="D36" s="1" t="s">
        <v>380</v>
      </c>
      <c r="E36" s="11" t="s">
        <v>272</v>
      </c>
      <c r="F36" s="142">
        <v>15063240.17683954</v>
      </c>
      <c r="G36" s="142">
        <v>1176320.768213826</v>
      </c>
      <c r="H36" s="142">
        <v>3782302.2438238361</v>
      </c>
      <c r="I36" s="142">
        <v>1541801.367432178</v>
      </c>
      <c r="J36" s="142">
        <v>62987.280094183501</v>
      </c>
      <c r="K36" s="142">
        <v>103070.094699573</v>
      </c>
      <c r="L36" s="142">
        <v>62987.280094183501</v>
      </c>
      <c r="M36" s="142">
        <v>0</v>
      </c>
      <c r="N36" s="142">
        <v>0</v>
      </c>
      <c r="O36" s="142">
        <v>2863.0581860992502</v>
      </c>
      <c r="P36" s="142">
        <v>137989.829717585</v>
      </c>
      <c r="Q36" s="142">
        <v>124774.561941265</v>
      </c>
      <c r="R36" s="142">
        <v>0</v>
      </c>
      <c r="S36" s="142"/>
      <c r="T36" s="142">
        <v>640740.46556616086</v>
      </c>
      <c r="U36" s="142">
        <v>140650.34609988899</v>
      </c>
      <c r="V36" s="142">
        <v>0</v>
      </c>
      <c r="W36" s="142">
        <v>41245.119854370008</v>
      </c>
      <c r="X36" s="142">
        <v>66595.489810404993</v>
      </c>
      <c r="Y36" s="142">
        <v>9841.6870738380003</v>
      </c>
      <c r="Z36" s="142">
        <v>17194.956796279708</v>
      </c>
      <c r="AA36" s="142">
        <v>0</v>
      </c>
    </row>
    <row r="37" spans="1:27" x14ac:dyDescent="0.2">
      <c r="A37" s="328">
        <v>35</v>
      </c>
      <c r="B37" s="1" t="s">
        <v>380</v>
      </c>
      <c r="C37" s="1" t="s">
        <v>236</v>
      </c>
      <c r="D37" s="1" t="s">
        <v>380</v>
      </c>
      <c r="E37" s="11" t="s">
        <v>273</v>
      </c>
      <c r="F37" s="142">
        <v>113091.23898289949</v>
      </c>
      <c r="G37" s="142">
        <v>30941.419993621999</v>
      </c>
      <c r="H37" s="142">
        <v>28780.139527687199</v>
      </c>
      <c r="I37" s="142">
        <v>13409.78323671</v>
      </c>
      <c r="J37" s="142">
        <v>493.13945151850498</v>
      </c>
      <c r="K37" s="142">
        <v>806.95546612118994</v>
      </c>
      <c r="L37" s="142">
        <v>493.13945151850498</v>
      </c>
      <c r="M37" s="142">
        <v>0</v>
      </c>
      <c r="N37" s="142">
        <v>0</v>
      </c>
      <c r="O37" s="142">
        <v>22.4154296144775</v>
      </c>
      <c r="P37" s="142">
        <v>2021.09255373325</v>
      </c>
      <c r="Q37" s="142">
        <v>869.53392822139983</v>
      </c>
      <c r="R37" s="142">
        <v>0</v>
      </c>
      <c r="S37" s="142"/>
      <c r="T37" s="142">
        <v>8745.2518672152401</v>
      </c>
      <c r="U37" s="142">
        <v>1919.6894342667599</v>
      </c>
      <c r="V37" s="142">
        <v>0</v>
      </c>
      <c r="W37" s="142">
        <v>286.88846982929999</v>
      </c>
      <c r="X37" s="142">
        <v>292.6889362279</v>
      </c>
      <c r="Y37" s="142">
        <v>101.01130728619</v>
      </c>
      <c r="Z37" s="142">
        <v>275.81128514434999</v>
      </c>
      <c r="AA37" s="142">
        <v>0</v>
      </c>
    </row>
    <row r="38" spans="1:27" s="135" customFormat="1" x14ac:dyDescent="0.2">
      <c r="A38" s="395">
        <v>36</v>
      </c>
      <c r="B38" s="316" t="s">
        <v>378</v>
      </c>
      <c r="C38" s="316" t="s">
        <v>241</v>
      </c>
      <c r="D38" s="316" t="s">
        <v>381</v>
      </c>
      <c r="E38" s="317" t="s">
        <v>369</v>
      </c>
      <c r="F38" s="396">
        <v>63590121.131806493</v>
      </c>
      <c r="G38" s="396">
        <v>6117672.8246433241</v>
      </c>
      <c r="H38" s="396">
        <v>11452865.489677809</v>
      </c>
      <c r="I38" s="396">
        <v>6372308.0276744999</v>
      </c>
      <c r="J38" s="396">
        <v>225942.48503887499</v>
      </c>
      <c r="K38" s="396">
        <v>369724.06642724999</v>
      </c>
      <c r="L38" s="396">
        <v>225942.48503887499</v>
      </c>
      <c r="M38" s="396">
        <v>0</v>
      </c>
      <c r="N38" s="396">
        <v>0</v>
      </c>
      <c r="O38" s="396">
        <v>10270.1129563125</v>
      </c>
      <c r="P38" s="396">
        <v>497774.13960036502</v>
      </c>
      <c r="Q38" s="396">
        <v>472095.95147994999</v>
      </c>
      <c r="R38" s="396">
        <v>0</v>
      </c>
      <c r="S38" s="396"/>
      <c r="T38" s="396">
        <v>2446286.1309633502</v>
      </c>
      <c r="U38" s="396">
        <v>536989.63850414986</v>
      </c>
      <c r="V38" s="396">
        <v>0</v>
      </c>
      <c r="W38" s="396">
        <v>160509.3832638</v>
      </c>
      <c r="X38" s="396">
        <v>206766.23856244999</v>
      </c>
      <c r="Y38" s="396">
        <v>43942.221401580013</v>
      </c>
      <c r="Z38" s="396">
        <v>49533.205986693189</v>
      </c>
      <c r="AA38" s="396">
        <v>0</v>
      </c>
    </row>
    <row r="39" spans="1:27" x14ac:dyDescent="0.2">
      <c r="A39" s="328">
        <v>37</v>
      </c>
      <c r="B39" s="1" t="s">
        <v>378</v>
      </c>
      <c r="C39" s="1" t="s">
        <v>241</v>
      </c>
      <c r="D39" s="1" t="s">
        <v>381</v>
      </c>
      <c r="E39" s="11" t="s">
        <v>272</v>
      </c>
      <c r="F39" s="142">
        <v>35244449.075149499</v>
      </c>
      <c r="G39" s="142">
        <v>4588703.0054430002</v>
      </c>
      <c r="H39" s="142">
        <v>7837955.0536054512</v>
      </c>
      <c r="I39" s="142">
        <v>4013737.6897669998</v>
      </c>
      <c r="J39" s="142">
        <v>135573.52390956</v>
      </c>
      <c r="K39" s="142">
        <v>221847.58457928</v>
      </c>
      <c r="L39" s="142">
        <v>135573.52390956</v>
      </c>
      <c r="M39" s="142">
        <v>0</v>
      </c>
      <c r="N39" s="142">
        <v>0</v>
      </c>
      <c r="O39" s="142">
        <v>6162.4329049800008</v>
      </c>
      <c r="P39" s="142">
        <v>287017.17649029999</v>
      </c>
      <c r="Q39" s="142">
        <v>283513.35489900003</v>
      </c>
      <c r="R39" s="142">
        <v>0</v>
      </c>
      <c r="S39" s="142"/>
      <c r="T39" s="142">
        <v>1181844.34973844</v>
      </c>
      <c r="U39" s="142">
        <v>259429.24750356001</v>
      </c>
      <c r="V39" s="142">
        <v>0</v>
      </c>
      <c r="W39" s="142">
        <v>90740.122428599978</v>
      </c>
      <c r="X39" s="142">
        <v>167335.88260780001</v>
      </c>
      <c r="Y39" s="142">
        <v>21078.368196865002</v>
      </c>
      <c r="Z39" s="142">
        <v>46681.577130422083</v>
      </c>
      <c r="AA39" s="142">
        <v>0</v>
      </c>
    </row>
    <row r="40" spans="1:27" x14ac:dyDescent="0.2">
      <c r="A40" s="328">
        <v>38</v>
      </c>
      <c r="B40" s="1" t="s">
        <v>378</v>
      </c>
      <c r="C40" s="1" t="s">
        <v>241</v>
      </c>
      <c r="D40" s="1" t="s">
        <v>381</v>
      </c>
      <c r="E40" s="11" t="s">
        <v>273</v>
      </c>
      <c r="F40" s="142">
        <v>723114.16405257001</v>
      </c>
      <c r="G40" s="142">
        <v>101998.8424871</v>
      </c>
      <c r="H40" s="142">
        <v>117970.555969005</v>
      </c>
      <c r="I40" s="142">
        <v>115349.933466485</v>
      </c>
      <c r="J40" s="142">
        <v>4429.9299285004508</v>
      </c>
      <c r="K40" s="142">
        <v>7248.9762466371012</v>
      </c>
      <c r="L40" s="142">
        <v>4429.9299285004508</v>
      </c>
      <c r="M40" s="142">
        <v>0</v>
      </c>
      <c r="N40" s="142">
        <v>0</v>
      </c>
      <c r="O40" s="142">
        <v>201.360451295475</v>
      </c>
      <c r="P40" s="142">
        <v>6576.7308496984988</v>
      </c>
      <c r="Q40" s="142">
        <v>3507.6604778115002</v>
      </c>
      <c r="R40" s="142">
        <v>0</v>
      </c>
      <c r="S40" s="142"/>
      <c r="T40" s="142">
        <v>34308.496361256992</v>
      </c>
      <c r="U40" s="142">
        <v>7531.1333475929987</v>
      </c>
      <c r="V40" s="142">
        <v>0</v>
      </c>
      <c r="W40" s="142">
        <v>2696.9130284589</v>
      </c>
      <c r="X40" s="142">
        <v>1599.7068481024501</v>
      </c>
      <c r="Y40" s="142">
        <v>551.85556390290003</v>
      </c>
      <c r="Z40" s="142">
        <v>1087.1564482555</v>
      </c>
      <c r="AA40" s="142">
        <v>0</v>
      </c>
    </row>
    <row r="41" spans="1:27" x14ac:dyDescent="0.2">
      <c r="A41" s="328">
        <v>39</v>
      </c>
      <c r="B41" s="1" t="s">
        <v>378</v>
      </c>
      <c r="C41" s="1" t="s">
        <v>241</v>
      </c>
      <c r="D41" s="1" t="s">
        <v>380</v>
      </c>
      <c r="E41" s="11" t="s">
        <v>369</v>
      </c>
      <c r="F41" s="142">
        <v>26276062.828916632</v>
      </c>
      <c r="G41" s="142">
        <v>2589903.5262784059</v>
      </c>
      <c r="H41" s="142">
        <v>4788998.6344985804</v>
      </c>
      <c r="I41" s="142">
        <v>2647609.1033359999</v>
      </c>
      <c r="J41" s="142">
        <v>94620.311269258513</v>
      </c>
      <c r="K41" s="142">
        <v>154833.23662242299</v>
      </c>
      <c r="L41" s="142">
        <v>94620.311269258513</v>
      </c>
      <c r="M41" s="142">
        <v>0</v>
      </c>
      <c r="N41" s="142">
        <v>0</v>
      </c>
      <c r="O41" s="142">
        <v>4300.9232395117506</v>
      </c>
      <c r="P41" s="142">
        <v>212135.73039933</v>
      </c>
      <c r="Q41" s="142">
        <v>193812.75930161</v>
      </c>
      <c r="R41" s="142">
        <v>0</v>
      </c>
      <c r="S41" s="142"/>
      <c r="T41" s="142">
        <v>1106551.6209552169</v>
      </c>
      <c r="U41" s="142">
        <v>242901.57533163301</v>
      </c>
      <c r="V41" s="142">
        <v>0</v>
      </c>
      <c r="W41" s="142">
        <v>67704.690902130009</v>
      </c>
      <c r="X41" s="142">
        <v>79648.011748080011</v>
      </c>
      <c r="Y41" s="142">
        <v>18443.317599595499</v>
      </c>
      <c r="Z41" s="142">
        <v>22277.582962812379</v>
      </c>
      <c r="AA41" s="142">
        <v>0</v>
      </c>
    </row>
    <row r="42" spans="1:27" x14ac:dyDescent="0.2">
      <c r="A42" s="328">
        <v>40</v>
      </c>
      <c r="B42" s="1" t="s">
        <v>378</v>
      </c>
      <c r="C42" s="1" t="s">
        <v>241</v>
      </c>
      <c r="D42" s="1" t="s">
        <v>380</v>
      </c>
      <c r="E42" s="11" t="s">
        <v>272</v>
      </c>
      <c r="F42" s="142">
        <v>17026995.708163548</v>
      </c>
      <c r="G42" s="142">
        <v>2428780.2216826999</v>
      </c>
      <c r="H42" s="142">
        <v>3782302.2438238361</v>
      </c>
      <c r="I42" s="142">
        <v>1786972.7491085001</v>
      </c>
      <c r="J42" s="142">
        <v>62987.280094183501</v>
      </c>
      <c r="K42" s="142">
        <v>103070.094699573</v>
      </c>
      <c r="L42" s="142">
        <v>62987.280094183501</v>
      </c>
      <c r="M42" s="142">
        <v>0</v>
      </c>
      <c r="N42" s="142">
        <v>0</v>
      </c>
      <c r="O42" s="142">
        <v>2863.0581860992502</v>
      </c>
      <c r="P42" s="142">
        <v>137989.829717585</v>
      </c>
      <c r="Q42" s="142">
        <v>124774.561941265</v>
      </c>
      <c r="R42" s="142">
        <v>0</v>
      </c>
      <c r="S42" s="142"/>
      <c r="T42" s="142">
        <v>640740.46556616086</v>
      </c>
      <c r="U42" s="142">
        <v>140650.34609988899</v>
      </c>
      <c r="V42" s="142">
        <v>0</v>
      </c>
      <c r="W42" s="142">
        <v>41245.119854370008</v>
      </c>
      <c r="X42" s="142">
        <v>66595.489810404993</v>
      </c>
      <c r="Y42" s="142">
        <v>9841.6870738380003</v>
      </c>
      <c r="Z42" s="142">
        <v>21418.530779787739</v>
      </c>
      <c r="AA42" s="142">
        <v>0</v>
      </c>
    </row>
    <row r="43" spans="1:27" x14ac:dyDescent="0.2">
      <c r="A43" s="328">
        <v>41</v>
      </c>
      <c r="B43" s="1" t="s">
        <v>378</v>
      </c>
      <c r="C43" s="1" t="s">
        <v>241</v>
      </c>
      <c r="D43" s="1" t="s">
        <v>380</v>
      </c>
      <c r="E43" s="11" t="s">
        <v>273</v>
      </c>
      <c r="F43" s="142">
        <v>113091.23898289949</v>
      </c>
      <c r="G43" s="142">
        <v>30941.419993621999</v>
      </c>
      <c r="H43" s="142">
        <v>28780.139527687199</v>
      </c>
      <c r="I43" s="142">
        <v>13409.78323671</v>
      </c>
      <c r="J43" s="142">
        <v>493.13945151850498</v>
      </c>
      <c r="K43" s="142">
        <v>806.95546612118994</v>
      </c>
      <c r="L43" s="142">
        <v>493.13945151850498</v>
      </c>
      <c r="M43" s="142">
        <v>0</v>
      </c>
      <c r="N43" s="142">
        <v>0</v>
      </c>
      <c r="O43" s="142">
        <v>22.4154296144775</v>
      </c>
      <c r="P43" s="142">
        <v>2021.09255373325</v>
      </c>
      <c r="Q43" s="142">
        <v>869.53392822139983</v>
      </c>
      <c r="R43" s="142">
        <v>0</v>
      </c>
      <c r="S43" s="142"/>
      <c r="T43" s="142">
        <v>8745.2518672152401</v>
      </c>
      <c r="U43" s="142">
        <v>1919.6894342667599</v>
      </c>
      <c r="V43" s="142">
        <v>0</v>
      </c>
      <c r="W43" s="142">
        <v>286.88846982929999</v>
      </c>
      <c r="X43" s="142">
        <v>292.6889362279</v>
      </c>
      <c r="Y43" s="142">
        <v>101.01130728619</v>
      </c>
      <c r="Z43" s="142">
        <v>275.81128514434999</v>
      </c>
      <c r="AA43" s="142">
        <v>0</v>
      </c>
    </row>
    <row r="44" spans="1:27" x14ac:dyDescent="0.2">
      <c r="A44" s="328">
        <v>42</v>
      </c>
      <c r="B44" s="1" t="s">
        <v>381</v>
      </c>
      <c r="C44" s="1" t="s">
        <v>241</v>
      </c>
      <c r="D44" s="1" t="s">
        <v>381</v>
      </c>
      <c r="E44" s="11" t="s">
        <v>369</v>
      </c>
      <c r="F44" s="142">
        <v>63590121.131806493</v>
      </c>
      <c r="G44" s="142">
        <v>7264637.9214574527</v>
      </c>
      <c r="H44" s="142">
        <v>13323940.273459639</v>
      </c>
      <c r="I44" s="142">
        <v>6372308.0276744999</v>
      </c>
      <c r="J44" s="142">
        <v>225942.48503887499</v>
      </c>
      <c r="K44" s="142">
        <v>369724.06642724999</v>
      </c>
      <c r="L44" s="142">
        <v>225942.48503887499</v>
      </c>
      <c r="M44" s="142">
        <v>0</v>
      </c>
      <c r="N44" s="142">
        <v>0</v>
      </c>
      <c r="O44" s="142">
        <v>10270.1129563125</v>
      </c>
      <c r="P44" s="142">
        <v>497774.13960036502</v>
      </c>
      <c r="Q44" s="142">
        <v>472095.95147994999</v>
      </c>
      <c r="R44" s="142">
        <v>0</v>
      </c>
      <c r="S44" s="142"/>
      <c r="T44" s="142">
        <v>2446286.1309633502</v>
      </c>
      <c r="U44" s="142">
        <v>536989.63850414986</v>
      </c>
      <c r="V44" s="142">
        <v>0</v>
      </c>
      <c r="W44" s="142">
        <v>160509.3832638</v>
      </c>
      <c r="X44" s="142">
        <v>206766.23856244999</v>
      </c>
      <c r="Y44" s="142">
        <v>43942.221401580013</v>
      </c>
      <c r="Z44" s="142">
        <v>56412.334711530333</v>
      </c>
      <c r="AA44" s="142">
        <v>0</v>
      </c>
    </row>
    <row r="45" spans="1:27" x14ac:dyDescent="0.2">
      <c r="A45" s="328">
        <v>43</v>
      </c>
      <c r="B45" s="1" t="s">
        <v>381</v>
      </c>
      <c r="C45" s="1" t="s">
        <v>241</v>
      </c>
      <c r="D45" s="1" t="s">
        <v>381</v>
      </c>
      <c r="E45" s="11" t="s">
        <v>272</v>
      </c>
      <c r="F45" s="142">
        <v>35244449.075149499</v>
      </c>
      <c r="G45" s="142">
        <v>4588703.0054430002</v>
      </c>
      <c r="H45" s="142">
        <v>7837955.0536054512</v>
      </c>
      <c r="I45" s="142">
        <v>4013737.6897669998</v>
      </c>
      <c r="J45" s="142">
        <v>135573.52390956</v>
      </c>
      <c r="K45" s="142">
        <v>221847.58457928</v>
      </c>
      <c r="L45" s="142">
        <v>135573.52390956</v>
      </c>
      <c r="M45" s="142">
        <v>0</v>
      </c>
      <c r="N45" s="142">
        <v>0</v>
      </c>
      <c r="O45" s="142">
        <v>6162.4329049800008</v>
      </c>
      <c r="P45" s="142">
        <v>287017.17649029999</v>
      </c>
      <c r="Q45" s="142">
        <v>283513.35489900003</v>
      </c>
      <c r="R45" s="142">
        <v>0</v>
      </c>
      <c r="S45" s="142"/>
      <c r="T45" s="142">
        <v>1181844.34973844</v>
      </c>
      <c r="U45" s="142">
        <v>259429.24750356001</v>
      </c>
      <c r="V45" s="142">
        <v>0</v>
      </c>
      <c r="W45" s="142">
        <v>90740.122428599978</v>
      </c>
      <c r="X45" s="142">
        <v>167335.88260780001</v>
      </c>
      <c r="Y45" s="142">
        <v>21078.368196865002</v>
      </c>
      <c r="Z45" s="142">
        <v>53046.651540934981</v>
      </c>
      <c r="AA45" s="142">
        <v>0</v>
      </c>
    </row>
    <row r="46" spans="1:27" x14ac:dyDescent="0.2">
      <c r="A46" s="328">
        <v>44</v>
      </c>
      <c r="B46" s="1" t="s">
        <v>381</v>
      </c>
      <c r="C46" s="1" t="s">
        <v>241</v>
      </c>
      <c r="D46" s="1" t="s">
        <v>381</v>
      </c>
      <c r="E46" s="11" t="s">
        <v>273</v>
      </c>
      <c r="F46" s="142">
        <v>723114.16405257001</v>
      </c>
      <c r="G46" s="142">
        <v>101998.8424871</v>
      </c>
      <c r="H46" s="142">
        <v>117970.555969005</v>
      </c>
      <c r="I46" s="142">
        <v>115349.933466485</v>
      </c>
      <c r="J46" s="142">
        <v>4429.9299285004508</v>
      </c>
      <c r="K46" s="142">
        <v>7248.9762466371012</v>
      </c>
      <c r="L46" s="142">
        <v>4429.9299285004508</v>
      </c>
      <c r="M46" s="142">
        <v>0</v>
      </c>
      <c r="N46" s="142">
        <v>0</v>
      </c>
      <c r="O46" s="142">
        <v>201.360451295475</v>
      </c>
      <c r="P46" s="142">
        <v>6576.7308496984988</v>
      </c>
      <c r="Q46" s="142">
        <v>3507.6604778115002</v>
      </c>
      <c r="R46" s="142">
        <v>0</v>
      </c>
      <c r="S46" s="142"/>
      <c r="T46" s="142">
        <v>34308.496361256992</v>
      </c>
      <c r="U46" s="142">
        <v>7531.1333475929987</v>
      </c>
      <c r="V46" s="142">
        <v>0</v>
      </c>
      <c r="W46" s="142">
        <v>2696.9130284589</v>
      </c>
      <c r="X46" s="142">
        <v>1599.7068481024501</v>
      </c>
      <c r="Y46" s="142">
        <v>551.85556390290003</v>
      </c>
      <c r="Z46" s="142">
        <v>1087.1564482555</v>
      </c>
      <c r="AA46" s="142">
        <v>0</v>
      </c>
    </row>
    <row r="47" spans="1:27" x14ac:dyDescent="0.2">
      <c r="A47" s="328">
        <v>45</v>
      </c>
      <c r="B47" s="1" t="s">
        <v>381</v>
      </c>
      <c r="C47" s="1" t="s">
        <v>241</v>
      </c>
      <c r="D47" s="1" t="s">
        <v>380</v>
      </c>
      <c r="E47" s="11" t="s">
        <v>369</v>
      </c>
      <c r="F47" s="142">
        <v>27340828.356908198</v>
      </c>
      <c r="G47" s="142">
        <v>3075940.450573999</v>
      </c>
      <c r="H47" s="142">
        <v>5559316.2000842104</v>
      </c>
      <c r="I47" s="142">
        <v>2647609.1033359999</v>
      </c>
      <c r="J47" s="142">
        <v>94620.311269258513</v>
      </c>
      <c r="K47" s="142">
        <v>154833.23662242299</v>
      </c>
      <c r="L47" s="142">
        <v>94620.311269258513</v>
      </c>
      <c r="M47" s="142">
        <v>0</v>
      </c>
      <c r="N47" s="142">
        <v>0</v>
      </c>
      <c r="O47" s="142">
        <v>4300.9232395117506</v>
      </c>
      <c r="P47" s="142">
        <v>212135.73039933</v>
      </c>
      <c r="Q47" s="142">
        <v>193812.75930161</v>
      </c>
      <c r="R47" s="142">
        <v>0</v>
      </c>
      <c r="S47" s="142"/>
      <c r="T47" s="142">
        <v>1106551.6209552169</v>
      </c>
      <c r="U47" s="142">
        <v>242901.57533163301</v>
      </c>
      <c r="V47" s="142">
        <v>0</v>
      </c>
      <c r="W47" s="142">
        <v>67704.690902130009</v>
      </c>
      <c r="X47" s="142">
        <v>79648.011748080011</v>
      </c>
      <c r="Y47" s="142">
        <v>18443.317599595499</v>
      </c>
      <c r="Z47" s="142">
        <v>25276.605993993238</v>
      </c>
      <c r="AA47" s="142">
        <v>0</v>
      </c>
    </row>
    <row r="48" spans="1:27" x14ac:dyDescent="0.2">
      <c r="A48" s="328">
        <v>46</v>
      </c>
      <c r="B48" s="1" t="s">
        <v>381</v>
      </c>
      <c r="C48" s="1" t="s">
        <v>241</v>
      </c>
      <c r="D48" s="1" t="s">
        <v>380</v>
      </c>
      <c r="E48" s="11" t="s">
        <v>272</v>
      </c>
      <c r="F48" s="142">
        <v>17026995.708163548</v>
      </c>
      <c r="G48" s="142">
        <v>2428780.2216826999</v>
      </c>
      <c r="H48" s="142">
        <v>3782302.2438238361</v>
      </c>
      <c r="I48" s="142">
        <v>1786972.7491085001</v>
      </c>
      <c r="J48" s="142">
        <v>62987.280094183501</v>
      </c>
      <c r="K48" s="142">
        <v>103070.094699573</v>
      </c>
      <c r="L48" s="142">
        <v>62987.280094183501</v>
      </c>
      <c r="M48" s="142">
        <v>0</v>
      </c>
      <c r="N48" s="142">
        <v>0</v>
      </c>
      <c r="O48" s="142">
        <v>2863.0581860992502</v>
      </c>
      <c r="P48" s="142">
        <v>137989.829717585</v>
      </c>
      <c r="Q48" s="142">
        <v>124774.561941265</v>
      </c>
      <c r="R48" s="142">
        <v>0</v>
      </c>
      <c r="S48" s="142"/>
      <c r="T48" s="142">
        <v>640740.46556616086</v>
      </c>
      <c r="U48" s="142">
        <v>140650.34609988899</v>
      </c>
      <c r="V48" s="142">
        <v>0</v>
      </c>
      <c r="W48" s="142">
        <v>41245.119854370008</v>
      </c>
      <c r="X48" s="142">
        <v>66595.489810404993</v>
      </c>
      <c r="Y48" s="142">
        <v>9841.6870738380003</v>
      </c>
      <c r="Z48" s="142">
        <v>24256.126315770231</v>
      </c>
      <c r="AA48" s="142">
        <v>0</v>
      </c>
    </row>
    <row r="49" spans="1:27" x14ac:dyDescent="0.2">
      <c r="A49" s="328">
        <v>47</v>
      </c>
      <c r="B49" s="1" t="s">
        <v>381</v>
      </c>
      <c r="C49" s="1" t="s">
        <v>241</v>
      </c>
      <c r="D49" s="1" t="s">
        <v>380</v>
      </c>
      <c r="E49" s="11" t="s">
        <v>273</v>
      </c>
      <c r="F49" s="142">
        <v>113091.23898289949</v>
      </c>
      <c r="G49" s="142">
        <v>30941.419993621999</v>
      </c>
      <c r="H49" s="142">
        <v>28780.139527687199</v>
      </c>
      <c r="I49" s="142">
        <v>13409.78323671</v>
      </c>
      <c r="J49" s="142">
        <v>493.13945151850498</v>
      </c>
      <c r="K49" s="142">
        <v>806.95546612118994</v>
      </c>
      <c r="L49" s="142">
        <v>493.13945151850498</v>
      </c>
      <c r="M49" s="142">
        <v>0</v>
      </c>
      <c r="N49" s="142">
        <v>0</v>
      </c>
      <c r="O49" s="142">
        <v>22.4154296144775</v>
      </c>
      <c r="P49" s="142">
        <v>2021.09255373325</v>
      </c>
      <c r="Q49" s="142">
        <v>869.53392822139983</v>
      </c>
      <c r="R49" s="142">
        <v>0</v>
      </c>
      <c r="S49" s="142"/>
      <c r="T49" s="142">
        <v>8745.2518672152401</v>
      </c>
      <c r="U49" s="142">
        <v>1919.6894342667599</v>
      </c>
      <c r="V49" s="142">
        <v>0</v>
      </c>
      <c r="W49" s="142">
        <v>286.88846982929999</v>
      </c>
      <c r="X49" s="142">
        <v>292.6889362279</v>
      </c>
      <c r="Y49" s="142">
        <v>101.01130728619</v>
      </c>
      <c r="Z49" s="142">
        <v>275.81128514434999</v>
      </c>
      <c r="AA49" s="142">
        <v>0</v>
      </c>
    </row>
    <row r="50" spans="1:27" x14ac:dyDescent="0.2">
      <c r="A50" s="328">
        <v>48</v>
      </c>
      <c r="B50" s="1" t="s">
        <v>380</v>
      </c>
      <c r="C50" s="1" t="s">
        <v>241</v>
      </c>
      <c r="D50" s="1" t="s">
        <v>381</v>
      </c>
      <c r="E50" s="11" t="s">
        <v>369</v>
      </c>
      <c r="F50" s="142">
        <v>52716706.963517189</v>
      </c>
      <c r="G50" s="142">
        <v>4970707.7278291993</v>
      </c>
      <c r="H50" s="142">
        <v>9581790.7058959734</v>
      </c>
      <c r="I50" s="142">
        <v>5845075.7018370144</v>
      </c>
      <c r="J50" s="142">
        <v>225942.48503887499</v>
      </c>
      <c r="K50" s="142">
        <v>369724.06642724999</v>
      </c>
      <c r="L50" s="142">
        <v>225942.48503887499</v>
      </c>
      <c r="M50" s="142">
        <v>0</v>
      </c>
      <c r="N50" s="142">
        <v>0</v>
      </c>
      <c r="O50" s="142">
        <v>10270.1129563125</v>
      </c>
      <c r="P50" s="142">
        <v>497774.13960036502</v>
      </c>
      <c r="Q50" s="142">
        <v>472095.95147994999</v>
      </c>
      <c r="R50" s="142">
        <v>0</v>
      </c>
      <c r="S50" s="142"/>
      <c r="T50" s="142">
        <v>2446286.1309633502</v>
      </c>
      <c r="U50" s="142">
        <v>536989.63850414986</v>
      </c>
      <c r="V50" s="142">
        <v>0</v>
      </c>
      <c r="W50" s="142">
        <v>160509.3832638</v>
      </c>
      <c r="X50" s="142">
        <v>206766.23856244999</v>
      </c>
      <c r="Y50" s="142">
        <v>43942.221401580013</v>
      </c>
      <c r="Z50" s="142">
        <v>42654.077261856051</v>
      </c>
      <c r="AA50" s="142">
        <v>0</v>
      </c>
    </row>
    <row r="51" spans="1:27" x14ac:dyDescent="0.2">
      <c r="A51" s="328">
        <v>49</v>
      </c>
      <c r="B51" s="1" t="s">
        <v>380</v>
      </c>
      <c r="C51" s="1" t="s">
        <v>241</v>
      </c>
      <c r="D51" s="1" t="s">
        <v>381</v>
      </c>
      <c r="E51" s="11" t="s">
        <v>272</v>
      </c>
      <c r="F51" s="142">
        <v>35244449.075149499</v>
      </c>
      <c r="G51" s="142">
        <v>4588703.0054430002</v>
      </c>
      <c r="H51" s="142">
        <v>7837955.0536054512</v>
      </c>
      <c r="I51" s="142">
        <v>4013737.6897669998</v>
      </c>
      <c r="J51" s="142">
        <v>135573.52390956</v>
      </c>
      <c r="K51" s="142">
        <v>221847.58457928</v>
      </c>
      <c r="L51" s="142">
        <v>135573.52390956</v>
      </c>
      <c r="M51" s="142">
        <v>0</v>
      </c>
      <c r="N51" s="142">
        <v>0</v>
      </c>
      <c r="O51" s="142">
        <v>6162.4329049800008</v>
      </c>
      <c r="P51" s="142">
        <v>287017.17649029999</v>
      </c>
      <c r="Q51" s="142">
        <v>283513.35489900003</v>
      </c>
      <c r="R51" s="142">
        <v>0</v>
      </c>
      <c r="S51" s="142"/>
      <c r="T51" s="142">
        <v>1181844.34973844</v>
      </c>
      <c r="U51" s="142">
        <v>259429.24750356001</v>
      </c>
      <c r="V51" s="142">
        <v>0</v>
      </c>
      <c r="W51" s="142">
        <v>90740.122428599978</v>
      </c>
      <c r="X51" s="142">
        <v>167335.88260780001</v>
      </c>
      <c r="Y51" s="142">
        <v>21078.368196865002</v>
      </c>
      <c r="Z51" s="142">
        <v>40316.502719909178</v>
      </c>
      <c r="AA51" s="142">
        <v>0</v>
      </c>
    </row>
    <row r="52" spans="1:27" x14ac:dyDescent="0.2">
      <c r="A52" s="328">
        <v>50</v>
      </c>
      <c r="B52" s="1" t="s">
        <v>380</v>
      </c>
      <c r="C52" s="1" t="s">
        <v>241</v>
      </c>
      <c r="D52" s="1" t="s">
        <v>381</v>
      </c>
      <c r="E52" s="11" t="s">
        <v>273</v>
      </c>
      <c r="F52" s="142">
        <v>723114.16405257001</v>
      </c>
      <c r="G52" s="142">
        <v>101998.8424871</v>
      </c>
      <c r="H52" s="142">
        <v>117970.555969005</v>
      </c>
      <c r="I52" s="142">
        <v>115349.933466485</v>
      </c>
      <c r="J52" s="142">
        <v>4429.9299285004508</v>
      </c>
      <c r="K52" s="142">
        <v>7248.9762466371012</v>
      </c>
      <c r="L52" s="142">
        <v>4429.9299285004508</v>
      </c>
      <c r="M52" s="142">
        <v>0</v>
      </c>
      <c r="N52" s="142">
        <v>0</v>
      </c>
      <c r="O52" s="142">
        <v>201.360451295475</v>
      </c>
      <c r="P52" s="142">
        <v>6576.7308496984988</v>
      </c>
      <c r="Q52" s="142">
        <v>3507.6604778115002</v>
      </c>
      <c r="R52" s="142">
        <v>0</v>
      </c>
      <c r="S52" s="142"/>
      <c r="T52" s="142">
        <v>34308.496361256992</v>
      </c>
      <c r="U52" s="142">
        <v>7531.1333475929987</v>
      </c>
      <c r="V52" s="142">
        <v>0</v>
      </c>
      <c r="W52" s="142">
        <v>2696.9130284589</v>
      </c>
      <c r="X52" s="142">
        <v>1599.7068481024501</v>
      </c>
      <c r="Y52" s="142">
        <v>551.85556390290003</v>
      </c>
      <c r="Z52" s="142">
        <v>1087.1564482555</v>
      </c>
      <c r="AA52" s="142">
        <v>0</v>
      </c>
    </row>
    <row r="53" spans="1:27" x14ac:dyDescent="0.2">
      <c r="A53" s="328">
        <v>51</v>
      </c>
      <c r="B53" s="1" t="s">
        <v>380</v>
      </c>
      <c r="C53" s="1" t="s">
        <v>241</v>
      </c>
      <c r="D53" s="1" t="s">
        <v>380</v>
      </c>
      <c r="E53" s="11" t="s">
        <v>369</v>
      </c>
      <c r="F53" s="142">
        <v>21445904.149719529</v>
      </c>
      <c r="G53" s="142">
        <v>2103866.6019828138</v>
      </c>
      <c r="H53" s="142">
        <v>4018681.0689129499</v>
      </c>
      <c r="I53" s="142">
        <v>2386495.5990802981</v>
      </c>
      <c r="J53" s="142">
        <v>94620.311269258513</v>
      </c>
      <c r="K53" s="142">
        <v>154833.23662242299</v>
      </c>
      <c r="L53" s="142">
        <v>94620.311269258513</v>
      </c>
      <c r="M53" s="142">
        <v>0</v>
      </c>
      <c r="N53" s="142">
        <v>0</v>
      </c>
      <c r="O53" s="142">
        <v>4300.9232395117506</v>
      </c>
      <c r="P53" s="142">
        <v>212135.73039933</v>
      </c>
      <c r="Q53" s="142">
        <v>193812.75930161</v>
      </c>
      <c r="R53" s="142">
        <v>0</v>
      </c>
      <c r="S53" s="142"/>
      <c r="T53" s="142">
        <v>1106551.6209552169</v>
      </c>
      <c r="U53" s="142">
        <v>242901.57533163301</v>
      </c>
      <c r="V53" s="142">
        <v>0</v>
      </c>
      <c r="W53" s="142">
        <v>67704.690902130009</v>
      </c>
      <c r="X53" s="142">
        <v>79648.011748080011</v>
      </c>
      <c r="Y53" s="142">
        <v>18443.317599595499</v>
      </c>
      <c r="Z53" s="142">
        <v>19278.559931631531</v>
      </c>
      <c r="AA53" s="142">
        <v>0</v>
      </c>
    </row>
    <row r="54" spans="1:27" x14ac:dyDescent="0.2">
      <c r="A54" s="328">
        <v>52</v>
      </c>
      <c r="B54" s="1" t="s">
        <v>380</v>
      </c>
      <c r="C54" s="1" t="s">
        <v>241</v>
      </c>
      <c r="D54" s="1" t="s">
        <v>380</v>
      </c>
      <c r="E54" s="11" t="s">
        <v>272</v>
      </c>
      <c r="F54" s="142">
        <v>17026995.708163548</v>
      </c>
      <c r="G54" s="142">
        <v>2068822.0114041921</v>
      </c>
      <c r="H54" s="142">
        <v>3782302.2438238361</v>
      </c>
      <c r="I54" s="142">
        <v>1786972.7491085001</v>
      </c>
      <c r="J54" s="142">
        <v>62987.280094183501</v>
      </c>
      <c r="K54" s="142">
        <v>103070.094699573</v>
      </c>
      <c r="L54" s="142">
        <v>62987.280094183501</v>
      </c>
      <c r="M54" s="142">
        <v>0</v>
      </c>
      <c r="N54" s="142">
        <v>0</v>
      </c>
      <c r="O54" s="142">
        <v>2863.0581860992502</v>
      </c>
      <c r="P54" s="142">
        <v>137989.829717585</v>
      </c>
      <c r="Q54" s="142">
        <v>124774.561941265</v>
      </c>
      <c r="R54" s="142">
        <v>0</v>
      </c>
      <c r="S54" s="142"/>
      <c r="T54" s="142">
        <v>640740.46556616086</v>
      </c>
      <c r="U54" s="142">
        <v>140650.34609988899</v>
      </c>
      <c r="V54" s="142">
        <v>0</v>
      </c>
      <c r="W54" s="142">
        <v>41245.119854370008</v>
      </c>
      <c r="X54" s="142">
        <v>66595.489810404993</v>
      </c>
      <c r="Y54" s="142">
        <v>9841.6870738380003</v>
      </c>
      <c r="Z54" s="142">
        <v>18580.935243805241</v>
      </c>
      <c r="AA54" s="142">
        <v>0</v>
      </c>
    </row>
    <row r="55" spans="1:27" x14ac:dyDescent="0.2">
      <c r="A55" s="328">
        <v>53</v>
      </c>
      <c r="B55" s="1" t="s">
        <v>380</v>
      </c>
      <c r="C55" s="1" t="s">
        <v>241</v>
      </c>
      <c r="D55" s="1" t="s">
        <v>380</v>
      </c>
      <c r="E55" s="11" t="s">
        <v>273</v>
      </c>
      <c r="F55" s="142">
        <v>113091.23898289949</v>
      </c>
      <c r="G55" s="142">
        <v>30941.419993621999</v>
      </c>
      <c r="H55" s="142">
        <v>28780.139527687199</v>
      </c>
      <c r="I55" s="142">
        <v>13409.78323671</v>
      </c>
      <c r="J55" s="142">
        <v>493.13945151850498</v>
      </c>
      <c r="K55" s="142">
        <v>806.95546612118994</v>
      </c>
      <c r="L55" s="142">
        <v>493.13945151850498</v>
      </c>
      <c r="M55" s="142">
        <v>0</v>
      </c>
      <c r="N55" s="142">
        <v>0</v>
      </c>
      <c r="O55" s="142">
        <v>22.4154296144775</v>
      </c>
      <c r="P55" s="142">
        <v>2021.09255373325</v>
      </c>
      <c r="Q55" s="142">
        <v>869.53392822139983</v>
      </c>
      <c r="R55" s="142">
        <v>0</v>
      </c>
      <c r="S55" s="142"/>
      <c r="T55" s="142">
        <v>8745.2518672152401</v>
      </c>
      <c r="U55" s="142">
        <v>1919.6894342667599</v>
      </c>
      <c r="V55" s="142">
        <v>0</v>
      </c>
      <c r="W55" s="142">
        <v>286.88846982929999</v>
      </c>
      <c r="X55" s="142">
        <v>292.6889362279</v>
      </c>
      <c r="Y55" s="142">
        <v>101.01130728619</v>
      </c>
      <c r="Z55" s="142">
        <v>275.81128514434999</v>
      </c>
      <c r="AA55" s="14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3EA57-229F-4FB5-826B-04B00230472C}">
  <sheetPr>
    <tabColor rgb="FFB3A2C7"/>
  </sheetPr>
  <dimension ref="A1:Y36"/>
  <sheetViews>
    <sheetView zoomScale="70" zoomScaleNormal="70" workbookViewId="0">
      <selection activeCell="E7" sqref="E7"/>
    </sheetView>
  </sheetViews>
  <sheetFormatPr baseColWidth="10" defaultColWidth="8.83203125" defaultRowHeight="14" x14ac:dyDescent="0.2"/>
  <cols>
    <col min="1" max="3" width="8.83203125" style="57"/>
    <col min="4" max="18" width="8.83203125" style="57" bestFit="1" customWidth="1"/>
    <col min="19" max="19" width="9.33203125" style="57" bestFit="1" customWidth="1"/>
    <col min="20" max="25" width="8.83203125" style="57" bestFit="1" customWidth="1"/>
    <col min="26" max="16384" width="8.83203125" style="57"/>
  </cols>
  <sheetData>
    <row r="1" spans="1:25" ht="57" thickBot="1" x14ac:dyDescent="0.25">
      <c r="A1" s="77" t="s">
        <v>254</v>
      </c>
      <c r="B1" s="62" t="s">
        <v>233</v>
      </c>
      <c r="C1" s="63" t="s">
        <v>242</v>
      </c>
      <c r="D1" s="62" t="str">
        <f>Demand!E1</f>
        <v>Concrete</v>
      </c>
      <c r="E1" s="64" t="s">
        <v>177</v>
      </c>
      <c r="F1" s="64" t="s">
        <v>191</v>
      </c>
      <c r="G1" s="64" t="s">
        <v>193</v>
      </c>
      <c r="H1" s="64" t="s">
        <v>237</v>
      </c>
      <c r="I1" s="64" t="s">
        <v>199</v>
      </c>
      <c r="J1" s="64" t="s">
        <v>197</v>
      </c>
      <c r="K1" s="64" t="s">
        <v>196</v>
      </c>
      <c r="L1" s="64" t="s">
        <v>194</v>
      </c>
      <c r="M1" s="64" t="s">
        <v>246</v>
      </c>
      <c r="N1" s="64" t="s">
        <v>205</v>
      </c>
      <c r="O1" s="64" t="s">
        <v>92</v>
      </c>
      <c r="P1" s="64" t="s">
        <v>247</v>
      </c>
      <c r="Q1" s="64" t="s">
        <v>239</v>
      </c>
      <c r="R1" s="64" t="s">
        <v>240</v>
      </c>
      <c r="S1" s="64" t="s">
        <v>344</v>
      </c>
      <c r="T1" s="64" t="s">
        <v>214</v>
      </c>
      <c r="U1" s="64" t="s">
        <v>180</v>
      </c>
      <c r="V1" s="64" t="s">
        <v>86</v>
      </c>
      <c r="W1" s="64" t="s">
        <v>87</v>
      </c>
      <c r="X1" s="64" t="s">
        <v>218</v>
      </c>
      <c r="Y1" s="63" t="s">
        <v>220</v>
      </c>
    </row>
    <row r="2" spans="1:25" x14ac:dyDescent="0.2">
      <c r="A2" s="72"/>
      <c r="B2" s="69" t="s">
        <v>378</v>
      </c>
      <c r="C2" s="70" t="s">
        <v>242</v>
      </c>
      <c r="D2" s="80">
        <f>Demand!E2</f>
        <v>366813981.51889849</v>
      </c>
      <c r="E2" s="78">
        <f>Demand!F2</f>
        <v>51212318.121497348</v>
      </c>
      <c r="F2" s="78">
        <f>Demand!G2</f>
        <v>35650261.356656238</v>
      </c>
      <c r="G2" s="78">
        <f>Demand!H2</f>
        <v>8309761.2027299423</v>
      </c>
      <c r="H2" s="78">
        <f>Demand!J2</f>
        <v>1096494.6566645335</v>
      </c>
      <c r="I2" s="78">
        <f>Demand!K2</f>
        <v>1844104.6498448972</v>
      </c>
      <c r="J2" s="78">
        <f>Demand!L2</f>
        <v>1345697.9877246548</v>
      </c>
      <c r="K2" s="78">
        <f>Demand!M2</f>
        <v>299043.99727214547</v>
      </c>
      <c r="L2" s="78">
        <f>Demand!N2</f>
        <v>398725.32969619404</v>
      </c>
      <c r="M2" s="78">
        <f>Demand!O2</f>
        <v>0</v>
      </c>
      <c r="N2" s="78">
        <f>Demand!P2</f>
        <v>2974185.5658667972</v>
      </c>
      <c r="O2" s="78">
        <f>Demand!Q2</f>
        <v>2331258.4809745275</v>
      </c>
      <c r="P2" s="78">
        <v>0</v>
      </c>
      <c r="Q2" s="78">
        <f>Demand!S2</f>
        <v>14337819.977299543</v>
      </c>
      <c r="R2" s="78">
        <f>Demand!T2</f>
        <v>3147326.3364803875</v>
      </c>
      <c r="S2" s="78">
        <f>Demand!U2</f>
        <v>0</v>
      </c>
      <c r="T2" s="78">
        <f>Demand!V2</f>
        <v>927122.10934046446</v>
      </c>
      <c r="U2" s="78">
        <f>Demand!W2</f>
        <v>838200.16560693912</v>
      </c>
      <c r="V2" s="78">
        <f>Demand!X2</f>
        <v>513572.41971872188</v>
      </c>
      <c r="W2" s="78">
        <f>Demand!Y2</f>
        <v>142195.34524178933</v>
      </c>
      <c r="X2" s="78">
        <f>Demand!Z2</f>
        <v>49651.048453446921</v>
      </c>
      <c r="Y2" s="81">
        <f>Demand!AA2</f>
        <v>101327.10855100733</v>
      </c>
    </row>
    <row r="3" spans="1:25" x14ac:dyDescent="0.2">
      <c r="A3" s="71"/>
      <c r="B3" s="60"/>
      <c r="C3" s="61" t="s">
        <v>259</v>
      </c>
      <c r="D3" s="84">
        <f>Demolition!C2</f>
        <v>141154541.91299999</v>
      </c>
      <c r="E3" s="75">
        <f>Demolition!D2</f>
        <v>10141069.62094</v>
      </c>
      <c r="F3" s="75">
        <f>Demolition!E2</f>
        <v>38985621.222899996</v>
      </c>
      <c r="G3" s="75">
        <f>Demolition!F2</f>
        <v>6707692.6607100004</v>
      </c>
      <c r="H3" s="75">
        <f>Demolition!H2</f>
        <v>334729.60746500001</v>
      </c>
      <c r="I3" s="75">
        <f>Demolition!I2</f>
        <v>547739.35766999994</v>
      </c>
      <c r="J3" s="75">
        <f>Demolition!J2</f>
        <v>410804.51825250004</v>
      </c>
      <c r="K3" s="75">
        <f>Demolition!K2</f>
        <v>91289.892945</v>
      </c>
      <c r="L3" s="75">
        <f>Demolition!L2</f>
        <v>121719.85726</v>
      </c>
      <c r="M3" s="75">
        <f>Demolition!M2</f>
        <v>15214.982157500001</v>
      </c>
      <c r="N3" s="75">
        <f>Demolition!N2</f>
        <v>523972.77852670004</v>
      </c>
      <c r="O3" s="75">
        <f>Demolition!O2</f>
        <v>496943.10682099999</v>
      </c>
      <c r="P3" s="75">
        <v>0</v>
      </c>
      <c r="Q3" s="75">
        <f>Demolition!Q2</f>
        <v>2575038.0325929997</v>
      </c>
      <c r="R3" s="75">
        <f>Demolition!R2</f>
        <v>565252.2510569999</v>
      </c>
      <c r="S3" s="75">
        <v>0</v>
      </c>
      <c r="T3" s="75">
        <f>Demolition!S2</f>
        <v>273957.79631700006</v>
      </c>
      <c r="U3" s="75">
        <f>Demolition!T2</f>
        <v>178343.75918200001</v>
      </c>
      <c r="V3" s="75">
        <f>Demolition!U2</f>
        <v>217648.67217099998</v>
      </c>
      <c r="W3" s="75">
        <f>Demolition!V2</f>
        <v>46254.969896400005</v>
      </c>
      <c r="X3" s="75">
        <f>Demolition!W2</f>
        <v>145576.02634450002</v>
      </c>
      <c r="Y3" s="75">
        <f>Demolition!X2</f>
        <v>0</v>
      </c>
    </row>
    <row r="4" spans="1:25" ht="15" thickBot="1" x14ac:dyDescent="0.25">
      <c r="A4" s="73"/>
      <c r="B4" s="66"/>
      <c r="C4" s="67" t="s">
        <v>244</v>
      </c>
      <c r="D4" s="82">
        <f>Current_best_RR!F2</f>
        <v>63590121.131806493</v>
      </c>
      <c r="E4" s="76">
        <f>Current_best_RR!G2</f>
        <v>9634016.1398929991</v>
      </c>
      <c r="F4" s="76">
        <f>Current_best_RR!H2</f>
        <v>13190596.70196281</v>
      </c>
      <c r="G4" s="76">
        <f>Current_best_RR!I2</f>
        <v>6372308.0276744999</v>
      </c>
      <c r="H4" s="76">
        <f>Current_best_RR!J2</f>
        <v>225942.48503887499</v>
      </c>
      <c r="I4" s="76">
        <f>Current_best_RR!K2</f>
        <v>369724.06642724999</v>
      </c>
      <c r="J4" s="76">
        <f>Current_best_RR!L2</f>
        <v>161483.75852695861</v>
      </c>
      <c r="K4" s="76">
        <f>Current_best_RR!M2</f>
        <v>0</v>
      </c>
      <c r="L4" s="76">
        <f>Current_best_RR!N2</f>
        <v>0</v>
      </c>
      <c r="M4" s="76">
        <f>Current_best_RR!O2</f>
        <v>0</v>
      </c>
      <c r="N4" s="76">
        <f>Current_best_RR!P2</f>
        <v>497774.13960036502</v>
      </c>
      <c r="O4" s="76">
        <f>Current_best_RR!Q2</f>
        <v>472095.95147994999</v>
      </c>
      <c r="P4" s="76">
        <f>Current_best_RR!R2</f>
        <v>0</v>
      </c>
      <c r="Q4" s="76">
        <f>Current_best_RR!T2</f>
        <v>2446286.1309633502</v>
      </c>
      <c r="R4" s="76">
        <f>Current_best_RR!U2</f>
        <v>536989.63850414986</v>
      </c>
      <c r="S4" s="76">
        <v>0</v>
      </c>
      <c r="T4" s="76">
        <f>Current_best_RR!V2</f>
        <v>0</v>
      </c>
      <c r="U4" s="76">
        <f>Current_best_RR!W2</f>
        <v>160509.3832638</v>
      </c>
      <c r="V4" s="76">
        <f>Current_best_RR!X2</f>
        <v>206766.23856244999</v>
      </c>
      <c r="W4" s="76">
        <f>Current_best_RR!Y2</f>
        <v>43942.221401580013</v>
      </c>
      <c r="X4" s="76">
        <f>Current_best_RR!Z2</f>
        <v>49651.048453446921</v>
      </c>
      <c r="Y4" s="83">
        <f>Current_best_RR!AA2</f>
        <v>0</v>
      </c>
    </row>
    <row r="5" spans="1:25" x14ac:dyDescent="0.2">
      <c r="A5" s="72"/>
      <c r="B5" s="69" t="s">
        <v>236</v>
      </c>
      <c r="C5" s="70" t="s">
        <v>242</v>
      </c>
      <c r="D5" s="80">
        <f>Demand!E20</f>
        <v>120809984.73808014</v>
      </c>
      <c r="E5" s="78">
        <f>Demand!F20</f>
        <v>13721915.138128513</v>
      </c>
      <c r="F5" s="78">
        <f>Demand!G20</f>
        <v>36173560.571772642</v>
      </c>
      <c r="G5" s="78">
        <f>Demand!H20</f>
        <v>4596200.9979896126</v>
      </c>
      <c r="H5" s="78">
        <f>Demand!J20</f>
        <v>809830.0339285814</v>
      </c>
      <c r="I5" s="78">
        <f>Demand!K20</f>
        <v>1361986.8752435234</v>
      </c>
      <c r="J5" s="78">
        <v>0</v>
      </c>
      <c r="K5" s="78">
        <f>Demand!M20</f>
        <v>0</v>
      </c>
      <c r="L5" s="78">
        <f>Demand!N20</f>
        <v>0</v>
      </c>
      <c r="M5" s="78">
        <f>Demand!O20</f>
        <v>1509228.6995941743</v>
      </c>
      <c r="N5" s="78">
        <f>Demand!P20</f>
        <v>2974185.5658667972</v>
      </c>
      <c r="O5" s="78">
        <f>Demand!Q20</f>
        <v>2331258.4809745275</v>
      </c>
      <c r="P5" s="78">
        <v>0</v>
      </c>
      <c r="Q5" s="78">
        <f>Demand!S20</f>
        <v>25298693.02318744</v>
      </c>
      <c r="R5" s="78">
        <f>Demand!T20</f>
        <v>5553371.6392362677</v>
      </c>
      <c r="S5" s="78">
        <f>Demand!U20</f>
        <v>26955813.663271833</v>
      </c>
      <c r="T5" s="78">
        <f>Demand!V20</f>
        <v>1254830.0946821314</v>
      </c>
      <c r="U5" s="78">
        <f>Demand!W20</f>
        <v>855982.58819151332</v>
      </c>
      <c r="V5" s="78">
        <f>Demand!X20</f>
        <v>342985.32054930454</v>
      </c>
      <c r="W5" s="78">
        <f>Demand!Y20</f>
        <v>142195.34524178933</v>
      </c>
      <c r="X5" s="78">
        <f>Demand!Z20</f>
        <v>45105.889522897189</v>
      </c>
      <c r="Y5" s="81">
        <f>Demand!AA20</f>
        <v>380362.19277958805</v>
      </c>
    </row>
    <row r="6" spans="1:25" x14ac:dyDescent="0.2">
      <c r="A6" s="71"/>
      <c r="B6" s="60"/>
      <c r="C6" s="61" t="s">
        <v>259</v>
      </c>
      <c r="D6" s="84">
        <f>Demolition!C2</f>
        <v>141154541.91299999</v>
      </c>
      <c r="E6" s="75">
        <f>Demolition!D2</f>
        <v>10141069.62094</v>
      </c>
      <c r="F6" s="75">
        <f>Demolition!E2</f>
        <v>38985621.222899996</v>
      </c>
      <c r="G6" s="75">
        <f>Demolition!F2</f>
        <v>6707692.6607100004</v>
      </c>
      <c r="H6" s="75">
        <f>Demolition!H2</f>
        <v>334729.60746500001</v>
      </c>
      <c r="I6" s="75">
        <f>Demolition!I2</f>
        <v>547739.35766999994</v>
      </c>
      <c r="J6" s="75">
        <f>Demolition!J2</f>
        <v>410804.51825250004</v>
      </c>
      <c r="K6" s="75">
        <f>Demolition!K2</f>
        <v>91289.892945</v>
      </c>
      <c r="L6" s="75">
        <f>Demolition!L2</f>
        <v>121719.85726</v>
      </c>
      <c r="M6" s="75">
        <f>Demolition!M2</f>
        <v>15214.982157500001</v>
      </c>
      <c r="N6" s="75">
        <f>Demolition!N2</f>
        <v>523972.77852670004</v>
      </c>
      <c r="O6" s="75">
        <f>Demolition!O2</f>
        <v>496943.10682099999</v>
      </c>
      <c r="P6" s="75">
        <v>0</v>
      </c>
      <c r="Q6" s="75">
        <f>Demolition!Q2</f>
        <v>2575038.0325929997</v>
      </c>
      <c r="R6" s="75">
        <f>Demolition!R2</f>
        <v>565252.2510569999</v>
      </c>
      <c r="S6" s="75">
        <v>0</v>
      </c>
      <c r="T6" s="75">
        <f>Demolition!S2</f>
        <v>273957.79631700006</v>
      </c>
      <c r="U6" s="75">
        <f>Demolition!T2</f>
        <v>178343.75918200001</v>
      </c>
      <c r="V6" s="75">
        <f>Demolition!U2</f>
        <v>217648.67217099998</v>
      </c>
      <c r="W6" s="75">
        <f>Demolition!V2</f>
        <v>46254.969896400005</v>
      </c>
      <c r="X6" s="75">
        <f>Demolition!W2</f>
        <v>145576.02634450002</v>
      </c>
      <c r="Y6" s="75">
        <f>Demolition!X2</f>
        <v>0</v>
      </c>
    </row>
    <row r="7" spans="1:25" ht="15" thickBot="1" x14ac:dyDescent="0.25">
      <c r="A7" s="73"/>
      <c r="B7" s="66"/>
      <c r="C7" s="67" t="s">
        <v>244</v>
      </c>
      <c r="D7" s="82">
        <f>Current_best_RR!F20</f>
        <v>44699694.353089653</v>
      </c>
      <c r="E7" s="76">
        <f>Current_best_RR!G20</f>
        <v>3430478.7845321279</v>
      </c>
      <c r="F7" s="76">
        <f>Current_best_RR!H20</f>
        <v>13384217.411555881</v>
      </c>
      <c r="G7" s="76">
        <f>Current_best_RR!I20</f>
        <v>4596200.9979896126</v>
      </c>
      <c r="H7" s="76">
        <f>Current_best_RR!J20</f>
        <v>225942.48503887499</v>
      </c>
      <c r="I7" s="76">
        <f>Current_best_RR!K20</f>
        <v>369724.06642724999</v>
      </c>
      <c r="J7" s="76">
        <v>0</v>
      </c>
      <c r="K7" s="76">
        <f>Current_best_RR!M20</f>
        <v>0</v>
      </c>
      <c r="L7" s="76">
        <f>Current_best_RR!N20</f>
        <v>0</v>
      </c>
      <c r="M7" s="76">
        <f>Current_best_RR!O20</f>
        <v>10270.1129563125</v>
      </c>
      <c r="N7" s="76">
        <f>Current_best_RR!P20</f>
        <v>497774.13960036502</v>
      </c>
      <c r="O7" s="76">
        <f>Current_best_RR!Q20</f>
        <v>472095.95147994999</v>
      </c>
      <c r="P7" s="76">
        <f>Current_best_RR!R20</f>
        <v>0</v>
      </c>
      <c r="Q7" s="76">
        <f>Current_best_RR!T20</f>
        <v>2446286.1309633502</v>
      </c>
      <c r="R7" s="76">
        <f>Current_best_RR!U20</f>
        <v>536989.63850414986</v>
      </c>
      <c r="S7" s="76">
        <v>0</v>
      </c>
      <c r="T7" s="76">
        <f>Current_best_RR!V20</f>
        <v>0</v>
      </c>
      <c r="U7" s="76">
        <f>Current_best_RR!W20</f>
        <v>160509.3832638</v>
      </c>
      <c r="V7" s="76">
        <f>Current_best_RR!X20</f>
        <v>206766.23856244999</v>
      </c>
      <c r="W7" s="76">
        <f>Current_best_RR!Y20</f>
        <v>43942.221401580013</v>
      </c>
      <c r="X7" s="76">
        <f>Current_best_RR!Z20</f>
        <v>45105.889522897189</v>
      </c>
      <c r="Y7" s="83">
        <f>Current_best_RR!AA20</f>
        <v>0</v>
      </c>
    </row>
    <row r="8" spans="1:25" x14ac:dyDescent="0.2">
      <c r="A8" s="71"/>
      <c r="B8" s="60" t="s">
        <v>241</v>
      </c>
      <c r="C8" s="61" t="s">
        <v>242</v>
      </c>
      <c r="D8" s="84">
        <f>Demand!E38</f>
        <v>173615030.8849197</v>
      </c>
      <c r="E8" s="75">
        <f>Demand!F38</f>
        <v>24470691.298573297</v>
      </c>
      <c r="F8" s="75">
        <f>Demand!G38</f>
        <v>30953690.512642734</v>
      </c>
      <c r="G8" s="75">
        <f>Demand!H38</f>
        <v>6965872.6384671424</v>
      </c>
      <c r="H8" s="75">
        <f>Demand!J38</f>
        <v>728619.26006198826</v>
      </c>
      <c r="I8" s="75">
        <f>Demand!K38</f>
        <v>1225405.1191951621</v>
      </c>
      <c r="J8" s="75">
        <v>0</v>
      </c>
      <c r="K8" s="75">
        <f>Demand!M38</f>
        <v>0</v>
      </c>
      <c r="L8" s="75">
        <f>Demand!N38</f>
        <v>264952.4582043594</v>
      </c>
      <c r="M8" s="75">
        <f>Demand!O38</f>
        <v>1092928.8900929824</v>
      </c>
      <c r="N8" s="75">
        <f>Demand!P38</f>
        <v>2974185.5658667972</v>
      </c>
      <c r="O8" s="75">
        <f>Demand!Q38</f>
        <v>2331258.4809745275</v>
      </c>
      <c r="P8" s="75">
        <v>0</v>
      </c>
      <c r="Q8" s="75">
        <f>Demand!S38</f>
        <v>19740104.85878218</v>
      </c>
      <c r="R8" s="75">
        <f>Demand!T38</f>
        <v>4333193.749488771</v>
      </c>
      <c r="S8" s="75">
        <v>0</v>
      </c>
      <c r="T8" s="75">
        <f>Demand!V38</f>
        <v>903266.78228112566</v>
      </c>
      <c r="U8" s="75">
        <f>Demand!W38</f>
        <v>919257.85863103438</v>
      </c>
      <c r="V8" s="75">
        <f>Demand!X38</f>
        <v>340545.81260664924</v>
      </c>
      <c r="W8" s="75">
        <f>Demand!Y38</f>
        <v>142195.34524178933</v>
      </c>
      <c r="X8" s="75">
        <f>Demand!Z38</f>
        <v>49533.205986693189</v>
      </c>
      <c r="Y8" s="85">
        <f>Demand!AA38</f>
        <v>101327.10855100733</v>
      </c>
    </row>
    <row r="9" spans="1:25" x14ac:dyDescent="0.2">
      <c r="A9" s="71"/>
      <c r="B9" s="60"/>
      <c r="C9" s="61" t="s">
        <v>259</v>
      </c>
      <c r="D9" s="84">
        <f>Demolition!C2</f>
        <v>141154541.91299999</v>
      </c>
      <c r="E9" s="75">
        <f>Demolition!D2</f>
        <v>10141069.62094</v>
      </c>
      <c r="F9" s="75">
        <f>Demolition!E2</f>
        <v>38985621.222899996</v>
      </c>
      <c r="G9" s="75">
        <f>Demolition!F2</f>
        <v>6707692.6607100004</v>
      </c>
      <c r="H9" s="75">
        <f>Demolition!H2</f>
        <v>334729.60746500001</v>
      </c>
      <c r="I9" s="75">
        <f>Demolition!I2</f>
        <v>547739.35766999994</v>
      </c>
      <c r="J9" s="75">
        <f>Demolition!J2</f>
        <v>410804.51825250004</v>
      </c>
      <c r="K9" s="75">
        <f>Demolition!K2</f>
        <v>91289.892945</v>
      </c>
      <c r="L9" s="75">
        <f>Demolition!L2</f>
        <v>121719.85726</v>
      </c>
      <c r="M9" s="75">
        <f>Demolition!M2</f>
        <v>15214.982157500001</v>
      </c>
      <c r="N9" s="75">
        <f>Demolition!N2</f>
        <v>523972.77852670004</v>
      </c>
      <c r="O9" s="75">
        <f>Demolition!O2</f>
        <v>496943.10682099999</v>
      </c>
      <c r="P9" s="75">
        <v>0</v>
      </c>
      <c r="Q9" s="75">
        <f>Demolition!Q2</f>
        <v>2575038.0325929997</v>
      </c>
      <c r="R9" s="75">
        <f>Demolition!R2</f>
        <v>565252.2510569999</v>
      </c>
      <c r="S9" s="75">
        <v>0</v>
      </c>
      <c r="T9" s="75">
        <f>Demolition!S2</f>
        <v>273957.79631700006</v>
      </c>
      <c r="U9" s="75">
        <f>Demolition!T2</f>
        <v>178343.75918200001</v>
      </c>
      <c r="V9" s="75">
        <f>Demolition!U2</f>
        <v>217648.67217099998</v>
      </c>
      <c r="W9" s="75">
        <f>Demolition!V2</f>
        <v>46254.969896400005</v>
      </c>
      <c r="X9" s="75">
        <f>Demolition!W2</f>
        <v>145576.02634450002</v>
      </c>
      <c r="Y9" s="75">
        <f>Demolition!X2</f>
        <v>0</v>
      </c>
    </row>
    <row r="10" spans="1:25" ht="15" thickBot="1" x14ac:dyDescent="0.25">
      <c r="A10" s="73"/>
      <c r="B10" s="66"/>
      <c r="C10" s="67" t="s">
        <v>244</v>
      </c>
      <c r="D10" s="82">
        <f>Current_best_RR!F38</f>
        <v>63590121.131806493</v>
      </c>
      <c r="E10" s="76">
        <f>Current_best_RR!G38</f>
        <v>6117672.8246433241</v>
      </c>
      <c r="F10" s="76">
        <f>Current_best_RR!H38</f>
        <v>11452865.489677809</v>
      </c>
      <c r="G10" s="76">
        <f>Current_best_RR!I38</f>
        <v>6372308.0276744999</v>
      </c>
      <c r="H10" s="76">
        <f>Current_best_RR!J38</f>
        <v>225942.48503887499</v>
      </c>
      <c r="I10" s="76">
        <f>Current_best_RR!K38</f>
        <v>369724.06642724999</v>
      </c>
      <c r="J10" s="76">
        <v>0</v>
      </c>
      <c r="K10" s="76">
        <f>Current_best_RR!M38</f>
        <v>0</v>
      </c>
      <c r="L10" s="76">
        <f>Current_best_RR!N38</f>
        <v>0</v>
      </c>
      <c r="M10" s="76">
        <f>Current_best_RR!O38</f>
        <v>10270.1129563125</v>
      </c>
      <c r="N10" s="76">
        <f>Current_best_RR!P38</f>
        <v>497774.13960036502</v>
      </c>
      <c r="O10" s="76">
        <f>Current_best_RR!Q38</f>
        <v>472095.95147994999</v>
      </c>
      <c r="P10" s="76">
        <f>Current_best_RR!R38</f>
        <v>0</v>
      </c>
      <c r="Q10" s="76">
        <f>Current_best_RR!T38</f>
        <v>2446286.1309633502</v>
      </c>
      <c r="R10" s="76">
        <f>Current_best_RR!U38</f>
        <v>536989.63850414986</v>
      </c>
      <c r="S10" s="76">
        <v>0</v>
      </c>
      <c r="T10" s="76">
        <f>Current_best_RR!V38</f>
        <v>0</v>
      </c>
      <c r="U10" s="76">
        <f>Current_best_RR!W38</f>
        <v>160509.3832638</v>
      </c>
      <c r="V10" s="76">
        <f>Current_best_RR!X38</f>
        <v>206766.23856244999</v>
      </c>
      <c r="W10" s="76">
        <f>Current_best_RR!Y38</f>
        <v>43942.221401580013</v>
      </c>
      <c r="X10" s="76">
        <f>Current_best_RR!Z38</f>
        <v>49533.205986693189</v>
      </c>
      <c r="Y10" s="83">
        <f>Current_best_RR!AA38</f>
        <v>0</v>
      </c>
    </row>
    <row r="13" spans="1:25" ht="15" thickBot="1" x14ac:dyDescent="0.25">
      <c r="B13" s="57" t="s">
        <v>374</v>
      </c>
    </row>
    <row r="14" spans="1:25" ht="37" thickBot="1" x14ac:dyDescent="0.25">
      <c r="B14" s="138" t="s">
        <v>233</v>
      </c>
      <c r="C14" s="139" t="s">
        <v>242</v>
      </c>
      <c r="D14" s="146" t="s">
        <v>88</v>
      </c>
      <c r="E14" s="147" t="s">
        <v>191</v>
      </c>
      <c r="F14" s="147" t="s">
        <v>177</v>
      </c>
      <c r="G14" s="147" t="s">
        <v>193</v>
      </c>
      <c r="H14" s="147" t="s">
        <v>87</v>
      </c>
      <c r="I14" s="147" t="s">
        <v>86</v>
      </c>
      <c r="J14" s="147" t="s">
        <v>218</v>
      </c>
      <c r="K14" s="147" t="s">
        <v>93</v>
      </c>
      <c r="L14" s="147" t="s">
        <v>92</v>
      </c>
      <c r="M14" s="147" t="s">
        <v>205</v>
      </c>
      <c r="N14" s="147" t="s">
        <v>180</v>
      </c>
      <c r="O14" s="147" t="s">
        <v>94</v>
      </c>
      <c r="P14" s="147" t="s">
        <v>214</v>
      </c>
      <c r="Q14" s="148" t="s">
        <v>220</v>
      </c>
      <c r="S14" s="305" t="s">
        <v>253</v>
      </c>
      <c r="T14" s="305" t="s">
        <v>376</v>
      </c>
      <c r="U14" s="305" t="s">
        <v>377</v>
      </c>
    </row>
    <row r="15" spans="1:25" x14ac:dyDescent="0.2">
      <c r="B15" s="69" t="s">
        <v>378</v>
      </c>
      <c r="C15" s="141" t="s">
        <v>242</v>
      </c>
      <c r="D15" s="149">
        <f>D2</f>
        <v>366813981.51889849</v>
      </c>
      <c r="E15" s="150">
        <f>F2</f>
        <v>35650261.356656238</v>
      </c>
      <c r="F15" s="150">
        <f>E2</f>
        <v>51212318.121497348</v>
      </c>
      <c r="G15" s="150">
        <f>G2</f>
        <v>8309761.2027299423</v>
      </c>
      <c r="H15" s="150">
        <f>W2</f>
        <v>142195.34524178933</v>
      </c>
      <c r="I15" s="150">
        <f>V2</f>
        <v>513572.41971872188</v>
      </c>
      <c r="J15" s="150">
        <f>X2</f>
        <v>49651.048453446921</v>
      </c>
      <c r="K15" s="150">
        <f>Q2+R2</f>
        <v>17485146.313779932</v>
      </c>
      <c r="L15" s="150">
        <f>O2</f>
        <v>2331258.4809745275</v>
      </c>
      <c r="M15" s="150">
        <f>N2</f>
        <v>2974185.5658667972</v>
      </c>
      <c r="N15" s="150">
        <f>U2</f>
        <v>838200.16560693912</v>
      </c>
      <c r="O15" s="150">
        <f>SUM(H2:M2)</f>
        <v>4984066.6212024251</v>
      </c>
      <c r="P15" s="150">
        <f>T2</f>
        <v>927122.10934046446</v>
      </c>
      <c r="Q15" s="151">
        <f>Y2</f>
        <v>101327.10855100733</v>
      </c>
      <c r="S15" s="74">
        <f>SUM(D15:Q15)</f>
        <v>492333047.3785181</v>
      </c>
    </row>
    <row r="16" spans="1:25" x14ac:dyDescent="0.2">
      <c r="B16" s="132"/>
      <c r="C16" s="143" t="s">
        <v>259</v>
      </c>
      <c r="D16" s="152">
        <f t="shared" ref="D16:D23" si="0">D3</f>
        <v>141154541.91299999</v>
      </c>
      <c r="E16" s="142">
        <f t="shared" ref="E16:E23" si="1">F3</f>
        <v>38985621.222899996</v>
      </c>
      <c r="F16" s="142">
        <f t="shared" ref="F16:F23" si="2">E3</f>
        <v>10141069.62094</v>
      </c>
      <c r="G16" s="142">
        <f t="shared" ref="G16:G23" si="3">G3</f>
        <v>6707692.6607100004</v>
      </c>
      <c r="H16" s="142">
        <f t="shared" ref="H16:H23" si="4">W3</f>
        <v>46254.969896400005</v>
      </c>
      <c r="I16" s="142">
        <f t="shared" ref="I16:I23" si="5">V3</f>
        <v>217648.67217099998</v>
      </c>
      <c r="J16" s="142">
        <f t="shared" ref="J16:J23" si="6">X3</f>
        <v>145576.02634450002</v>
      </c>
      <c r="K16" s="142">
        <f t="shared" ref="K16:K23" si="7">Q3+R3</f>
        <v>3140290.2836499996</v>
      </c>
      <c r="L16" s="142">
        <f t="shared" ref="L16:L23" si="8">O3</f>
        <v>496943.10682099999</v>
      </c>
      <c r="M16" s="142">
        <f t="shared" ref="M16:M23" si="9">N3</f>
        <v>523972.77852670004</v>
      </c>
      <c r="N16" s="142">
        <f t="shared" ref="N16:N23" si="10">U3</f>
        <v>178343.75918200001</v>
      </c>
      <c r="O16" s="142">
        <f t="shared" ref="O16:O22" si="11">SUM(H3:M3)</f>
        <v>1521498.21575</v>
      </c>
      <c r="P16" s="142">
        <f t="shared" ref="P16:P23" si="12">T3</f>
        <v>273957.79631700006</v>
      </c>
      <c r="Q16" s="153">
        <f t="shared" ref="Q16:Q23" si="13">Y3</f>
        <v>0</v>
      </c>
      <c r="S16" s="74">
        <f t="shared" ref="S16:S23" si="14">SUM(D16:Q16)</f>
        <v>203533411.02620864</v>
      </c>
    </row>
    <row r="17" spans="2:21" ht="15" thickBot="1" x14ac:dyDescent="0.25">
      <c r="B17" s="144"/>
      <c r="C17" s="145" t="s">
        <v>244</v>
      </c>
      <c r="D17" s="152">
        <f t="shared" si="0"/>
        <v>63590121.131806493</v>
      </c>
      <c r="E17" s="142">
        <f t="shared" si="1"/>
        <v>13190596.70196281</v>
      </c>
      <c r="F17" s="142">
        <f t="shared" si="2"/>
        <v>9634016.1398929991</v>
      </c>
      <c r="G17" s="142">
        <f t="shared" si="3"/>
        <v>6372308.0276744999</v>
      </c>
      <c r="H17" s="142">
        <f t="shared" si="4"/>
        <v>43942.221401580013</v>
      </c>
      <c r="I17" s="142">
        <f t="shared" si="5"/>
        <v>206766.23856244999</v>
      </c>
      <c r="J17" s="142">
        <f t="shared" si="6"/>
        <v>49651.048453446921</v>
      </c>
      <c r="K17" s="142">
        <f t="shared" si="7"/>
        <v>2983275.7694675</v>
      </c>
      <c r="L17" s="142">
        <f t="shared" si="8"/>
        <v>472095.95147994999</v>
      </c>
      <c r="M17" s="142">
        <f t="shared" si="9"/>
        <v>497774.13960036502</v>
      </c>
      <c r="N17" s="142">
        <f t="shared" si="10"/>
        <v>160509.3832638</v>
      </c>
      <c r="O17" s="142">
        <f>SUM(H4:M4)+P4</f>
        <v>757150.30999308359</v>
      </c>
      <c r="P17" s="142">
        <f t="shared" si="12"/>
        <v>0</v>
      </c>
      <c r="Q17" s="153">
        <f t="shared" si="13"/>
        <v>0</v>
      </c>
      <c r="S17" s="74">
        <f t="shared" si="14"/>
        <v>97958207.063558996</v>
      </c>
      <c r="T17" s="349">
        <f>S17/S15</f>
        <v>0.19896736078381969</v>
      </c>
      <c r="U17" s="350">
        <f>T17-T30</f>
        <v>7.8906026136745758E-2</v>
      </c>
    </row>
    <row r="18" spans="2:21" x14ac:dyDescent="0.2">
      <c r="B18" s="140" t="s">
        <v>236</v>
      </c>
      <c r="C18" s="141" t="s">
        <v>242</v>
      </c>
      <c r="D18" s="149">
        <f t="shared" si="0"/>
        <v>120809984.73808014</v>
      </c>
      <c r="E18" s="150">
        <f t="shared" si="1"/>
        <v>36173560.571772642</v>
      </c>
      <c r="F18" s="150">
        <f t="shared" si="2"/>
        <v>13721915.138128513</v>
      </c>
      <c r="G18" s="150">
        <f t="shared" si="3"/>
        <v>4596200.9979896126</v>
      </c>
      <c r="H18" s="150">
        <f t="shared" si="4"/>
        <v>142195.34524178933</v>
      </c>
      <c r="I18" s="150">
        <f t="shared" si="5"/>
        <v>342985.32054930454</v>
      </c>
      <c r="J18" s="150">
        <f t="shared" si="6"/>
        <v>45105.889522897189</v>
      </c>
      <c r="K18" s="150">
        <f>Q5+R5+S5</f>
        <v>57807878.325695544</v>
      </c>
      <c r="L18" s="150">
        <f t="shared" si="8"/>
        <v>2331258.4809745275</v>
      </c>
      <c r="M18" s="150">
        <f t="shared" si="9"/>
        <v>2974185.5658667972</v>
      </c>
      <c r="N18" s="150">
        <f t="shared" si="10"/>
        <v>855982.58819151332</v>
      </c>
      <c r="O18" s="150">
        <f t="shared" si="11"/>
        <v>3681045.6087662792</v>
      </c>
      <c r="P18" s="150">
        <f t="shared" si="12"/>
        <v>1254830.0946821314</v>
      </c>
      <c r="Q18" s="151">
        <f t="shared" si="13"/>
        <v>380362.19277958805</v>
      </c>
      <c r="S18" s="74">
        <f t="shared" si="14"/>
        <v>245117490.85824132</v>
      </c>
      <c r="T18" s="349"/>
    </row>
    <row r="19" spans="2:21" x14ac:dyDescent="0.2">
      <c r="B19" s="132"/>
      <c r="C19" s="143" t="s">
        <v>259</v>
      </c>
      <c r="D19" s="152">
        <f t="shared" si="0"/>
        <v>141154541.91299999</v>
      </c>
      <c r="E19" s="142">
        <f t="shared" si="1"/>
        <v>38985621.222899996</v>
      </c>
      <c r="F19" s="142">
        <f t="shared" si="2"/>
        <v>10141069.62094</v>
      </c>
      <c r="G19" s="142">
        <f t="shared" si="3"/>
        <v>6707692.6607100004</v>
      </c>
      <c r="H19" s="142">
        <f t="shared" si="4"/>
        <v>46254.969896400005</v>
      </c>
      <c r="I19" s="142">
        <f t="shared" si="5"/>
        <v>217648.67217099998</v>
      </c>
      <c r="J19" s="142">
        <f t="shared" si="6"/>
        <v>145576.02634450002</v>
      </c>
      <c r="K19" s="142">
        <f t="shared" si="7"/>
        <v>3140290.2836499996</v>
      </c>
      <c r="L19" s="142">
        <f t="shared" si="8"/>
        <v>496943.10682099999</v>
      </c>
      <c r="M19" s="142">
        <f t="shared" si="9"/>
        <v>523972.77852670004</v>
      </c>
      <c r="N19" s="142">
        <f t="shared" si="10"/>
        <v>178343.75918200001</v>
      </c>
      <c r="O19" s="142">
        <f t="shared" si="11"/>
        <v>1521498.21575</v>
      </c>
      <c r="P19" s="142">
        <f t="shared" si="12"/>
        <v>273957.79631700006</v>
      </c>
      <c r="Q19" s="153">
        <f t="shared" si="13"/>
        <v>0</v>
      </c>
      <c r="S19" s="74">
        <f t="shared" si="14"/>
        <v>203533411.02620864</v>
      </c>
      <c r="T19" s="349"/>
    </row>
    <row r="20" spans="2:21" ht="15" thickBot="1" x14ac:dyDescent="0.25">
      <c r="B20" s="144"/>
      <c r="C20" s="145" t="s">
        <v>244</v>
      </c>
      <c r="D20" s="154">
        <f t="shared" si="0"/>
        <v>44699694.353089653</v>
      </c>
      <c r="E20" s="155">
        <f t="shared" si="1"/>
        <v>13384217.411555881</v>
      </c>
      <c r="F20" s="155">
        <f t="shared" si="2"/>
        <v>3430478.7845321279</v>
      </c>
      <c r="G20" s="155">
        <f t="shared" si="3"/>
        <v>4596200.9979896126</v>
      </c>
      <c r="H20" s="155">
        <f t="shared" si="4"/>
        <v>43942.221401580013</v>
      </c>
      <c r="I20" s="155">
        <f t="shared" si="5"/>
        <v>206766.23856244999</v>
      </c>
      <c r="J20" s="155">
        <f t="shared" si="6"/>
        <v>45105.889522897189</v>
      </c>
      <c r="K20" s="155">
        <f t="shared" si="7"/>
        <v>2983275.7694675</v>
      </c>
      <c r="L20" s="155">
        <f t="shared" si="8"/>
        <v>472095.95147994999</v>
      </c>
      <c r="M20" s="155">
        <f t="shared" si="9"/>
        <v>497774.13960036502</v>
      </c>
      <c r="N20" s="155">
        <f t="shared" si="10"/>
        <v>160509.3832638</v>
      </c>
      <c r="O20" s="155">
        <f>SUM(H7:M7)+P7</f>
        <v>605936.66442243743</v>
      </c>
      <c r="P20" s="155">
        <f t="shared" si="12"/>
        <v>0</v>
      </c>
      <c r="Q20" s="156">
        <f t="shared" si="13"/>
        <v>0</v>
      </c>
      <c r="S20" s="74">
        <f t="shared" si="14"/>
        <v>71125997.804888248</v>
      </c>
      <c r="T20" s="349">
        <f>S20/S18</f>
        <v>0.29017104228609503</v>
      </c>
      <c r="U20" s="350">
        <f>T20-T33</f>
        <v>5.492500964286065E-2</v>
      </c>
    </row>
    <row r="21" spans="2:21" x14ac:dyDescent="0.2">
      <c r="B21" s="132" t="s">
        <v>241</v>
      </c>
      <c r="C21" s="143" t="s">
        <v>242</v>
      </c>
      <c r="D21" s="152">
        <f t="shared" si="0"/>
        <v>173615030.8849197</v>
      </c>
      <c r="E21" s="142">
        <f t="shared" si="1"/>
        <v>30953690.512642734</v>
      </c>
      <c r="F21" s="142">
        <f t="shared" si="2"/>
        <v>24470691.298573297</v>
      </c>
      <c r="G21" s="142">
        <f t="shared" si="3"/>
        <v>6965872.6384671424</v>
      </c>
      <c r="H21" s="142">
        <f t="shared" si="4"/>
        <v>142195.34524178933</v>
      </c>
      <c r="I21" s="142">
        <f t="shared" si="5"/>
        <v>340545.81260664924</v>
      </c>
      <c r="J21" s="142">
        <f t="shared" si="6"/>
        <v>49533.205986693189</v>
      </c>
      <c r="K21" s="142">
        <f t="shared" si="7"/>
        <v>24073298.608270951</v>
      </c>
      <c r="L21" s="142">
        <f t="shared" si="8"/>
        <v>2331258.4809745275</v>
      </c>
      <c r="M21" s="142">
        <f t="shared" si="9"/>
        <v>2974185.5658667972</v>
      </c>
      <c r="N21" s="142">
        <f t="shared" si="10"/>
        <v>919257.85863103438</v>
      </c>
      <c r="O21" s="142">
        <f t="shared" si="11"/>
        <v>3311905.7275544922</v>
      </c>
      <c r="P21" s="142">
        <f t="shared" si="12"/>
        <v>903266.78228112566</v>
      </c>
      <c r="Q21" s="153">
        <f t="shared" si="13"/>
        <v>101327.10855100733</v>
      </c>
      <c r="S21" s="74">
        <f t="shared" si="14"/>
        <v>271152059.8305679</v>
      </c>
      <c r="T21" s="349"/>
    </row>
    <row r="22" spans="2:21" x14ac:dyDescent="0.2">
      <c r="B22" s="132"/>
      <c r="C22" s="143" t="s">
        <v>259</v>
      </c>
      <c r="D22" s="152">
        <f t="shared" si="0"/>
        <v>141154541.91299999</v>
      </c>
      <c r="E22" s="142">
        <f t="shared" si="1"/>
        <v>38985621.222899996</v>
      </c>
      <c r="F22" s="142">
        <f t="shared" si="2"/>
        <v>10141069.62094</v>
      </c>
      <c r="G22" s="142">
        <f t="shared" si="3"/>
        <v>6707692.6607100004</v>
      </c>
      <c r="H22" s="142">
        <f t="shared" si="4"/>
        <v>46254.969896400005</v>
      </c>
      <c r="I22" s="142">
        <f t="shared" si="5"/>
        <v>217648.67217099998</v>
      </c>
      <c r="J22" s="142">
        <f t="shared" si="6"/>
        <v>145576.02634450002</v>
      </c>
      <c r="K22" s="142">
        <f t="shared" si="7"/>
        <v>3140290.2836499996</v>
      </c>
      <c r="L22" s="142">
        <f t="shared" si="8"/>
        <v>496943.10682099999</v>
      </c>
      <c r="M22" s="142">
        <f t="shared" si="9"/>
        <v>523972.77852670004</v>
      </c>
      <c r="N22" s="142">
        <f t="shared" si="10"/>
        <v>178343.75918200001</v>
      </c>
      <c r="O22" s="142">
        <f t="shared" si="11"/>
        <v>1521498.21575</v>
      </c>
      <c r="P22" s="142">
        <f t="shared" si="12"/>
        <v>273957.79631700006</v>
      </c>
      <c r="Q22" s="153">
        <f t="shared" si="13"/>
        <v>0</v>
      </c>
      <c r="S22" s="74">
        <f t="shared" si="14"/>
        <v>203533411.02620864</v>
      </c>
      <c r="T22" s="349"/>
    </row>
    <row r="23" spans="2:21" ht="15" thickBot="1" x14ac:dyDescent="0.25">
      <c r="B23" s="144"/>
      <c r="C23" s="145" t="s">
        <v>244</v>
      </c>
      <c r="D23" s="154">
        <f t="shared" si="0"/>
        <v>63590121.131806493</v>
      </c>
      <c r="E23" s="155">
        <f t="shared" si="1"/>
        <v>11452865.489677809</v>
      </c>
      <c r="F23" s="155">
        <f t="shared" si="2"/>
        <v>6117672.8246433241</v>
      </c>
      <c r="G23" s="155">
        <f t="shared" si="3"/>
        <v>6372308.0276744999</v>
      </c>
      <c r="H23" s="155">
        <f t="shared" si="4"/>
        <v>43942.221401580013</v>
      </c>
      <c r="I23" s="155">
        <f t="shared" si="5"/>
        <v>206766.23856244999</v>
      </c>
      <c r="J23" s="155">
        <f t="shared" si="6"/>
        <v>49533.205986693189</v>
      </c>
      <c r="K23" s="155">
        <f t="shared" si="7"/>
        <v>2983275.7694675</v>
      </c>
      <c r="L23" s="155">
        <f t="shared" si="8"/>
        <v>472095.95147994999</v>
      </c>
      <c r="M23" s="155">
        <f t="shared" si="9"/>
        <v>497774.13960036502</v>
      </c>
      <c r="N23" s="155">
        <f t="shared" si="10"/>
        <v>160509.3832638</v>
      </c>
      <c r="O23" s="155">
        <f>SUM(H10:M10)+P10</f>
        <v>605936.66442243743</v>
      </c>
      <c r="P23" s="155">
        <f t="shared" si="12"/>
        <v>0</v>
      </c>
      <c r="Q23" s="156">
        <f t="shared" si="13"/>
        <v>0</v>
      </c>
      <c r="S23" s="74">
        <f t="shared" si="14"/>
        <v>92552801.047986925</v>
      </c>
      <c r="T23" s="349">
        <f>S23/S21</f>
        <v>0.34133172768748088</v>
      </c>
      <c r="U23" s="350">
        <f>T23-T36</f>
        <v>0.12334309427671863</v>
      </c>
    </row>
    <row r="25" spans="2:21" x14ac:dyDescent="0.2">
      <c r="B25" s="351" t="s">
        <v>375</v>
      </c>
      <c r="C25" s="351"/>
      <c r="D25" s="351"/>
      <c r="E25" s="351"/>
      <c r="F25" s="351"/>
      <c r="G25" s="351"/>
      <c r="H25" s="351"/>
      <c r="I25" s="351"/>
      <c r="J25" s="351"/>
      <c r="K25" s="351"/>
      <c r="L25" s="351"/>
      <c r="M25" s="351"/>
      <c r="N25" s="351"/>
      <c r="O25" s="351"/>
      <c r="P25" s="351"/>
      <c r="Q25" s="351"/>
    </row>
    <row r="26" spans="2:21" ht="15" thickBot="1" x14ac:dyDescent="0.25">
      <c r="B26" s="351"/>
      <c r="C26" s="351"/>
      <c r="D26" s="351"/>
      <c r="E26" s="351"/>
      <c r="F26" s="351"/>
      <c r="G26" s="351"/>
      <c r="H26" s="351"/>
      <c r="I26" s="351"/>
      <c r="J26" s="351"/>
      <c r="K26" s="351"/>
      <c r="L26" s="351"/>
      <c r="M26" s="351"/>
      <c r="N26" s="351"/>
      <c r="O26" s="351"/>
      <c r="P26" s="351"/>
      <c r="Q26" s="351"/>
    </row>
    <row r="27" spans="2:21" ht="37" thickBot="1" x14ac:dyDescent="0.25">
      <c r="B27" s="329" t="s">
        <v>233</v>
      </c>
      <c r="C27" s="330" t="s">
        <v>242</v>
      </c>
      <c r="D27" s="331" t="s">
        <v>88</v>
      </c>
      <c r="E27" s="332" t="s">
        <v>191</v>
      </c>
      <c r="F27" s="332" t="s">
        <v>177</v>
      </c>
      <c r="G27" s="332" t="s">
        <v>193</v>
      </c>
      <c r="H27" s="332" t="s">
        <v>87</v>
      </c>
      <c r="I27" s="332" t="s">
        <v>86</v>
      </c>
      <c r="J27" s="332" t="s">
        <v>218</v>
      </c>
      <c r="K27" s="332" t="s">
        <v>93</v>
      </c>
      <c r="L27" s="332" t="s">
        <v>92</v>
      </c>
      <c r="M27" s="332" t="s">
        <v>205</v>
      </c>
      <c r="N27" s="332" t="s">
        <v>180</v>
      </c>
      <c r="O27" s="332" t="s">
        <v>94</v>
      </c>
      <c r="P27" s="332" t="s">
        <v>214</v>
      </c>
      <c r="Q27" s="333" t="s">
        <v>220</v>
      </c>
    </row>
    <row r="28" spans="2:21" x14ac:dyDescent="0.2">
      <c r="B28" s="334" t="s">
        <v>378</v>
      </c>
      <c r="C28" s="335" t="s">
        <v>242</v>
      </c>
      <c r="D28" s="336">
        <v>366813981.51889849</v>
      </c>
      <c r="E28" s="337">
        <v>35650261.356656238</v>
      </c>
      <c r="F28" s="337">
        <v>51212318.121497348</v>
      </c>
      <c r="G28" s="337">
        <v>8309761.2027299423</v>
      </c>
      <c r="H28" s="337">
        <v>142195.34524178933</v>
      </c>
      <c r="I28" s="337">
        <v>513572.41971872188</v>
      </c>
      <c r="J28" s="337">
        <v>49651.048453446921</v>
      </c>
      <c r="K28" s="337">
        <v>17485146.313779932</v>
      </c>
      <c r="L28" s="337">
        <v>2331258.4809745275</v>
      </c>
      <c r="M28" s="337">
        <v>2974185.5658667972</v>
      </c>
      <c r="N28" s="337">
        <v>838200.16560693912</v>
      </c>
      <c r="O28" s="337">
        <v>4984066.6212024251</v>
      </c>
      <c r="P28" s="337">
        <v>927122.10934046446</v>
      </c>
      <c r="Q28" s="338">
        <v>101327.10855100733</v>
      </c>
      <c r="S28" s="74">
        <f>SUM(D28:Q28)</f>
        <v>492333047.3785181</v>
      </c>
    </row>
    <row r="29" spans="2:21" x14ac:dyDescent="0.2">
      <c r="B29" s="339"/>
      <c r="C29" s="340" t="s">
        <v>259</v>
      </c>
      <c r="D29" s="341">
        <v>141154541.91299999</v>
      </c>
      <c r="E29" s="342">
        <v>38985621.222899996</v>
      </c>
      <c r="F29" s="342">
        <v>10141069.62094</v>
      </c>
      <c r="G29" s="342">
        <v>6707692.6607100004</v>
      </c>
      <c r="H29" s="342">
        <v>46254.969896400005</v>
      </c>
      <c r="I29" s="342">
        <v>217648.67217099998</v>
      </c>
      <c r="J29" s="342">
        <v>145576.02634450002</v>
      </c>
      <c r="K29" s="342">
        <v>3140290.2836499996</v>
      </c>
      <c r="L29" s="342">
        <v>496943.10682099999</v>
      </c>
      <c r="M29" s="342">
        <v>523972.77852670004</v>
      </c>
      <c r="N29" s="342">
        <v>178343.75918200001</v>
      </c>
      <c r="O29" s="342">
        <v>1521498.21575</v>
      </c>
      <c r="P29" s="342">
        <v>273957.79631700006</v>
      </c>
      <c r="Q29" s="343">
        <v>0</v>
      </c>
      <c r="S29" s="74">
        <f t="shared" ref="S29:S36" si="15">SUM(D29:Q29)</f>
        <v>203533411.02620864</v>
      </c>
    </row>
    <row r="30" spans="2:21" ht="15" thickBot="1" x14ac:dyDescent="0.25">
      <c r="B30" s="344"/>
      <c r="C30" s="345" t="s">
        <v>244</v>
      </c>
      <c r="D30" s="341">
        <v>40229044.445205003</v>
      </c>
      <c r="E30" s="342">
        <v>11110902.048526499</v>
      </c>
      <c r="F30" s="342">
        <v>101410.6962094</v>
      </c>
      <c r="G30" s="342">
        <v>6036923.3946390003</v>
      </c>
      <c r="H30" s="342">
        <v>37003.975917120013</v>
      </c>
      <c r="I30" s="342">
        <v>195883.80495389999</v>
      </c>
      <c r="J30" s="342">
        <v>49651.048453446921</v>
      </c>
      <c r="K30" s="342">
        <v>1041163.2435441574</v>
      </c>
      <c r="L30" s="342">
        <v>34463.004458036346</v>
      </c>
      <c r="M30" s="342">
        <v>5239.7277852670004</v>
      </c>
      <c r="N30" s="342">
        <v>44585.939795500002</v>
      </c>
      <c r="O30" s="342">
        <v>223891.429638626</v>
      </c>
      <c r="P30" s="342">
        <v>0</v>
      </c>
      <c r="Q30" s="343">
        <v>0</v>
      </c>
      <c r="S30" s="74">
        <f t="shared" si="15"/>
        <v>59110162.759125963</v>
      </c>
      <c r="T30" s="349">
        <f>S30/S28</f>
        <v>0.12006133464707393</v>
      </c>
    </row>
    <row r="31" spans="2:21" x14ac:dyDescent="0.2">
      <c r="B31" s="334" t="s">
        <v>236</v>
      </c>
      <c r="C31" s="335" t="s">
        <v>242</v>
      </c>
      <c r="D31" s="336">
        <v>120809984.73808014</v>
      </c>
      <c r="E31" s="337">
        <v>36173560.571772642</v>
      </c>
      <c r="F31" s="337">
        <v>13721915.138128513</v>
      </c>
      <c r="G31" s="337">
        <v>4596200.9979896126</v>
      </c>
      <c r="H31" s="337">
        <v>142195.34524178933</v>
      </c>
      <c r="I31" s="337">
        <v>342985.32054930454</v>
      </c>
      <c r="J31" s="337">
        <v>45105.889522897189</v>
      </c>
      <c r="K31" s="337">
        <v>57807878.325695544</v>
      </c>
      <c r="L31" s="337">
        <v>2331258.4809745275</v>
      </c>
      <c r="M31" s="337">
        <v>2974185.5658667972</v>
      </c>
      <c r="N31" s="337">
        <v>855982.58819151332</v>
      </c>
      <c r="O31" s="337">
        <v>3681045.6087662792</v>
      </c>
      <c r="P31" s="337">
        <v>1254830.0946821314</v>
      </c>
      <c r="Q31" s="338">
        <v>380362.19277958805</v>
      </c>
      <c r="S31" s="74">
        <f t="shared" si="15"/>
        <v>245117490.85824132</v>
      </c>
      <c r="T31" s="349"/>
    </row>
    <row r="32" spans="2:21" x14ac:dyDescent="0.2">
      <c r="B32" s="339"/>
      <c r="C32" s="340" t="s">
        <v>259</v>
      </c>
      <c r="D32" s="341">
        <v>141154541.91299999</v>
      </c>
      <c r="E32" s="342">
        <v>38985621.222899996</v>
      </c>
      <c r="F32" s="342">
        <v>10141069.62094</v>
      </c>
      <c r="G32" s="342">
        <v>6707692.6607100004</v>
      </c>
      <c r="H32" s="342">
        <v>46254.969896400005</v>
      </c>
      <c r="I32" s="342">
        <v>217648.67217099998</v>
      </c>
      <c r="J32" s="342">
        <v>145576.02634450002</v>
      </c>
      <c r="K32" s="342">
        <v>3140290.2836499996</v>
      </c>
      <c r="L32" s="342">
        <v>496943.10682099999</v>
      </c>
      <c r="M32" s="342">
        <v>523972.77852670004</v>
      </c>
      <c r="N32" s="342">
        <v>178343.75918200001</v>
      </c>
      <c r="O32" s="342">
        <v>1521498.21575</v>
      </c>
      <c r="P32" s="342">
        <v>273957.79631700006</v>
      </c>
      <c r="Q32" s="343">
        <v>0</v>
      </c>
      <c r="S32" s="74">
        <f t="shared" si="15"/>
        <v>203533411.02620864</v>
      </c>
      <c r="T32" s="349"/>
    </row>
    <row r="33" spans="2:20" ht="15" thickBot="1" x14ac:dyDescent="0.25">
      <c r="B33" s="344"/>
      <c r="C33" s="345" t="s">
        <v>244</v>
      </c>
      <c r="D33" s="346">
        <v>40229044.445205003</v>
      </c>
      <c r="E33" s="347">
        <v>11110902.048526499</v>
      </c>
      <c r="F33" s="347">
        <v>101410.6962094</v>
      </c>
      <c r="G33" s="347">
        <v>4596200.9979896126</v>
      </c>
      <c r="H33" s="347">
        <v>37003.975917120013</v>
      </c>
      <c r="I33" s="347">
        <v>195883.80495389999</v>
      </c>
      <c r="J33" s="347">
        <v>45105.889522897189</v>
      </c>
      <c r="K33" s="347">
        <v>1041163.2435441574</v>
      </c>
      <c r="L33" s="347">
        <v>34463.004458036346</v>
      </c>
      <c r="M33" s="347">
        <v>5239.7277852670004</v>
      </c>
      <c r="N33" s="347">
        <v>44585.939795500002</v>
      </c>
      <c r="O33" s="347">
        <v>221913.48195815101</v>
      </c>
      <c r="P33" s="347">
        <v>0</v>
      </c>
      <c r="Q33" s="348">
        <v>0</v>
      </c>
      <c r="S33" s="74">
        <f t="shared" si="15"/>
        <v>57662917.255865544</v>
      </c>
      <c r="T33" s="349">
        <f>S33/S31</f>
        <v>0.23524603264323438</v>
      </c>
    </row>
    <row r="34" spans="2:20" x14ac:dyDescent="0.2">
      <c r="B34" s="339" t="s">
        <v>241</v>
      </c>
      <c r="C34" s="340" t="s">
        <v>242</v>
      </c>
      <c r="D34" s="341">
        <v>173615030.8849197</v>
      </c>
      <c r="E34" s="342">
        <v>30953690.512642734</v>
      </c>
      <c r="F34" s="342">
        <v>24470691.298573297</v>
      </c>
      <c r="G34" s="342">
        <v>6965872.6384671424</v>
      </c>
      <c r="H34" s="342">
        <v>142195.34524178933</v>
      </c>
      <c r="I34" s="342">
        <v>340545.81260664924</v>
      </c>
      <c r="J34" s="342">
        <v>49533.205986693189</v>
      </c>
      <c r="K34" s="342">
        <v>24073298.608270951</v>
      </c>
      <c r="L34" s="342">
        <v>2331258.4809745275</v>
      </c>
      <c r="M34" s="342">
        <v>2974185.5658667972</v>
      </c>
      <c r="N34" s="342">
        <v>919257.85863103438</v>
      </c>
      <c r="O34" s="342">
        <v>3311905.7275544922</v>
      </c>
      <c r="P34" s="342">
        <v>903266.78228112566</v>
      </c>
      <c r="Q34" s="343">
        <v>101327.10855100733</v>
      </c>
      <c r="S34" s="74">
        <f t="shared" si="15"/>
        <v>271152059.8305679</v>
      </c>
      <c r="T34" s="349"/>
    </row>
    <row r="35" spans="2:20" x14ac:dyDescent="0.2">
      <c r="B35" s="339"/>
      <c r="C35" s="340" t="s">
        <v>259</v>
      </c>
      <c r="D35" s="341">
        <v>141154541.91299999</v>
      </c>
      <c r="E35" s="342">
        <v>38985621.222899996</v>
      </c>
      <c r="F35" s="342">
        <v>10141069.62094</v>
      </c>
      <c r="G35" s="342">
        <v>6707692.6607100004</v>
      </c>
      <c r="H35" s="342">
        <v>46254.969896400005</v>
      </c>
      <c r="I35" s="342">
        <v>217648.67217099998</v>
      </c>
      <c r="J35" s="342">
        <v>145576.02634450002</v>
      </c>
      <c r="K35" s="342">
        <v>3140290.2836499996</v>
      </c>
      <c r="L35" s="342">
        <v>496943.10682099999</v>
      </c>
      <c r="M35" s="342">
        <v>523972.77852670004</v>
      </c>
      <c r="N35" s="342">
        <v>178343.75918200001</v>
      </c>
      <c r="O35" s="342">
        <v>1521498.21575</v>
      </c>
      <c r="P35" s="342">
        <v>273957.79631700006</v>
      </c>
      <c r="Q35" s="343">
        <v>0</v>
      </c>
      <c r="S35" s="74">
        <f t="shared" si="15"/>
        <v>203533411.02620864</v>
      </c>
      <c r="T35" s="349"/>
    </row>
    <row r="36" spans="2:20" ht="15" thickBot="1" x14ac:dyDescent="0.25">
      <c r="B36" s="344"/>
      <c r="C36" s="345" t="s">
        <v>244</v>
      </c>
      <c r="D36" s="346">
        <v>40229044.445205003</v>
      </c>
      <c r="E36" s="347">
        <v>11110902.048526499</v>
      </c>
      <c r="F36" s="347">
        <v>101410.6962094</v>
      </c>
      <c r="G36" s="347">
        <v>6036923.3946390003</v>
      </c>
      <c r="H36" s="347">
        <v>37003.975917120013</v>
      </c>
      <c r="I36" s="347">
        <v>195883.80495389999</v>
      </c>
      <c r="J36" s="347">
        <v>49533.205986693189</v>
      </c>
      <c r="K36" s="347">
        <v>1041163.2435441574</v>
      </c>
      <c r="L36" s="347">
        <v>34463.004458036346</v>
      </c>
      <c r="M36" s="347">
        <v>5239.7277852670004</v>
      </c>
      <c r="N36" s="347">
        <v>44585.939795500002</v>
      </c>
      <c r="O36" s="347">
        <v>221913.48195815101</v>
      </c>
      <c r="P36" s="347">
        <v>0</v>
      </c>
      <c r="Q36" s="348">
        <v>0</v>
      </c>
      <c r="S36" s="74">
        <f t="shared" si="15"/>
        <v>59108066.968978733</v>
      </c>
      <c r="T36" s="349">
        <f>S36/S34</f>
        <v>0.21798863341076224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ADAE-6ACA-427A-B174-44F738A32F04}">
  <sheetPr>
    <tabColor rgb="FFB3A2C7"/>
  </sheetPr>
  <dimension ref="A1:AB55"/>
  <sheetViews>
    <sheetView topLeftCell="A8" zoomScale="77" zoomScaleNormal="10" workbookViewId="0">
      <selection activeCell="R43" sqref="R43"/>
    </sheetView>
  </sheetViews>
  <sheetFormatPr baseColWidth="10" defaultColWidth="8.83203125" defaultRowHeight="15" x14ac:dyDescent="0.2"/>
  <sheetData>
    <row r="1" spans="1:28" x14ac:dyDescent="0.2">
      <c r="A1" s="538"/>
      <c r="B1" s="382" t="s">
        <v>466</v>
      </c>
      <c r="C1" s="382" t="s">
        <v>233</v>
      </c>
      <c r="D1" s="382" t="s">
        <v>234</v>
      </c>
      <c r="E1" s="382" t="s">
        <v>467</v>
      </c>
      <c r="F1" s="537" t="s">
        <v>468</v>
      </c>
      <c r="G1" s="382" t="s">
        <v>469</v>
      </c>
      <c r="H1" s="382" t="s">
        <v>470</v>
      </c>
      <c r="I1" s="382" t="s">
        <v>270</v>
      </c>
      <c r="J1" s="382" t="s">
        <v>471</v>
      </c>
      <c r="K1" s="382" t="s">
        <v>472</v>
      </c>
      <c r="L1" s="382" t="s">
        <v>473</v>
      </c>
      <c r="M1" s="382" t="s">
        <v>197</v>
      </c>
      <c r="N1" s="382" t="s">
        <v>196</v>
      </c>
      <c r="O1" s="382" t="s">
        <v>194</v>
      </c>
      <c r="P1" s="382" t="s">
        <v>474</v>
      </c>
      <c r="Q1" s="382" t="s">
        <v>475</v>
      </c>
      <c r="R1" s="382" t="s">
        <v>476</v>
      </c>
      <c r="S1" s="382" t="s">
        <v>477</v>
      </c>
      <c r="T1" s="382" t="s">
        <v>478</v>
      </c>
      <c r="U1" s="382" t="s">
        <v>479</v>
      </c>
      <c r="V1" s="382" t="s">
        <v>480</v>
      </c>
      <c r="W1" s="382" t="s">
        <v>481</v>
      </c>
      <c r="X1" s="382" t="s">
        <v>482</v>
      </c>
      <c r="Y1" s="382" t="s">
        <v>483</v>
      </c>
      <c r="Z1" s="382" t="s">
        <v>484</v>
      </c>
      <c r="AA1" s="382" t="s">
        <v>485</v>
      </c>
      <c r="AB1" s="382" t="s">
        <v>486</v>
      </c>
    </row>
    <row r="2" spans="1:28" s="135" customFormat="1" x14ac:dyDescent="0.2">
      <c r="A2" s="397">
        <v>0</v>
      </c>
      <c r="B2" s="135" t="s">
        <v>235</v>
      </c>
      <c r="C2" s="135" t="s">
        <v>235</v>
      </c>
      <c r="D2" s="135" t="s">
        <v>487</v>
      </c>
      <c r="E2" s="539" t="s">
        <v>488</v>
      </c>
      <c r="F2" s="135">
        <v>135721173.1619924</v>
      </c>
      <c r="G2" s="135">
        <v>10141069.62094</v>
      </c>
      <c r="H2" s="135">
        <v>13190596.70196281</v>
      </c>
      <c r="J2" s="135">
        <v>6707692.6607100004</v>
      </c>
      <c r="K2" s="135">
        <v>334729.60746500001</v>
      </c>
      <c r="L2" s="135">
        <v>547739.35766999994</v>
      </c>
      <c r="M2" s="135">
        <v>161483.75852695861</v>
      </c>
      <c r="N2" s="135">
        <v>0</v>
      </c>
      <c r="O2" s="135">
        <v>0</v>
      </c>
      <c r="P2" s="135">
        <v>0</v>
      </c>
      <c r="Q2" s="135">
        <v>523972.77852669999</v>
      </c>
      <c r="R2" s="135">
        <v>496943.10682099999</v>
      </c>
      <c r="S2" s="135">
        <v>0</v>
      </c>
      <c r="U2" s="135">
        <v>2575038.0325930002</v>
      </c>
      <c r="V2" s="135">
        <v>565252.2510569999</v>
      </c>
      <c r="W2" s="135">
        <v>0</v>
      </c>
      <c r="X2" s="135">
        <v>178343.75918200001</v>
      </c>
      <c r="Y2" s="135">
        <v>217648.67217100001</v>
      </c>
      <c r="Z2" s="135">
        <v>46254.969896400013</v>
      </c>
      <c r="AA2" s="135">
        <v>49651.048453446921</v>
      </c>
      <c r="AB2" s="135">
        <v>0</v>
      </c>
    </row>
    <row r="3" spans="1:28" x14ac:dyDescent="0.2">
      <c r="A3" s="382">
        <v>1</v>
      </c>
      <c r="B3" t="s">
        <v>235</v>
      </c>
      <c r="C3" t="s">
        <v>235</v>
      </c>
      <c r="D3" t="s">
        <v>487</v>
      </c>
      <c r="E3" s="521" t="s">
        <v>489</v>
      </c>
      <c r="F3">
        <v>78234071.199000001</v>
      </c>
      <c r="G3">
        <v>4830213.6899400009</v>
      </c>
      <c r="H3">
        <v>13320628.427407499</v>
      </c>
      <c r="J3">
        <v>4224987.0418600002</v>
      </c>
      <c r="K3">
        <v>200849.66505119999</v>
      </c>
      <c r="L3">
        <v>328663.08826559997</v>
      </c>
      <c r="M3">
        <v>174025.56047908429</v>
      </c>
      <c r="N3">
        <v>0</v>
      </c>
      <c r="O3">
        <v>0</v>
      </c>
      <c r="P3">
        <v>0</v>
      </c>
      <c r="Q3">
        <v>302123.343674</v>
      </c>
      <c r="R3">
        <v>298435.11041999998</v>
      </c>
      <c r="S3">
        <v>0</v>
      </c>
      <c r="U3">
        <v>1244046.6839352001</v>
      </c>
      <c r="V3">
        <v>273083.41842479998</v>
      </c>
      <c r="W3">
        <v>0</v>
      </c>
      <c r="X3">
        <v>100822.35825400001</v>
      </c>
      <c r="Y3">
        <v>176143.03432400001</v>
      </c>
      <c r="Z3">
        <v>22187.755996700002</v>
      </c>
      <c r="AA3">
        <v>46795.463580676871</v>
      </c>
      <c r="AB3">
        <v>0</v>
      </c>
    </row>
    <row r="4" spans="1:28" x14ac:dyDescent="0.2">
      <c r="A4" s="382">
        <v>2</v>
      </c>
      <c r="B4" t="s">
        <v>235</v>
      </c>
      <c r="C4" t="s">
        <v>235</v>
      </c>
      <c r="D4" t="s">
        <v>487</v>
      </c>
      <c r="E4" s="521" t="s">
        <v>490</v>
      </c>
      <c r="F4">
        <v>1605136.8791400001</v>
      </c>
      <c r="G4">
        <v>107367.202618</v>
      </c>
      <c r="H4">
        <v>261865.82900999999</v>
      </c>
      <c r="J4">
        <v>121420.9825963</v>
      </c>
      <c r="K4">
        <v>6562.8591533340004</v>
      </c>
      <c r="L4">
        <v>10739.224069092001</v>
      </c>
      <c r="M4">
        <v>8054.4180518190014</v>
      </c>
      <c r="N4">
        <v>0</v>
      </c>
      <c r="O4">
        <v>0</v>
      </c>
      <c r="P4">
        <v>0</v>
      </c>
      <c r="Q4">
        <v>6922.8745786299987</v>
      </c>
      <c r="R4">
        <v>3692.27418717</v>
      </c>
      <c r="S4">
        <v>0</v>
      </c>
      <c r="U4">
        <v>36114.206696059991</v>
      </c>
      <c r="V4">
        <v>7927.5087869399986</v>
      </c>
      <c r="W4">
        <v>0</v>
      </c>
      <c r="X4">
        <v>2996.570031621</v>
      </c>
      <c r="Y4">
        <v>1683.901945371</v>
      </c>
      <c r="Z4">
        <v>580.90059358200006</v>
      </c>
      <c r="AA4">
        <v>1144.3752086899999</v>
      </c>
      <c r="AB4">
        <v>0</v>
      </c>
    </row>
    <row r="5" spans="1:28" x14ac:dyDescent="0.2">
      <c r="A5" s="382">
        <v>3</v>
      </c>
      <c r="B5" t="s">
        <v>235</v>
      </c>
      <c r="C5" t="s">
        <v>235</v>
      </c>
      <c r="D5" t="s">
        <v>491</v>
      </c>
      <c r="E5" s="521" t="s">
        <v>488</v>
      </c>
      <c r="F5">
        <v>56923808.892434023</v>
      </c>
      <c r="G5">
        <v>4479392.229061</v>
      </c>
      <c r="H5">
        <v>5578414.8445273582</v>
      </c>
      <c r="J5">
        <v>2786956.9508799999</v>
      </c>
      <c r="K5">
        <v>140178.23891742001</v>
      </c>
      <c r="L5">
        <v>229382.57277396001</v>
      </c>
      <c r="M5">
        <v>62450.327437553773</v>
      </c>
      <c r="N5">
        <v>0</v>
      </c>
      <c r="O5">
        <v>0</v>
      </c>
      <c r="P5">
        <v>0</v>
      </c>
      <c r="Q5">
        <v>223300.76884139999</v>
      </c>
      <c r="R5">
        <v>204013.43084379999</v>
      </c>
      <c r="S5">
        <v>0</v>
      </c>
      <c r="U5">
        <v>1164791.1799528601</v>
      </c>
      <c r="V5">
        <v>255685.86877013999</v>
      </c>
      <c r="W5">
        <v>0</v>
      </c>
      <c r="X5">
        <v>75227.434335700003</v>
      </c>
      <c r="Y5">
        <v>83840.012366400013</v>
      </c>
      <c r="Z5">
        <v>19414.018525889998</v>
      </c>
      <c r="AA5">
        <v>22349.358946543722</v>
      </c>
      <c r="AB5">
        <v>0</v>
      </c>
    </row>
    <row r="6" spans="1:28" x14ac:dyDescent="0.2">
      <c r="A6" s="382">
        <v>4</v>
      </c>
      <c r="B6" t="s">
        <v>235</v>
      </c>
      <c r="C6" t="s">
        <v>235</v>
      </c>
      <c r="D6" t="s">
        <v>491</v>
      </c>
      <c r="E6" s="521" t="s">
        <v>489</v>
      </c>
      <c r="F6">
        <v>37795772.937100001</v>
      </c>
      <c r="G6">
        <v>2556610.759666</v>
      </c>
      <c r="H6">
        <v>5543677.561218325</v>
      </c>
      <c r="J6">
        <v>1881023.94643</v>
      </c>
      <c r="K6">
        <v>93314.489028419994</v>
      </c>
      <c r="L6">
        <v>152696.43659195999</v>
      </c>
      <c r="M6">
        <v>64679.307867788862</v>
      </c>
      <c r="N6">
        <v>0</v>
      </c>
      <c r="O6">
        <v>0</v>
      </c>
      <c r="P6">
        <v>0</v>
      </c>
      <c r="Q6">
        <v>145252.4523343</v>
      </c>
      <c r="R6">
        <v>131341.6441487</v>
      </c>
      <c r="S6">
        <v>0</v>
      </c>
      <c r="U6">
        <v>674463.64796437987</v>
      </c>
      <c r="V6">
        <v>148052.99589461999</v>
      </c>
      <c r="W6">
        <v>0</v>
      </c>
      <c r="X6">
        <v>45827.910949300007</v>
      </c>
      <c r="Y6">
        <v>70100.515589899995</v>
      </c>
      <c r="Z6">
        <v>10359.67060404</v>
      </c>
      <c r="AA6">
        <v>21489.370900604172</v>
      </c>
      <c r="AB6">
        <v>0</v>
      </c>
    </row>
    <row r="7" spans="1:28" x14ac:dyDescent="0.2">
      <c r="A7" s="382">
        <v>5</v>
      </c>
      <c r="B7" t="s">
        <v>235</v>
      </c>
      <c r="C7" t="s">
        <v>235</v>
      </c>
      <c r="D7" t="s">
        <v>491</v>
      </c>
      <c r="E7" s="521" t="s">
        <v>490</v>
      </c>
      <c r="F7">
        <v>251034.93669900001</v>
      </c>
      <c r="G7">
        <v>32569.915782759999</v>
      </c>
      <c r="H7">
        <v>63884.882414400003</v>
      </c>
      <c r="J7">
        <v>14115.5613018</v>
      </c>
      <c r="K7">
        <v>730.57696521259993</v>
      </c>
      <c r="L7">
        <v>1195.4895794388001</v>
      </c>
      <c r="M7">
        <v>896.61718457910001</v>
      </c>
      <c r="N7">
        <v>0</v>
      </c>
      <c r="O7">
        <v>0</v>
      </c>
      <c r="P7">
        <v>0</v>
      </c>
      <c r="Q7">
        <v>2127.4658460350001</v>
      </c>
      <c r="R7">
        <v>915.2988718119999</v>
      </c>
      <c r="S7">
        <v>0</v>
      </c>
      <c r="U7">
        <v>9205.5282812792011</v>
      </c>
      <c r="V7">
        <v>2020.7257202808</v>
      </c>
      <c r="W7">
        <v>0</v>
      </c>
      <c r="X7">
        <v>318.76496647699997</v>
      </c>
      <c r="Y7">
        <v>308.09361708199998</v>
      </c>
      <c r="Z7">
        <v>106.32769188020001</v>
      </c>
      <c r="AA7">
        <v>290.32766857299998</v>
      </c>
      <c r="AB7">
        <v>0</v>
      </c>
    </row>
    <row r="8" spans="1:28" x14ac:dyDescent="0.2">
      <c r="A8" s="382">
        <v>6</v>
      </c>
      <c r="B8" t="s">
        <v>492</v>
      </c>
      <c r="C8" t="s">
        <v>235</v>
      </c>
      <c r="D8" t="s">
        <v>487</v>
      </c>
      <c r="E8" s="521" t="s">
        <v>488</v>
      </c>
      <c r="F8">
        <v>141154541.91299999</v>
      </c>
      <c r="G8">
        <v>10141069.62094</v>
      </c>
      <c r="H8">
        <v>15345191.511230661</v>
      </c>
      <c r="J8">
        <v>6707692.6607100004</v>
      </c>
      <c r="K8">
        <v>334729.60746500001</v>
      </c>
      <c r="L8">
        <v>547739.35766999994</v>
      </c>
      <c r="M8">
        <v>189945.828684015</v>
      </c>
      <c r="N8">
        <v>0</v>
      </c>
      <c r="O8">
        <v>0</v>
      </c>
      <c r="P8">
        <v>0</v>
      </c>
      <c r="Q8">
        <v>523972.77852669999</v>
      </c>
      <c r="R8">
        <v>496943.10682099999</v>
      </c>
      <c r="S8">
        <v>0</v>
      </c>
      <c r="U8">
        <v>2575038.0325930002</v>
      </c>
      <c r="V8">
        <v>565252.2510569999</v>
      </c>
      <c r="W8">
        <v>0</v>
      </c>
      <c r="X8">
        <v>178343.75918200001</v>
      </c>
      <c r="Y8">
        <v>217648.67217100001</v>
      </c>
      <c r="Z8">
        <v>46254.969896400013</v>
      </c>
      <c r="AA8">
        <v>56530.177178284073</v>
      </c>
      <c r="AB8">
        <v>0</v>
      </c>
    </row>
    <row r="9" spans="1:28" x14ac:dyDescent="0.2">
      <c r="A9" s="382">
        <v>7</v>
      </c>
      <c r="B9" t="s">
        <v>492</v>
      </c>
      <c r="C9" t="s">
        <v>235</v>
      </c>
      <c r="D9" t="s">
        <v>487</v>
      </c>
      <c r="E9" s="521" t="s">
        <v>489</v>
      </c>
      <c r="F9">
        <v>78234071.199000001</v>
      </c>
      <c r="G9">
        <v>4830213.6899400009</v>
      </c>
      <c r="H9">
        <v>15509496.3724971</v>
      </c>
      <c r="J9">
        <v>4224987.0418600002</v>
      </c>
      <c r="K9">
        <v>200849.66505119999</v>
      </c>
      <c r="L9">
        <v>328663.08826559997</v>
      </c>
      <c r="M9">
        <v>204846.14045973081</v>
      </c>
      <c r="N9">
        <v>0</v>
      </c>
      <c r="O9">
        <v>0</v>
      </c>
      <c r="P9">
        <v>0</v>
      </c>
      <c r="Q9">
        <v>302123.343674</v>
      </c>
      <c r="R9">
        <v>298435.11041999998</v>
      </c>
      <c r="S9">
        <v>0</v>
      </c>
      <c r="U9">
        <v>1244046.6839352001</v>
      </c>
      <c r="V9">
        <v>273083.41842479998</v>
      </c>
      <c r="W9">
        <v>0</v>
      </c>
      <c r="X9">
        <v>100822.35825400001</v>
      </c>
      <c r="Y9">
        <v>176143.03432400001</v>
      </c>
      <c r="Z9">
        <v>22187.755996700002</v>
      </c>
      <c r="AA9">
        <v>53160.537991189769</v>
      </c>
      <c r="AB9">
        <v>0</v>
      </c>
    </row>
    <row r="10" spans="1:28" x14ac:dyDescent="0.2">
      <c r="A10" s="382">
        <v>8</v>
      </c>
      <c r="B10" t="s">
        <v>492</v>
      </c>
      <c r="C10" t="s">
        <v>235</v>
      </c>
      <c r="D10" t="s">
        <v>487</v>
      </c>
      <c r="E10" s="521" t="s">
        <v>490</v>
      </c>
      <c r="F10">
        <v>1605136.8791400001</v>
      </c>
      <c r="G10">
        <v>107367.202618</v>
      </c>
      <c r="H10">
        <v>261865.82900999999</v>
      </c>
      <c r="J10">
        <v>121420.9825963</v>
      </c>
      <c r="K10">
        <v>6562.8591533340004</v>
      </c>
      <c r="L10">
        <v>10739.224069092001</v>
      </c>
      <c r="M10">
        <v>8054.4180518190014</v>
      </c>
      <c r="N10">
        <v>0</v>
      </c>
      <c r="O10">
        <v>0</v>
      </c>
      <c r="P10">
        <v>0</v>
      </c>
      <c r="Q10">
        <v>6922.8745786299987</v>
      </c>
      <c r="R10">
        <v>3692.27418717</v>
      </c>
      <c r="S10">
        <v>0</v>
      </c>
      <c r="U10">
        <v>36114.206696059991</v>
      </c>
      <c r="V10">
        <v>7927.5087869399986</v>
      </c>
      <c r="W10">
        <v>0</v>
      </c>
      <c r="X10">
        <v>2996.570031621</v>
      </c>
      <c r="Y10">
        <v>1683.901945371</v>
      </c>
      <c r="Z10">
        <v>580.90059358200006</v>
      </c>
      <c r="AA10">
        <v>1144.3752086899999</v>
      </c>
      <c r="AB10">
        <v>0</v>
      </c>
    </row>
    <row r="11" spans="1:28" x14ac:dyDescent="0.2">
      <c r="A11" s="382">
        <v>9</v>
      </c>
      <c r="B11" t="s">
        <v>492</v>
      </c>
      <c r="C11" t="s">
        <v>235</v>
      </c>
      <c r="D11" t="s">
        <v>491</v>
      </c>
      <c r="E11" s="521" t="s">
        <v>488</v>
      </c>
      <c r="F11">
        <v>60689963.056399994</v>
      </c>
      <c r="G11">
        <v>4479392.229061</v>
      </c>
      <c r="H11">
        <v>6476547.8083015736</v>
      </c>
      <c r="J11">
        <v>2786956.9508799999</v>
      </c>
      <c r="K11">
        <v>140178.23891742001</v>
      </c>
      <c r="L11">
        <v>229382.57277396001</v>
      </c>
      <c r="M11">
        <v>73957.080946514077</v>
      </c>
      <c r="N11">
        <v>0</v>
      </c>
      <c r="O11">
        <v>0</v>
      </c>
      <c r="P11">
        <v>0</v>
      </c>
      <c r="Q11">
        <v>223300.76884139999</v>
      </c>
      <c r="R11">
        <v>204013.43084379999</v>
      </c>
      <c r="S11">
        <v>0</v>
      </c>
      <c r="U11">
        <v>1164791.1799528601</v>
      </c>
      <c r="V11">
        <v>255685.86877013999</v>
      </c>
      <c r="W11">
        <v>0</v>
      </c>
      <c r="X11">
        <v>75227.434335700003</v>
      </c>
      <c r="Y11">
        <v>83840.012366400013</v>
      </c>
      <c r="Z11">
        <v>19414.018525889998</v>
      </c>
      <c r="AA11">
        <v>25348.38197772457</v>
      </c>
      <c r="AB11">
        <v>0</v>
      </c>
    </row>
    <row r="12" spans="1:28" x14ac:dyDescent="0.2">
      <c r="A12" s="382">
        <v>10</v>
      </c>
      <c r="B12" t="s">
        <v>492</v>
      </c>
      <c r="C12" t="s">
        <v>235</v>
      </c>
      <c r="D12" t="s">
        <v>491</v>
      </c>
      <c r="E12" s="521" t="s">
        <v>489</v>
      </c>
      <c r="F12">
        <v>37795772.937100001</v>
      </c>
      <c r="G12">
        <v>2556610.759666</v>
      </c>
      <c r="H12">
        <v>6435865.4838477569</v>
      </c>
      <c r="J12">
        <v>1881023.94643</v>
      </c>
      <c r="K12">
        <v>93314.489028419994</v>
      </c>
      <c r="L12">
        <v>152696.43659195999</v>
      </c>
      <c r="M12">
        <v>76615.709619068235</v>
      </c>
      <c r="N12">
        <v>0</v>
      </c>
      <c r="O12">
        <v>0</v>
      </c>
      <c r="P12">
        <v>0</v>
      </c>
      <c r="Q12">
        <v>145252.4523343</v>
      </c>
      <c r="R12">
        <v>131341.6441487</v>
      </c>
      <c r="S12">
        <v>0</v>
      </c>
      <c r="U12">
        <v>674463.64796437987</v>
      </c>
      <c r="V12">
        <v>148052.99589461999</v>
      </c>
      <c r="W12">
        <v>0</v>
      </c>
      <c r="X12">
        <v>45827.910949300007</v>
      </c>
      <c r="Y12">
        <v>70100.515589899995</v>
      </c>
      <c r="Z12">
        <v>10359.67060404</v>
      </c>
      <c r="AA12">
        <v>24326.96643658667</v>
      </c>
      <c r="AB12">
        <v>0</v>
      </c>
    </row>
    <row r="13" spans="1:28" x14ac:dyDescent="0.2">
      <c r="A13" s="382">
        <v>11</v>
      </c>
      <c r="B13" t="s">
        <v>492</v>
      </c>
      <c r="C13" t="s">
        <v>235</v>
      </c>
      <c r="D13" t="s">
        <v>491</v>
      </c>
      <c r="E13" s="521" t="s">
        <v>490</v>
      </c>
      <c r="F13">
        <v>251034.93669900001</v>
      </c>
      <c r="G13">
        <v>32569.915782759999</v>
      </c>
      <c r="H13">
        <v>63884.882414400003</v>
      </c>
      <c r="J13">
        <v>14115.5613018</v>
      </c>
      <c r="K13">
        <v>730.57696521259993</v>
      </c>
      <c r="L13">
        <v>1195.4895794388001</v>
      </c>
      <c r="M13">
        <v>896.61718457910001</v>
      </c>
      <c r="N13">
        <v>0</v>
      </c>
      <c r="O13">
        <v>0</v>
      </c>
      <c r="P13">
        <v>0</v>
      </c>
      <c r="Q13">
        <v>2127.4658460350001</v>
      </c>
      <c r="R13">
        <v>915.2988718119999</v>
      </c>
      <c r="S13">
        <v>0</v>
      </c>
      <c r="U13">
        <v>9205.5282812792011</v>
      </c>
      <c r="V13">
        <v>2020.7257202808</v>
      </c>
      <c r="W13">
        <v>0</v>
      </c>
      <c r="X13">
        <v>318.76496647699997</v>
      </c>
      <c r="Y13">
        <v>308.09361708199998</v>
      </c>
      <c r="Z13">
        <v>106.32769188020001</v>
      </c>
      <c r="AA13">
        <v>290.32766857299998</v>
      </c>
      <c r="AB13">
        <v>0</v>
      </c>
    </row>
    <row r="14" spans="1:28" x14ac:dyDescent="0.2">
      <c r="A14" s="382">
        <v>12</v>
      </c>
      <c r="B14" t="s">
        <v>493</v>
      </c>
      <c r="C14" t="s">
        <v>235</v>
      </c>
      <c r="D14" t="s">
        <v>487</v>
      </c>
      <c r="E14" s="521" t="s">
        <v>488</v>
      </c>
      <c r="F14">
        <v>111425159.42439359</v>
      </c>
      <c r="G14">
        <v>10141069.62094</v>
      </c>
      <c r="H14">
        <v>11036001.892694959</v>
      </c>
      <c r="J14">
        <v>6707692.6607100004</v>
      </c>
      <c r="K14">
        <v>334729.60746500001</v>
      </c>
      <c r="L14">
        <v>547739.35766999994</v>
      </c>
      <c r="M14">
        <v>133021.6883699022</v>
      </c>
      <c r="N14">
        <v>0</v>
      </c>
      <c r="O14">
        <v>0</v>
      </c>
      <c r="P14">
        <v>0</v>
      </c>
      <c r="Q14">
        <v>523972.77852669999</v>
      </c>
      <c r="R14">
        <v>496943.10682099999</v>
      </c>
      <c r="S14">
        <v>0</v>
      </c>
      <c r="U14">
        <v>2575038.0325930002</v>
      </c>
      <c r="V14">
        <v>565252.2510569999</v>
      </c>
      <c r="W14">
        <v>0</v>
      </c>
      <c r="X14">
        <v>178343.75918200001</v>
      </c>
      <c r="Y14">
        <v>217648.67217100001</v>
      </c>
      <c r="Z14">
        <v>46254.969896400013</v>
      </c>
      <c r="AA14">
        <v>42771.919728609777</v>
      </c>
      <c r="AB14">
        <v>0</v>
      </c>
    </row>
    <row r="15" spans="1:28" x14ac:dyDescent="0.2">
      <c r="A15" s="382">
        <v>13</v>
      </c>
      <c r="B15" t="s">
        <v>493</v>
      </c>
      <c r="C15" t="s">
        <v>235</v>
      </c>
      <c r="D15" t="s">
        <v>487</v>
      </c>
      <c r="E15" s="521" t="s">
        <v>489</v>
      </c>
      <c r="F15">
        <v>78234071.199000001</v>
      </c>
      <c r="G15">
        <v>4830213.6899400009</v>
      </c>
      <c r="H15">
        <v>11131760.4823179</v>
      </c>
      <c r="J15">
        <v>4224987.0418600002</v>
      </c>
      <c r="K15">
        <v>200849.66505119999</v>
      </c>
      <c r="L15">
        <v>328663.08826559997</v>
      </c>
      <c r="M15">
        <v>143204.9804984376</v>
      </c>
      <c r="N15">
        <v>0</v>
      </c>
      <c r="O15">
        <v>0</v>
      </c>
      <c r="P15">
        <v>0</v>
      </c>
      <c r="Q15">
        <v>302123.343674</v>
      </c>
      <c r="R15">
        <v>298435.11041999998</v>
      </c>
      <c r="S15">
        <v>0</v>
      </c>
      <c r="U15">
        <v>1244046.6839352001</v>
      </c>
      <c r="V15">
        <v>273083.41842479998</v>
      </c>
      <c r="W15">
        <v>0</v>
      </c>
      <c r="X15">
        <v>100822.35825400001</v>
      </c>
      <c r="Y15">
        <v>176143.03432400001</v>
      </c>
      <c r="Z15">
        <v>22187.755996700002</v>
      </c>
      <c r="AA15">
        <v>40430.389170163973</v>
      </c>
      <c r="AB15">
        <v>0</v>
      </c>
    </row>
    <row r="16" spans="1:28" x14ac:dyDescent="0.2">
      <c r="A16" s="382">
        <v>14</v>
      </c>
      <c r="B16" t="s">
        <v>493</v>
      </c>
      <c r="C16" t="s">
        <v>235</v>
      </c>
      <c r="D16" t="s">
        <v>487</v>
      </c>
      <c r="E16" s="521" t="s">
        <v>490</v>
      </c>
      <c r="F16">
        <v>1605136.8791400001</v>
      </c>
      <c r="G16">
        <v>107367.202618</v>
      </c>
      <c r="H16">
        <v>261865.82900999999</v>
      </c>
      <c r="J16">
        <v>121420.9825963</v>
      </c>
      <c r="K16">
        <v>6562.8591533340004</v>
      </c>
      <c r="L16">
        <v>10739.224069092001</v>
      </c>
      <c r="M16">
        <v>8054.4180518190014</v>
      </c>
      <c r="N16">
        <v>0</v>
      </c>
      <c r="O16">
        <v>0</v>
      </c>
      <c r="P16">
        <v>0</v>
      </c>
      <c r="Q16">
        <v>6922.8745786299987</v>
      </c>
      <c r="R16">
        <v>3692.27418717</v>
      </c>
      <c r="S16">
        <v>0</v>
      </c>
      <c r="U16">
        <v>36114.206696059991</v>
      </c>
      <c r="V16">
        <v>7927.5087869399986</v>
      </c>
      <c r="W16">
        <v>0</v>
      </c>
      <c r="X16">
        <v>2996.570031621</v>
      </c>
      <c r="Y16">
        <v>1683.901945371</v>
      </c>
      <c r="Z16">
        <v>580.90059358200006</v>
      </c>
      <c r="AA16">
        <v>1144.3752086899999</v>
      </c>
      <c r="AB16">
        <v>0</v>
      </c>
    </row>
    <row r="17" spans="1:28" x14ac:dyDescent="0.2">
      <c r="A17" s="382">
        <v>15</v>
      </c>
      <c r="B17" t="s">
        <v>493</v>
      </c>
      <c r="C17" t="s">
        <v>235</v>
      </c>
      <c r="D17" t="s">
        <v>491</v>
      </c>
      <c r="E17" s="521" t="s">
        <v>488</v>
      </c>
      <c r="F17">
        <v>46521072.000989899</v>
      </c>
      <c r="G17">
        <v>4479392.229061</v>
      </c>
      <c r="H17">
        <v>4680281.8807531437</v>
      </c>
      <c r="J17">
        <v>2786956.9508799999</v>
      </c>
      <c r="K17">
        <v>140178.23891742001</v>
      </c>
      <c r="L17">
        <v>229382.57277396001</v>
      </c>
      <c r="M17">
        <v>50943.573928593461</v>
      </c>
      <c r="N17">
        <v>0</v>
      </c>
      <c r="O17">
        <v>0</v>
      </c>
      <c r="P17">
        <v>0</v>
      </c>
      <c r="Q17">
        <v>223300.76884139999</v>
      </c>
      <c r="R17">
        <v>204013.43084379999</v>
      </c>
      <c r="S17">
        <v>0</v>
      </c>
      <c r="U17">
        <v>1164791.1799528601</v>
      </c>
      <c r="V17">
        <v>255685.86877013999</v>
      </c>
      <c r="W17">
        <v>0</v>
      </c>
      <c r="X17">
        <v>75227.434335700003</v>
      </c>
      <c r="Y17">
        <v>83840.012366400013</v>
      </c>
      <c r="Z17">
        <v>19414.018525889998</v>
      </c>
      <c r="AA17">
        <v>19350.33591536287</v>
      </c>
      <c r="AB17">
        <v>0</v>
      </c>
    </row>
    <row r="18" spans="1:28" x14ac:dyDescent="0.2">
      <c r="A18" s="382">
        <v>16</v>
      </c>
      <c r="B18" t="s">
        <v>493</v>
      </c>
      <c r="C18" t="s">
        <v>235</v>
      </c>
      <c r="D18" t="s">
        <v>491</v>
      </c>
      <c r="E18" s="521" t="s">
        <v>489</v>
      </c>
      <c r="F18">
        <v>37795772.937100001</v>
      </c>
      <c r="G18">
        <v>2556610.759666</v>
      </c>
      <c r="H18">
        <v>4651489.6385888942</v>
      </c>
      <c r="J18">
        <v>1881023.94643</v>
      </c>
      <c r="K18">
        <v>93314.489028419994</v>
      </c>
      <c r="L18">
        <v>152696.43659195999</v>
      </c>
      <c r="M18">
        <v>52742.906116509483</v>
      </c>
      <c r="N18">
        <v>0</v>
      </c>
      <c r="O18">
        <v>0</v>
      </c>
      <c r="P18">
        <v>0</v>
      </c>
      <c r="Q18">
        <v>145252.4523343</v>
      </c>
      <c r="R18">
        <v>131341.6441487</v>
      </c>
      <c r="S18">
        <v>0</v>
      </c>
      <c r="U18">
        <v>674463.64796437987</v>
      </c>
      <c r="V18">
        <v>148052.99589461999</v>
      </c>
      <c r="W18">
        <v>0</v>
      </c>
      <c r="X18">
        <v>45827.910949300007</v>
      </c>
      <c r="Y18">
        <v>70100.515589899995</v>
      </c>
      <c r="Z18">
        <v>10359.67060404</v>
      </c>
      <c r="AA18">
        <v>18651.775364621681</v>
      </c>
      <c r="AB18">
        <v>0</v>
      </c>
    </row>
    <row r="19" spans="1:28" x14ac:dyDescent="0.2">
      <c r="A19" s="382">
        <v>17</v>
      </c>
      <c r="B19" t="s">
        <v>493</v>
      </c>
      <c r="C19" t="s">
        <v>235</v>
      </c>
      <c r="D19" t="s">
        <v>491</v>
      </c>
      <c r="E19" s="521" t="s">
        <v>490</v>
      </c>
      <c r="F19">
        <v>251034.93669900001</v>
      </c>
      <c r="G19">
        <v>32569.915782759999</v>
      </c>
      <c r="H19">
        <v>63884.882414400003</v>
      </c>
      <c r="J19">
        <v>14115.5613018</v>
      </c>
      <c r="K19">
        <v>730.57696521259993</v>
      </c>
      <c r="L19">
        <v>1195.4895794388001</v>
      </c>
      <c r="M19">
        <v>896.61718457910001</v>
      </c>
      <c r="N19">
        <v>0</v>
      </c>
      <c r="O19">
        <v>0</v>
      </c>
      <c r="P19">
        <v>0</v>
      </c>
      <c r="Q19">
        <v>2127.4658460350001</v>
      </c>
      <c r="R19">
        <v>915.2988718119999</v>
      </c>
      <c r="S19">
        <v>0</v>
      </c>
      <c r="U19">
        <v>9205.5282812792011</v>
      </c>
      <c r="V19">
        <v>2020.7257202808</v>
      </c>
      <c r="W19">
        <v>0</v>
      </c>
      <c r="X19">
        <v>318.76496647699997</v>
      </c>
      <c r="Y19">
        <v>308.09361708199998</v>
      </c>
      <c r="Z19">
        <v>106.32769188020001</v>
      </c>
      <c r="AA19">
        <v>290.32766857299998</v>
      </c>
      <c r="AB19">
        <v>0</v>
      </c>
    </row>
    <row r="20" spans="1:28" s="135" customFormat="1" x14ac:dyDescent="0.2">
      <c r="A20" s="397">
        <v>18</v>
      </c>
      <c r="B20" s="135" t="s">
        <v>235</v>
      </c>
      <c r="C20" s="135" t="s">
        <v>236</v>
      </c>
      <c r="D20" s="135" t="s">
        <v>487</v>
      </c>
      <c r="E20" s="539" t="s">
        <v>488</v>
      </c>
      <c r="F20" s="135">
        <v>44699694.353089653</v>
      </c>
      <c r="G20" s="135">
        <v>3430478.7845321279</v>
      </c>
      <c r="H20" s="135">
        <v>13384217.411555881</v>
      </c>
      <c r="J20" s="135">
        <v>4596200.9979896126</v>
      </c>
      <c r="K20" s="135">
        <v>334729.60746500001</v>
      </c>
      <c r="L20" s="135">
        <v>547739.35766999994</v>
      </c>
      <c r="M20" s="135">
        <v>334729.60746500001</v>
      </c>
      <c r="N20" s="135">
        <v>0</v>
      </c>
      <c r="O20" s="135">
        <v>0</v>
      </c>
      <c r="P20" s="135">
        <v>15214.982157500001</v>
      </c>
      <c r="Q20" s="135">
        <v>523972.77852669999</v>
      </c>
      <c r="R20" s="135">
        <v>496943.10682099999</v>
      </c>
      <c r="S20" s="135">
        <v>0</v>
      </c>
      <c r="U20" s="135">
        <v>2575038.0325930002</v>
      </c>
      <c r="V20" s="135">
        <v>565252.2510569999</v>
      </c>
      <c r="W20" s="135">
        <v>0</v>
      </c>
      <c r="X20" s="135">
        <v>178343.75918200001</v>
      </c>
      <c r="Y20" s="135">
        <v>217648.67217100001</v>
      </c>
      <c r="Z20" s="135">
        <v>46254.969896400013</v>
      </c>
      <c r="AA20" s="135">
        <v>45105.889522897189</v>
      </c>
      <c r="AB20" s="135">
        <v>0</v>
      </c>
    </row>
    <row r="21" spans="1:28" x14ac:dyDescent="0.2">
      <c r="A21" s="382">
        <v>19</v>
      </c>
      <c r="B21" t="s">
        <v>235</v>
      </c>
      <c r="C21" t="s">
        <v>236</v>
      </c>
      <c r="D21" t="s">
        <v>487</v>
      </c>
      <c r="E21" s="521" t="s">
        <v>489</v>
      </c>
      <c r="F21">
        <v>44027828.47625345</v>
      </c>
      <c r="G21">
        <v>3126651.729633268</v>
      </c>
      <c r="H21">
        <v>13713283.20929203</v>
      </c>
      <c r="J21">
        <v>4224987.0418600002</v>
      </c>
      <c r="K21">
        <v>200849.66505119999</v>
      </c>
      <c r="L21">
        <v>328663.08826559997</v>
      </c>
      <c r="M21">
        <v>200849.66505119999</v>
      </c>
      <c r="N21">
        <v>0</v>
      </c>
      <c r="O21">
        <v>0</v>
      </c>
      <c r="P21">
        <v>9129.5302296000009</v>
      </c>
      <c r="Q21">
        <v>302123.343674</v>
      </c>
      <c r="R21">
        <v>298435.11041999998</v>
      </c>
      <c r="S21">
        <v>0</v>
      </c>
      <c r="U21">
        <v>1244046.6839352001</v>
      </c>
      <c r="V21">
        <v>273083.41842479998</v>
      </c>
      <c r="W21">
        <v>0</v>
      </c>
      <c r="X21">
        <v>100822.35825400001</v>
      </c>
      <c r="Y21">
        <v>176143.03432400001</v>
      </c>
      <c r="Z21">
        <v>22187.755996700002</v>
      </c>
      <c r="AA21">
        <v>42844.673310422673</v>
      </c>
      <c r="AB21">
        <v>0</v>
      </c>
    </row>
    <row r="22" spans="1:28" x14ac:dyDescent="0.2">
      <c r="A22" s="382">
        <v>20</v>
      </c>
      <c r="B22" t="s">
        <v>235</v>
      </c>
      <c r="C22" t="s">
        <v>236</v>
      </c>
      <c r="D22" t="s">
        <v>487</v>
      </c>
      <c r="E22" s="521" t="s">
        <v>490</v>
      </c>
      <c r="F22">
        <v>1605136.8791400001</v>
      </c>
      <c r="G22">
        <v>107367.202618</v>
      </c>
      <c r="H22">
        <v>261865.82900999999</v>
      </c>
      <c r="J22">
        <v>121420.9825963</v>
      </c>
      <c r="K22">
        <v>6562.8591533340004</v>
      </c>
      <c r="L22">
        <v>10739.224069092001</v>
      </c>
      <c r="M22">
        <v>6562.8591533340004</v>
      </c>
      <c r="N22">
        <v>0</v>
      </c>
      <c r="O22">
        <v>0</v>
      </c>
      <c r="P22">
        <v>298.31177969700002</v>
      </c>
      <c r="Q22">
        <v>6922.8745786299987</v>
      </c>
      <c r="R22">
        <v>3692.27418717</v>
      </c>
      <c r="S22">
        <v>0</v>
      </c>
      <c r="U22">
        <v>36114.206696059991</v>
      </c>
      <c r="V22">
        <v>7927.5087869399986</v>
      </c>
      <c r="W22">
        <v>0</v>
      </c>
      <c r="X22">
        <v>2996.570031621</v>
      </c>
      <c r="Y22">
        <v>1683.901945371</v>
      </c>
      <c r="Z22">
        <v>580.90059358200006</v>
      </c>
      <c r="AA22">
        <v>1144.3752086899999</v>
      </c>
      <c r="AB22">
        <v>0</v>
      </c>
    </row>
    <row r="23" spans="1:28" x14ac:dyDescent="0.2">
      <c r="A23" s="382">
        <v>21</v>
      </c>
      <c r="B23" t="s">
        <v>235</v>
      </c>
      <c r="C23" t="s">
        <v>236</v>
      </c>
      <c r="D23" t="s">
        <v>491</v>
      </c>
      <c r="E23" s="521" t="s">
        <v>488</v>
      </c>
      <c r="F23">
        <v>18677123.425869141</v>
      </c>
      <c r="G23">
        <v>1519974.9258244759</v>
      </c>
      <c r="H23">
        <v>5555684.5872765575</v>
      </c>
      <c r="J23">
        <v>1876741.892898448</v>
      </c>
      <c r="K23">
        <v>140178.23891742001</v>
      </c>
      <c r="L23">
        <v>229382.57277396001</v>
      </c>
      <c r="M23">
        <v>140178.23891742001</v>
      </c>
      <c r="N23">
        <v>0</v>
      </c>
      <c r="O23">
        <v>0</v>
      </c>
      <c r="P23">
        <v>6371.7381326100012</v>
      </c>
      <c r="Q23">
        <v>223300.76884139999</v>
      </c>
      <c r="R23">
        <v>204013.43084379999</v>
      </c>
      <c r="S23">
        <v>0</v>
      </c>
      <c r="U23">
        <v>1164791.1799528601</v>
      </c>
      <c r="V23">
        <v>255685.86877013999</v>
      </c>
      <c r="W23">
        <v>0</v>
      </c>
      <c r="X23">
        <v>75227.434335700003</v>
      </c>
      <c r="Y23">
        <v>83840.012366400013</v>
      </c>
      <c r="Z23">
        <v>19414.018525889998</v>
      </c>
      <c r="AA23">
        <v>20400.95672624759</v>
      </c>
      <c r="AB23">
        <v>0</v>
      </c>
    </row>
    <row r="24" spans="1:28" x14ac:dyDescent="0.2">
      <c r="A24" s="382">
        <v>22</v>
      </c>
      <c r="B24" t="s">
        <v>235</v>
      </c>
      <c r="C24" t="s">
        <v>236</v>
      </c>
      <c r="D24" t="s">
        <v>491</v>
      </c>
      <c r="E24" s="521" t="s">
        <v>489</v>
      </c>
      <c r="F24">
        <v>18248722.950287908</v>
      </c>
      <c r="G24">
        <v>1432537.780089146</v>
      </c>
      <c r="H24">
        <v>5559627.7038457124</v>
      </c>
      <c r="J24">
        <v>1843754.710898693</v>
      </c>
      <c r="K24">
        <v>93314.489028419994</v>
      </c>
      <c r="L24">
        <v>152696.43659195999</v>
      </c>
      <c r="M24">
        <v>93314.489028419994</v>
      </c>
      <c r="N24">
        <v>0</v>
      </c>
      <c r="O24">
        <v>0</v>
      </c>
      <c r="P24">
        <v>4241.56768311</v>
      </c>
      <c r="Q24">
        <v>145252.4523343</v>
      </c>
      <c r="R24">
        <v>131341.6441487</v>
      </c>
      <c r="S24">
        <v>0</v>
      </c>
      <c r="U24">
        <v>674463.64796437987</v>
      </c>
      <c r="V24">
        <v>148052.99589461999</v>
      </c>
      <c r="W24">
        <v>0</v>
      </c>
      <c r="X24">
        <v>45827.910949300007</v>
      </c>
      <c r="Y24">
        <v>70100.515589899995</v>
      </c>
      <c r="Z24">
        <v>10359.67060404</v>
      </c>
      <c r="AA24">
        <v>19716.46849806586</v>
      </c>
      <c r="AB24">
        <v>0</v>
      </c>
    </row>
    <row r="25" spans="1:28" x14ac:dyDescent="0.2">
      <c r="A25" s="382">
        <v>23</v>
      </c>
      <c r="B25" t="s">
        <v>235</v>
      </c>
      <c r="C25" t="s">
        <v>236</v>
      </c>
      <c r="D25" t="s">
        <v>491</v>
      </c>
      <c r="E25" s="521" t="s">
        <v>490</v>
      </c>
      <c r="F25">
        <v>251034.93669900001</v>
      </c>
      <c r="G25">
        <v>32569.915782759999</v>
      </c>
      <c r="H25">
        <v>63884.882414400003</v>
      </c>
      <c r="J25">
        <v>14115.5613018</v>
      </c>
      <c r="K25">
        <v>730.57696521259993</v>
      </c>
      <c r="L25">
        <v>1195.4895794388001</v>
      </c>
      <c r="M25">
        <v>730.57696521259993</v>
      </c>
      <c r="N25">
        <v>0</v>
      </c>
      <c r="O25">
        <v>0</v>
      </c>
      <c r="P25">
        <v>33.208043873299999</v>
      </c>
      <c r="Q25">
        <v>2127.4658460350001</v>
      </c>
      <c r="R25">
        <v>915.2988718119999</v>
      </c>
      <c r="S25">
        <v>0</v>
      </c>
      <c r="U25">
        <v>9205.5282812792011</v>
      </c>
      <c r="V25">
        <v>2020.7257202808</v>
      </c>
      <c r="W25">
        <v>0</v>
      </c>
      <c r="X25">
        <v>318.76496647699997</v>
      </c>
      <c r="Y25">
        <v>308.09361708199998</v>
      </c>
      <c r="Z25">
        <v>106.32769188020001</v>
      </c>
      <c r="AA25">
        <v>290.32766857299998</v>
      </c>
      <c r="AB25">
        <v>0</v>
      </c>
    </row>
    <row r="26" spans="1:28" x14ac:dyDescent="0.2">
      <c r="A26" s="382">
        <v>24</v>
      </c>
      <c r="B26" t="s">
        <v>492</v>
      </c>
      <c r="C26" t="s">
        <v>236</v>
      </c>
      <c r="D26" t="s">
        <v>487</v>
      </c>
      <c r="E26" s="521" t="s">
        <v>488</v>
      </c>
      <c r="F26">
        <v>52418041.267931402</v>
      </c>
      <c r="G26">
        <v>4051490.394022211</v>
      </c>
      <c r="H26">
        <v>15792063.071584409</v>
      </c>
      <c r="J26">
        <v>5327081.4791929377</v>
      </c>
      <c r="K26">
        <v>334729.60746500001</v>
      </c>
      <c r="L26">
        <v>547739.35766999994</v>
      </c>
      <c r="M26">
        <v>334729.60746500001</v>
      </c>
      <c r="N26">
        <v>0</v>
      </c>
      <c r="O26">
        <v>0</v>
      </c>
      <c r="P26">
        <v>15214.982157500001</v>
      </c>
      <c r="Q26">
        <v>523972.77852669999</v>
      </c>
      <c r="R26">
        <v>496943.10682099999</v>
      </c>
      <c r="S26">
        <v>0</v>
      </c>
      <c r="U26">
        <v>2575038.0325930002</v>
      </c>
      <c r="V26">
        <v>565252.2510569999</v>
      </c>
      <c r="W26">
        <v>0</v>
      </c>
      <c r="X26">
        <v>178343.75918200001</v>
      </c>
      <c r="Y26">
        <v>217648.67217100001</v>
      </c>
      <c r="Z26">
        <v>46254.969896400013</v>
      </c>
      <c r="AA26">
        <v>51206.665649277551</v>
      </c>
      <c r="AB26">
        <v>0</v>
      </c>
    </row>
    <row r="27" spans="1:28" x14ac:dyDescent="0.2">
      <c r="A27" s="382">
        <v>25</v>
      </c>
      <c r="B27" t="s">
        <v>492</v>
      </c>
      <c r="C27" t="s">
        <v>236</v>
      </c>
      <c r="D27" t="s">
        <v>487</v>
      </c>
      <c r="E27" s="521" t="s">
        <v>489</v>
      </c>
      <c r="F27">
        <v>51615753.741947249</v>
      </c>
      <c r="G27">
        <v>3688255.8857884239</v>
      </c>
      <c r="H27">
        <v>16190060.95719414</v>
      </c>
      <c r="J27">
        <v>4224987.0418600002</v>
      </c>
      <c r="K27">
        <v>200849.66505119999</v>
      </c>
      <c r="L27">
        <v>328663.08826559997</v>
      </c>
      <c r="M27">
        <v>200849.66505119999</v>
      </c>
      <c r="N27">
        <v>0</v>
      </c>
      <c r="O27">
        <v>0</v>
      </c>
      <c r="P27">
        <v>9129.5302296000009</v>
      </c>
      <c r="Q27">
        <v>302123.343674</v>
      </c>
      <c r="R27">
        <v>298435.11041999998</v>
      </c>
      <c r="S27">
        <v>0</v>
      </c>
      <c r="U27">
        <v>1244046.6839352001</v>
      </c>
      <c r="V27">
        <v>273083.41842479998</v>
      </c>
      <c r="W27">
        <v>0</v>
      </c>
      <c r="X27">
        <v>100822.35825400001</v>
      </c>
      <c r="Y27">
        <v>176143.03432400001</v>
      </c>
      <c r="Z27">
        <v>22187.755996700002</v>
      </c>
      <c r="AA27">
        <v>48550.659327562127</v>
      </c>
      <c r="AB27">
        <v>0</v>
      </c>
    </row>
    <row r="28" spans="1:28" x14ac:dyDescent="0.2">
      <c r="A28" s="382">
        <v>26</v>
      </c>
      <c r="B28" t="s">
        <v>492</v>
      </c>
      <c r="C28" t="s">
        <v>236</v>
      </c>
      <c r="D28" t="s">
        <v>487</v>
      </c>
      <c r="E28" s="521" t="s">
        <v>490</v>
      </c>
      <c r="F28">
        <v>1605136.8791400001</v>
      </c>
      <c r="G28">
        <v>107367.202618</v>
      </c>
      <c r="H28">
        <v>261865.82900999999</v>
      </c>
      <c r="J28">
        <v>121420.9825963</v>
      </c>
      <c r="K28">
        <v>6562.8591533340004</v>
      </c>
      <c r="L28">
        <v>10739.224069092001</v>
      </c>
      <c r="M28">
        <v>6562.8591533340004</v>
      </c>
      <c r="N28">
        <v>0</v>
      </c>
      <c r="O28">
        <v>0</v>
      </c>
      <c r="P28">
        <v>298.31177969700002</v>
      </c>
      <c r="Q28">
        <v>6922.8745786299987</v>
      </c>
      <c r="R28">
        <v>3692.27418717</v>
      </c>
      <c r="S28">
        <v>0</v>
      </c>
      <c r="U28">
        <v>36114.206696059991</v>
      </c>
      <c r="V28">
        <v>7927.5087869399986</v>
      </c>
      <c r="W28">
        <v>0</v>
      </c>
      <c r="X28">
        <v>2996.570031621</v>
      </c>
      <c r="Y28">
        <v>1683.901945371</v>
      </c>
      <c r="Z28">
        <v>580.90059358200006</v>
      </c>
      <c r="AA28">
        <v>1144.3752086899999</v>
      </c>
      <c r="AB28">
        <v>0</v>
      </c>
    </row>
    <row r="29" spans="1:28" x14ac:dyDescent="0.2">
      <c r="A29" s="382">
        <v>27</v>
      </c>
      <c r="B29" t="s">
        <v>492</v>
      </c>
      <c r="C29" t="s">
        <v>236</v>
      </c>
      <c r="D29" t="s">
        <v>491</v>
      </c>
      <c r="E29" s="521" t="s">
        <v>488</v>
      </c>
      <c r="F29">
        <v>21945557.4537552</v>
      </c>
      <c r="G29">
        <v>1793559.847370482</v>
      </c>
      <c r="H29">
        <v>6553638.8033274142</v>
      </c>
      <c r="J29">
        <v>2185114.2394198691</v>
      </c>
      <c r="K29">
        <v>140178.23891742001</v>
      </c>
      <c r="L29">
        <v>229382.57277396001</v>
      </c>
      <c r="M29">
        <v>140178.23891742001</v>
      </c>
      <c r="N29">
        <v>0</v>
      </c>
      <c r="O29">
        <v>0</v>
      </c>
      <c r="P29">
        <v>6371.7381326100012</v>
      </c>
      <c r="Q29">
        <v>223300.76884139999</v>
      </c>
      <c r="R29">
        <v>204013.43084379999</v>
      </c>
      <c r="S29">
        <v>0</v>
      </c>
      <c r="U29">
        <v>1164791.1799528601</v>
      </c>
      <c r="V29">
        <v>255685.86877013999</v>
      </c>
      <c r="W29">
        <v>0</v>
      </c>
      <c r="X29">
        <v>75227.434335700003</v>
      </c>
      <c r="Y29">
        <v>83840.012366400013</v>
      </c>
      <c r="Z29">
        <v>19414.018525889998</v>
      </c>
      <c r="AA29">
        <v>23049.244032538922</v>
      </c>
      <c r="AB29">
        <v>0</v>
      </c>
    </row>
    <row r="30" spans="1:28" x14ac:dyDescent="0.2">
      <c r="A30" s="382">
        <v>28</v>
      </c>
      <c r="B30" t="s">
        <v>492</v>
      </c>
      <c r="C30" t="s">
        <v>236</v>
      </c>
      <c r="D30" t="s">
        <v>491</v>
      </c>
      <c r="E30" s="521" t="s">
        <v>489</v>
      </c>
      <c r="F30">
        <v>21434205.723736301</v>
      </c>
      <c r="G30">
        <v>1688754.791964466</v>
      </c>
      <c r="H30">
        <v>6559107.8727129437</v>
      </c>
      <c r="J30">
        <v>1881023.94643</v>
      </c>
      <c r="K30">
        <v>93314.489028419994</v>
      </c>
      <c r="L30">
        <v>152696.43659195999</v>
      </c>
      <c r="M30">
        <v>93314.489028419994</v>
      </c>
      <c r="N30">
        <v>0</v>
      </c>
      <c r="O30">
        <v>0</v>
      </c>
      <c r="P30">
        <v>4241.56768311</v>
      </c>
      <c r="Q30">
        <v>145252.4523343</v>
      </c>
      <c r="R30">
        <v>131341.6441487</v>
      </c>
      <c r="S30">
        <v>0</v>
      </c>
      <c r="U30">
        <v>674463.64796437987</v>
      </c>
      <c r="V30">
        <v>148052.99589461999</v>
      </c>
      <c r="W30">
        <v>0</v>
      </c>
      <c r="X30">
        <v>45827.910949300007</v>
      </c>
      <c r="Y30">
        <v>70100.515589899995</v>
      </c>
      <c r="Z30">
        <v>10359.67060404</v>
      </c>
      <c r="AA30">
        <v>22237.98019985202</v>
      </c>
      <c r="AB30">
        <v>0</v>
      </c>
    </row>
    <row r="31" spans="1:28" x14ac:dyDescent="0.2">
      <c r="A31" s="382">
        <v>29</v>
      </c>
      <c r="B31" t="s">
        <v>492</v>
      </c>
      <c r="C31" t="s">
        <v>236</v>
      </c>
      <c r="D31" t="s">
        <v>491</v>
      </c>
      <c r="E31" s="521" t="s">
        <v>490</v>
      </c>
      <c r="F31">
        <v>251034.93669900001</v>
      </c>
      <c r="G31">
        <v>32569.915782759999</v>
      </c>
      <c r="H31">
        <v>63884.882414400003</v>
      </c>
      <c r="J31">
        <v>14115.5613018</v>
      </c>
      <c r="K31">
        <v>730.57696521259993</v>
      </c>
      <c r="L31">
        <v>1195.4895794388001</v>
      </c>
      <c r="M31">
        <v>730.57696521259993</v>
      </c>
      <c r="N31">
        <v>0</v>
      </c>
      <c r="O31">
        <v>0</v>
      </c>
      <c r="P31">
        <v>33.208043873299999</v>
      </c>
      <c r="Q31">
        <v>2127.4658460350001</v>
      </c>
      <c r="R31">
        <v>915.2988718119999</v>
      </c>
      <c r="S31">
        <v>0</v>
      </c>
      <c r="U31">
        <v>9205.5282812792011</v>
      </c>
      <c r="V31">
        <v>2020.7257202808</v>
      </c>
      <c r="W31">
        <v>0</v>
      </c>
      <c r="X31">
        <v>318.76496647699997</v>
      </c>
      <c r="Y31">
        <v>308.09361708199998</v>
      </c>
      <c r="Z31">
        <v>106.32769188020001</v>
      </c>
      <c r="AA31">
        <v>290.32766857299998</v>
      </c>
      <c r="AB31">
        <v>0</v>
      </c>
    </row>
    <row r="32" spans="1:28" x14ac:dyDescent="0.2">
      <c r="A32" s="382">
        <v>30</v>
      </c>
      <c r="B32" t="s">
        <v>493</v>
      </c>
      <c r="C32" t="s">
        <v>236</v>
      </c>
      <c r="D32" t="s">
        <v>487</v>
      </c>
      <c r="E32" s="521" t="s">
        <v>488</v>
      </c>
      <c r="F32">
        <v>36981347.438247897</v>
      </c>
      <c r="G32">
        <v>2809467.1750420458</v>
      </c>
      <c r="H32">
        <v>10976371.751527339</v>
      </c>
      <c r="J32">
        <v>3865320.516786288</v>
      </c>
      <c r="K32">
        <v>334729.60746500001</v>
      </c>
      <c r="L32">
        <v>547739.35766999994</v>
      </c>
      <c r="M32">
        <v>334729.60746500001</v>
      </c>
      <c r="N32">
        <v>0</v>
      </c>
      <c r="O32">
        <v>0</v>
      </c>
      <c r="P32">
        <v>15214.982157500001</v>
      </c>
      <c r="Q32">
        <v>523972.77852669999</v>
      </c>
      <c r="R32">
        <v>496943.10682099999</v>
      </c>
      <c r="S32">
        <v>0</v>
      </c>
      <c r="U32">
        <v>2575038.0325930002</v>
      </c>
      <c r="V32">
        <v>565252.2510569999</v>
      </c>
      <c r="W32">
        <v>0</v>
      </c>
      <c r="X32">
        <v>178343.75918200001</v>
      </c>
      <c r="Y32">
        <v>217648.67217100001</v>
      </c>
      <c r="Z32">
        <v>46254.969896400013</v>
      </c>
      <c r="AA32">
        <v>39005.113396516812</v>
      </c>
      <c r="AB32">
        <v>0</v>
      </c>
    </row>
    <row r="33" spans="1:28" x14ac:dyDescent="0.2">
      <c r="A33" s="382">
        <v>31</v>
      </c>
      <c r="B33" t="s">
        <v>493</v>
      </c>
      <c r="C33" t="s">
        <v>236</v>
      </c>
      <c r="D33" t="s">
        <v>487</v>
      </c>
      <c r="E33" s="521" t="s">
        <v>489</v>
      </c>
      <c r="F33">
        <v>36439903.210559651</v>
      </c>
      <c r="G33">
        <v>2565047.5734781129</v>
      </c>
      <c r="H33">
        <v>11236505.46138992</v>
      </c>
      <c r="J33">
        <v>3846512.9244067599</v>
      </c>
      <c r="K33">
        <v>200849.66505119999</v>
      </c>
      <c r="L33">
        <v>328663.08826559997</v>
      </c>
      <c r="M33">
        <v>200849.66505119999</v>
      </c>
      <c r="N33">
        <v>0</v>
      </c>
      <c r="O33">
        <v>0</v>
      </c>
      <c r="P33">
        <v>9129.5302296000009</v>
      </c>
      <c r="Q33">
        <v>302123.343674</v>
      </c>
      <c r="R33">
        <v>298435.11041999998</v>
      </c>
      <c r="S33">
        <v>0</v>
      </c>
      <c r="U33">
        <v>1244046.6839352001</v>
      </c>
      <c r="V33">
        <v>273083.41842479998</v>
      </c>
      <c r="W33">
        <v>0</v>
      </c>
      <c r="X33">
        <v>100822.35825400001</v>
      </c>
      <c r="Y33">
        <v>176143.03432400001</v>
      </c>
      <c r="Z33">
        <v>22187.755996700002</v>
      </c>
      <c r="AA33">
        <v>37138.687293283248</v>
      </c>
      <c r="AB33">
        <v>0</v>
      </c>
    </row>
    <row r="34" spans="1:28" x14ac:dyDescent="0.2">
      <c r="A34" s="382">
        <v>32</v>
      </c>
      <c r="B34" t="s">
        <v>493</v>
      </c>
      <c r="C34" t="s">
        <v>236</v>
      </c>
      <c r="D34" t="s">
        <v>487</v>
      </c>
      <c r="E34" s="521" t="s">
        <v>490</v>
      </c>
      <c r="F34">
        <v>1605136.8791400001</v>
      </c>
      <c r="G34">
        <v>107367.202618</v>
      </c>
      <c r="H34">
        <v>261865.82900999999</v>
      </c>
      <c r="J34">
        <v>121420.9825963</v>
      </c>
      <c r="K34">
        <v>6562.8591533340004</v>
      </c>
      <c r="L34">
        <v>10739.224069092001</v>
      </c>
      <c r="M34">
        <v>6562.8591533340004</v>
      </c>
      <c r="N34">
        <v>0</v>
      </c>
      <c r="O34">
        <v>0</v>
      </c>
      <c r="P34">
        <v>298.31177969700002</v>
      </c>
      <c r="Q34">
        <v>6922.8745786299987</v>
      </c>
      <c r="R34">
        <v>3692.27418717</v>
      </c>
      <c r="S34">
        <v>0</v>
      </c>
      <c r="U34">
        <v>36114.206696059991</v>
      </c>
      <c r="V34">
        <v>7927.5087869399986</v>
      </c>
      <c r="W34">
        <v>0</v>
      </c>
      <c r="X34">
        <v>2996.570031621</v>
      </c>
      <c r="Y34">
        <v>1683.901945371</v>
      </c>
      <c r="Z34">
        <v>580.90059358200006</v>
      </c>
      <c r="AA34">
        <v>1144.3752086899999</v>
      </c>
      <c r="AB34">
        <v>0</v>
      </c>
    </row>
    <row r="35" spans="1:28" x14ac:dyDescent="0.2">
      <c r="A35" s="382">
        <v>33</v>
      </c>
      <c r="B35" t="s">
        <v>493</v>
      </c>
      <c r="C35" t="s">
        <v>236</v>
      </c>
      <c r="D35" t="s">
        <v>491</v>
      </c>
      <c r="E35" s="521" t="s">
        <v>488</v>
      </c>
      <c r="F35">
        <v>15408689.397983089</v>
      </c>
      <c r="G35">
        <v>1246390.0042784719</v>
      </c>
      <c r="H35">
        <v>4557730.3712257044</v>
      </c>
      <c r="J35">
        <v>1568369.5463770269</v>
      </c>
      <c r="K35">
        <v>126490.5362162606</v>
      </c>
      <c r="L35">
        <v>229382.57277396001</v>
      </c>
      <c r="M35">
        <v>126490.5362162606</v>
      </c>
      <c r="N35">
        <v>0</v>
      </c>
      <c r="O35">
        <v>0</v>
      </c>
      <c r="P35">
        <v>6371.7381326100012</v>
      </c>
      <c r="Q35">
        <v>223300.76884139999</v>
      </c>
      <c r="R35">
        <v>204013.43084379999</v>
      </c>
      <c r="S35">
        <v>0</v>
      </c>
      <c r="U35">
        <v>1164791.1799528601</v>
      </c>
      <c r="V35">
        <v>255685.86877013999</v>
      </c>
      <c r="W35">
        <v>0</v>
      </c>
      <c r="X35">
        <v>75227.434335700003</v>
      </c>
      <c r="Y35">
        <v>83840.012366400013</v>
      </c>
      <c r="Z35">
        <v>19414.018525889998</v>
      </c>
      <c r="AA35">
        <v>17752.66941995627</v>
      </c>
      <c r="AB35">
        <v>0</v>
      </c>
    </row>
    <row r="36" spans="1:28" x14ac:dyDescent="0.2">
      <c r="A36" s="382">
        <v>34</v>
      </c>
      <c r="B36" t="s">
        <v>493</v>
      </c>
      <c r="C36" t="s">
        <v>236</v>
      </c>
      <c r="D36" t="s">
        <v>491</v>
      </c>
      <c r="E36" s="521" t="s">
        <v>489</v>
      </c>
      <c r="F36">
        <v>15063240.17683954</v>
      </c>
      <c r="G36">
        <v>1176320.768213826</v>
      </c>
      <c r="H36">
        <v>4560147.534978481</v>
      </c>
      <c r="J36">
        <v>1541801.367432178</v>
      </c>
      <c r="K36">
        <v>93314.489028419994</v>
      </c>
      <c r="L36">
        <v>152696.43659195999</v>
      </c>
      <c r="M36">
        <v>93314.489028419994</v>
      </c>
      <c r="N36">
        <v>0</v>
      </c>
      <c r="O36">
        <v>0</v>
      </c>
      <c r="P36">
        <v>4241.56768311</v>
      </c>
      <c r="Q36">
        <v>145252.4523343</v>
      </c>
      <c r="R36">
        <v>131341.6441487</v>
      </c>
      <c r="S36">
        <v>0</v>
      </c>
      <c r="U36">
        <v>674463.64796437987</v>
      </c>
      <c r="V36">
        <v>148052.99589461999</v>
      </c>
      <c r="W36">
        <v>0</v>
      </c>
      <c r="X36">
        <v>45827.910949300007</v>
      </c>
      <c r="Y36">
        <v>70100.515589899995</v>
      </c>
      <c r="Z36">
        <v>10359.67060404</v>
      </c>
      <c r="AA36">
        <v>17194.956796279708</v>
      </c>
      <c r="AB36">
        <v>0</v>
      </c>
    </row>
    <row r="37" spans="1:28" x14ac:dyDescent="0.2">
      <c r="A37" s="382">
        <v>35</v>
      </c>
      <c r="B37" t="s">
        <v>493</v>
      </c>
      <c r="C37" t="s">
        <v>236</v>
      </c>
      <c r="D37" t="s">
        <v>491</v>
      </c>
      <c r="E37" s="521" t="s">
        <v>490</v>
      </c>
      <c r="F37">
        <v>251034.93669900001</v>
      </c>
      <c r="G37">
        <v>32569.915782759999</v>
      </c>
      <c r="H37">
        <v>63884.882414400003</v>
      </c>
      <c r="J37">
        <v>14115.5613018</v>
      </c>
      <c r="K37">
        <v>730.57696521259993</v>
      </c>
      <c r="L37">
        <v>1195.4895794388001</v>
      </c>
      <c r="M37">
        <v>730.57696521259993</v>
      </c>
      <c r="N37">
        <v>0</v>
      </c>
      <c r="O37">
        <v>0</v>
      </c>
      <c r="P37">
        <v>33.208043873299999</v>
      </c>
      <c r="Q37">
        <v>2127.4658460350001</v>
      </c>
      <c r="R37">
        <v>915.2988718119999</v>
      </c>
      <c r="S37">
        <v>0</v>
      </c>
      <c r="U37">
        <v>9205.5282812792011</v>
      </c>
      <c r="V37">
        <v>2020.7257202808</v>
      </c>
      <c r="W37">
        <v>0</v>
      </c>
      <c r="X37">
        <v>318.76496647699997</v>
      </c>
      <c r="Y37">
        <v>308.09361708199998</v>
      </c>
      <c r="Z37">
        <v>106.32769188020001</v>
      </c>
      <c r="AA37">
        <v>290.32766857299998</v>
      </c>
      <c r="AB37">
        <v>0</v>
      </c>
    </row>
    <row r="38" spans="1:28" s="135" customFormat="1" x14ac:dyDescent="0.2">
      <c r="A38" s="397">
        <v>36</v>
      </c>
      <c r="B38" s="135" t="s">
        <v>235</v>
      </c>
      <c r="C38" s="135" t="s">
        <v>494</v>
      </c>
      <c r="D38" s="135" t="s">
        <v>487</v>
      </c>
      <c r="E38" s="539" t="s">
        <v>488</v>
      </c>
      <c r="F38" s="135">
        <v>64237561.427420288</v>
      </c>
      <c r="G38" s="135">
        <v>6117672.8246433241</v>
      </c>
      <c r="H38" s="135">
        <v>11452865.489677809</v>
      </c>
      <c r="J38" s="135">
        <v>6707692.6607100004</v>
      </c>
      <c r="K38" s="135">
        <v>334729.60746500001</v>
      </c>
      <c r="L38" s="135">
        <v>547739.35766999994</v>
      </c>
      <c r="M38" s="135">
        <v>334729.60746500001</v>
      </c>
      <c r="N38" s="135">
        <v>0</v>
      </c>
      <c r="O38" s="135">
        <v>0</v>
      </c>
      <c r="P38" s="135">
        <v>15214.982157500001</v>
      </c>
      <c r="Q38" s="135">
        <v>523972.77852669999</v>
      </c>
      <c r="R38" s="135">
        <v>496943.10682099999</v>
      </c>
      <c r="S38" s="135">
        <v>0</v>
      </c>
      <c r="U38" s="135">
        <v>2575038.0325930002</v>
      </c>
      <c r="V38" s="135">
        <v>565252.2510569999</v>
      </c>
      <c r="W38" s="135">
        <v>0</v>
      </c>
      <c r="X38" s="135">
        <v>178343.75918200001</v>
      </c>
      <c r="Y38" s="135">
        <v>217648.67217100001</v>
      </c>
      <c r="Z38" s="135">
        <v>46254.969896400013</v>
      </c>
      <c r="AA38" s="135">
        <v>49533.205986693189</v>
      </c>
      <c r="AB38" s="135">
        <v>0</v>
      </c>
    </row>
    <row r="39" spans="1:28" x14ac:dyDescent="0.2">
      <c r="A39" s="382">
        <v>37</v>
      </c>
      <c r="B39" t="s">
        <v>235</v>
      </c>
      <c r="C39" t="s">
        <v>494</v>
      </c>
      <c r="D39" t="s">
        <v>487</v>
      </c>
      <c r="E39" s="521" t="s">
        <v>489</v>
      </c>
      <c r="F39">
        <v>64556839.89272029</v>
      </c>
      <c r="G39">
        <v>4830213.6899400009</v>
      </c>
      <c r="H39">
        <v>11795805.648085991</v>
      </c>
      <c r="J39">
        <v>4224987.0418600002</v>
      </c>
      <c r="K39">
        <v>200849.66505119999</v>
      </c>
      <c r="L39">
        <v>328663.08826559997</v>
      </c>
      <c r="M39">
        <v>200849.66505119999</v>
      </c>
      <c r="N39">
        <v>0</v>
      </c>
      <c r="O39">
        <v>0</v>
      </c>
      <c r="P39">
        <v>9129.5302296000009</v>
      </c>
      <c r="Q39">
        <v>302123.343674</v>
      </c>
      <c r="R39">
        <v>298435.11041999998</v>
      </c>
      <c r="S39">
        <v>0</v>
      </c>
      <c r="U39">
        <v>1244046.6839352001</v>
      </c>
      <c r="V39">
        <v>273083.41842479998</v>
      </c>
      <c r="W39">
        <v>0</v>
      </c>
      <c r="X39">
        <v>100822.35825400001</v>
      </c>
      <c r="Y39">
        <v>176143.03432400001</v>
      </c>
      <c r="Z39">
        <v>22187.755996700002</v>
      </c>
      <c r="AA39">
        <v>46681.577130422083</v>
      </c>
      <c r="AB39">
        <v>0</v>
      </c>
    </row>
    <row r="40" spans="1:28" x14ac:dyDescent="0.2">
      <c r="A40" s="382">
        <v>38</v>
      </c>
      <c r="B40" t="s">
        <v>235</v>
      </c>
      <c r="C40" t="s">
        <v>494</v>
      </c>
      <c r="D40" t="s">
        <v>487</v>
      </c>
      <c r="E40" s="521" t="s">
        <v>490</v>
      </c>
      <c r="F40">
        <v>1605136.8791400001</v>
      </c>
      <c r="G40">
        <v>107367.202618</v>
      </c>
      <c r="H40">
        <v>261865.82900999999</v>
      </c>
      <c r="J40">
        <v>121420.9825963</v>
      </c>
      <c r="K40">
        <v>6562.8591533340004</v>
      </c>
      <c r="L40">
        <v>10739.224069092001</v>
      </c>
      <c r="M40">
        <v>6562.8591533340004</v>
      </c>
      <c r="N40">
        <v>0</v>
      </c>
      <c r="O40">
        <v>0</v>
      </c>
      <c r="P40">
        <v>298.31177969700002</v>
      </c>
      <c r="Q40">
        <v>6922.8745786299987</v>
      </c>
      <c r="R40">
        <v>3692.27418717</v>
      </c>
      <c r="S40">
        <v>0</v>
      </c>
      <c r="U40">
        <v>36114.206696059991</v>
      </c>
      <c r="V40">
        <v>7927.5087869399986</v>
      </c>
      <c r="W40">
        <v>0</v>
      </c>
      <c r="X40">
        <v>2996.570031621</v>
      </c>
      <c r="Y40">
        <v>1683.901945371</v>
      </c>
      <c r="Z40">
        <v>580.90059358200006</v>
      </c>
      <c r="AA40">
        <v>1144.3752086899999</v>
      </c>
      <c r="AB40">
        <v>0</v>
      </c>
    </row>
    <row r="41" spans="1:28" x14ac:dyDescent="0.2">
      <c r="A41" s="382">
        <v>39</v>
      </c>
      <c r="B41" t="s">
        <v>235</v>
      </c>
      <c r="C41" t="s">
        <v>494</v>
      </c>
      <c r="D41" t="s">
        <v>491</v>
      </c>
      <c r="E41" s="521" t="s">
        <v>488</v>
      </c>
      <c r="F41">
        <v>26276062.828916632</v>
      </c>
      <c r="G41">
        <v>2589903.5262784059</v>
      </c>
      <c r="H41">
        <v>4788998.6344985804</v>
      </c>
      <c r="J41">
        <v>2786956.9508799999</v>
      </c>
      <c r="K41">
        <v>140178.23891742001</v>
      </c>
      <c r="L41">
        <v>229382.57277396001</v>
      </c>
      <c r="M41">
        <v>140178.23891742001</v>
      </c>
      <c r="N41">
        <v>0</v>
      </c>
      <c r="O41">
        <v>0</v>
      </c>
      <c r="P41">
        <v>6371.7381326100012</v>
      </c>
      <c r="Q41">
        <v>223300.76884139999</v>
      </c>
      <c r="R41">
        <v>204013.43084379999</v>
      </c>
      <c r="S41">
        <v>0</v>
      </c>
      <c r="U41">
        <v>1164791.1799528601</v>
      </c>
      <c r="V41">
        <v>255685.86877013999</v>
      </c>
      <c r="W41">
        <v>0</v>
      </c>
      <c r="X41">
        <v>75227.434335700003</v>
      </c>
      <c r="Y41">
        <v>83840.012366400013</v>
      </c>
      <c r="Z41">
        <v>19414.018525889998</v>
      </c>
      <c r="AA41">
        <v>22277.582962812379</v>
      </c>
      <c r="AB41">
        <v>0</v>
      </c>
    </row>
    <row r="42" spans="1:28" x14ac:dyDescent="0.2">
      <c r="A42" s="382">
        <v>40</v>
      </c>
      <c r="B42" t="s">
        <v>235</v>
      </c>
      <c r="C42" t="s">
        <v>494</v>
      </c>
      <c r="D42" t="s">
        <v>491</v>
      </c>
      <c r="E42" s="521" t="s">
        <v>489</v>
      </c>
      <c r="F42">
        <v>25948795.596648522</v>
      </c>
      <c r="G42">
        <v>2546327.0278533911</v>
      </c>
      <c r="H42">
        <v>4811603.3736605598</v>
      </c>
      <c r="J42">
        <v>1881023.94643</v>
      </c>
      <c r="K42">
        <v>93314.489028419994</v>
      </c>
      <c r="L42">
        <v>152696.43659195999</v>
      </c>
      <c r="M42">
        <v>93314.489028419994</v>
      </c>
      <c r="N42">
        <v>0</v>
      </c>
      <c r="O42">
        <v>0</v>
      </c>
      <c r="P42">
        <v>4241.56768311</v>
      </c>
      <c r="Q42">
        <v>145252.4523343</v>
      </c>
      <c r="R42">
        <v>131341.6441487</v>
      </c>
      <c r="S42">
        <v>0</v>
      </c>
      <c r="U42">
        <v>674463.64796437987</v>
      </c>
      <c r="V42">
        <v>148052.99589461999</v>
      </c>
      <c r="W42">
        <v>0</v>
      </c>
      <c r="X42">
        <v>45827.910949300007</v>
      </c>
      <c r="Y42">
        <v>70100.515589899995</v>
      </c>
      <c r="Z42">
        <v>10359.67060404</v>
      </c>
      <c r="AA42">
        <v>21418.530779787739</v>
      </c>
      <c r="AB42">
        <v>0</v>
      </c>
    </row>
    <row r="43" spans="1:28" x14ac:dyDescent="0.2">
      <c r="A43" s="382">
        <v>41</v>
      </c>
      <c r="B43" t="s">
        <v>235</v>
      </c>
      <c r="C43" t="s">
        <v>494</v>
      </c>
      <c r="D43" t="s">
        <v>491</v>
      </c>
      <c r="E43" s="521" t="s">
        <v>490</v>
      </c>
      <c r="F43">
        <v>251034.93669900001</v>
      </c>
      <c r="G43">
        <v>32569.915782759999</v>
      </c>
      <c r="H43">
        <v>63884.882414400003</v>
      </c>
      <c r="J43">
        <v>14115.5613018</v>
      </c>
      <c r="K43">
        <v>730.57696521259993</v>
      </c>
      <c r="L43">
        <v>1195.4895794388001</v>
      </c>
      <c r="M43">
        <v>730.57696521259993</v>
      </c>
      <c r="N43">
        <v>0</v>
      </c>
      <c r="O43">
        <v>0</v>
      </c>
      <c r="P43">
        <v>33.208043873299999</v>
      </c>
      <c r="Q43">
        <v>2127.4658460350001</v>
      </c>
      <c r="R43">
        <v>915.2988718119999</v>
      </c>
      <c r="S43">
        <v>0</v>
      </c>
      <c r="U43">
        <v>9205.5282812792011</v>
      </c>
      <c r="V43">
        <v>2020.7257202808</v>
      </c>
      <c r="W43">
        <v>0</v>
      </c>
      <c r="X43">
        <v>318.76496647699997</v>
      </c>
      <c r="Y43">
        <v>308.09361708199998</v>
      </c>
      <c r="Z43">
        <v>106.32769188020001</v>
      </c>
      <c r="AA43">
        <v>290.32766857299998</v>
      </c>
      <c r="AB43">
        <v>0</v>
      </c>
    </row>
    <row r="44" spans="1:28" x14ac:dyDescent="0.2">
      <c r="A44" s="382">
        <v>42</v>
      </c>
      <c r="B44" t="s">
        <v>492</v>
      </c>
      <c r="C44" t="s">
        <v>494</v>
      </c>
      <c r="D44" t="s">
        <v>487</v>
      </c>
      <c r="E44" s="521" t="s">
        <v>488</v>
      </c>
      <c r="F44">
        <v>75758415.891323373</v>
      </c>
      <c r="G44">
        <v>7264637.9214574527</v>
      </c>
      <c r="H44">
        <v>13323940.273459639</v>
      </c>
      <c r="J44">
        <v>6707692.6607100004</v>
      </c>
      <c r="K44">
        <v>334729.60746500001</v>
      </c>
      <c r="L44">
        <v>547739.35766999994</v>
      </c>
      <c r="M44">
        <v>334729.60746500001</v>
      </c>
      <c r="N44">
        <v>0</v>
      </c>
      <c r="O44">
        <v>0</v>
      </c>
      <c r="P44">
        <v>15214.982157500001</v>
      </c>
      <c r="Q44">
        <v>523972.77852669999</v>
      </c>
      <c r="R44">
        <v>496943.10682099999</v>
      </c>
      <c r="S44">
        <v>0</v>
      </c>
      <c r="U44">
        <v>2575038.0325930002</v>
      </c>
      <c r="V44">
        <v>565252.2510569999</v>
      </c>
      <c r="W44">
        <v>0</v>
      </c>
      <c r="X44">
        <v>178343.75918200001</v>
      </c>
      <c r="Y44">
        <v>217648.67217100001</v>
      </c>
      <c r="Z44">
        <v>46254.969896400013</v>
      </c>
      <c r="AA44">
        <v>56412.334711530333</v>
      </c>
      <c r="AB44">
        <v>0</v>
      </c>
    </row>
    <row r="45" spans="1:28" x14ac:dyDescent="0.2">
      <c r="A45" s="382">
        <v>43</v>
      </c>
      <c r="B45" t="s">
        <v>492</v>
      </c>
      <c r="C45" t="s">
        <v>494</v>
      </c>
      <c r="D45" t="s">
        <v>487</v>
      </c>
      <c r="E45" s="521" t="s">
        <v>489</v>
      </c>
      <c r="F45">
        <v>76125338.290910497</v>
      </c>
      <c r="G45">
        <v>4830213.6899400009</v>
      </c>
      <c r="H45">
        <v>13742407.23063539</v>
      </c>
      <c r="J45">
        <v>4224987.0418600002</v>
      </c>
      <c r="K45">
        <v>200849.66505119999</v>
      </c>
      <c r="L45">
        <v>328663.08826559997</v>
      </c>
      <c r="M45">
        <v>200849.66505119999</v>
      </c>
      <c r="N45">
        <v>0</v>
      </c>
      <c r="O45">
        <v>0</v>
      </c>
      <c r="P45">
        <v>9129.5302296000009</v>
      </c>
      <c r="Q45">
        <v>302123.343674</v>
      </c>
      <c r="R45">
        <v>298435.11041999998</v>
      </c>
      <c r="S45">
        <v>0</v>
      </c>
      <c r="U45">
        <v>1244046.6839352001</v>
      </c>
      <c r="V45">
        <v>273083.41842479998</v>
      </c>
      <c r="W45">
        <v>0</v>
      </c>
      <c r="X45">
        <v>100822.35825400001</v>
      </c>
      <c r="Y45">
        <v>176143.03432400001</v>
      </c>
      <c r="Z45">
        <v>22187.755996700002</v>
      </c>
      <c r="AA45">
        <v>53046.651540934981</v>
      </c>
      <c r="AB45">
        <v>0</v>
      </c>
    </row>
    <row r="46" spans="1:28" x14ac:dyDescent="0.2">
      <c r="A46" s="382">
        <v>44</v>
      </c>
      <c r="B46" t="s">
        <v>492</v>
      </c>
      <c r="C46" t="s">
        <v>494</v>
      </c>
      <c r="D46" t="s">
        <v>487</v>
      </c>
      <c r="E46" s="521" t="s">
        <v>490</v>
      </c>
      <c r="F46">
        <v>1605136.8791400001</v>
      </c>
      <c r="G46">
        <v>107367.202618</v>
      </c>
      <c r="H46">
        <v>261865.82900999999</v>
      </c>
      <c r="J46">
        <v>121420.9825963</v>
      </c>
      <c r="K46">
        <v>6562.8591533340004</v>
      </c>
      <c r="L46">
        <v>10739.224069092001</v>
      </c>
      <c r="M46">
        <v>6562.8591533340004</v>
      </c>
      <c r="N46">
        <v>0</v>
      </c>
      <c r="O46">
        <v>0</v>
      </c>
      <c r="P46">
        <v>298.31177969700002</v>
      </c>
      <c r="Q46">
        <v>6922.8745786299987</v>
      </c>
      <c r="R46">
        <v>3692.27418717</v>
      </c>
      <c r="S46">
        <v>0</v>
      </c>
      <c r="U46">
        <v>36114.206696059991</v>
      </c>
      <c r="V46">
        <v>7927.5087869399986</v>
      </c>
      <c r="W46">
        <v>0</v>
      </c>
      <c r="X46">
        <v>2996.570031621</v>
      </c>
      <c r="Y46">
        <v>1683.901945371</v>
      </c>
      <c r="Z46">
        <v>580.90059358200006</v>
      </c>
      <c r="AA46">
        <v>1144.3752086899999</v>
      </c>
      <c r="AB46">
        <v>0</v>
      </c>
    </row>
    <row r="47" spans="1:28" x14ac:dyDescent="0.2">
      <c r="A47" s="382">
        <v>45</v>
      </c>
      <c r="B47" t="s">
        <v>492</v>
      </c>
      <c r="C47" t="s">
        <v>494</v>
      </c>
      <c r="D47" t="s">
        <v>491</v>
      </c>
      <c r="E47" s="521" t="s">
        <v>488</v>
      </c>
      <c r="F47">
        <v>31106221.50811372</v>
      </c>
      <c r="G47">
        <v>3075940.450573999</v>
      </c>
      <c r="H47">
        <v>5559316.2000842104</v>
      </c>
      <c r="J47">
        <v>2786956.9508799999</v>
      </c>
      <c r="K47">
        <v>140178.23891742001</v>
      </c>
      <c r="L47">
        <v>229382.57277396001</v>
      </c>
      <c r="M47">
        <v>140178.23891742001</v>
      </c>
      <c r="N47">
        <v>0</v>
      </c>
      <c r="O47">
        <v>0</v>
      </c>
      <c r="P47">
        <v>6371.7381326100012</v>
      </c>
      <c r="Q47">
        <v>223300.76884139999</v>
      </c>
      <c r="R47">
        <v>204013.43084379999</v>
      </c>
      <c r="S47">
        <v>0</v>
      </c>
      <c r="U47">
        <v>1164791.1799528601</v>
      </c>
      <c r="V47">
        <v>255685.86877013999</v>
      </c>
      <c r="W47">
        <v>0</v>
      </c>
      <c r="X47">
        <v>75227.434335700003</v>
      </c>
      <c r="Y47">
        <v>83840.012366400013</v>
      </c>
      <c r="Z47">
        <v>19414.018525889998</v>
      </c>
      <c r="AA47">
        <v>25276.605993993238</v>
      </c>
      <c r="AB47">
        <v>0</v>
      </c>
    </row>
    <row r="48" spans="1:28" x14ac:dyDescent="0.2">
      <c r="A48" s="382">
        <v>46</v>
      </c>
      <c r="B48" t="s">
        <v>492</v>
      </c>
      <c r="C48" t="s">
        <v>494</v>
      </c>
      <c r="D48" t="s">
        <v>491</v>
      </c>
      <c r="E48" s="521" t="s">
        <v>489</v>
      </c>
      <c r="F48">
        <v>30714774.099674169</v>
      </c>
      <c r="G48">
        <v>2556610.759666</v>
      </c>
      <c r="H48">
        <v>5587246.5840920098</v>
      </c>
      <c r="J48">
        <v>1881023.94643</v>
      </c>
      <c r="K48">
        <v>93314.489028419994</v>
      </c>
      <c r="L48">
        <v>152696.43659195999</v>
      </c>
      <c r="M48">
        <v>93314.489028419994</v>
      </c>
      <c r="N48">
        <v>0</v>
      </c>
      <c r="O48">
        <v>0</v>
      </c>
      <c r="P48">
        <v>4241.56768311</v>
      </c>
      <c r="Q48">
        <v>145252.4523343</v>
      </c>
      <c r="R48">
        <v>131341.6441487</v>
      </c>
      <c r="S48">
        <v>0</v>
      </c>
      <c r="U48">
        <v>674463.64796437987</v>
      </c>
      <c r="V48">
        <v>148052.99589461999</v>
      </c>
      <c r="W48">
        <v>0</v>
      </c>
      <c r="X48">
        <v>45827.910949300007</v>
      </c>
      <c r="Y48">
        <v>70100.515589899995</v>
      </c>
      <c r="Z48">
        <v>10359.67060404</v>
      </c>
      <c r="AA48">
        <v>24256.126315770231</v>
      </c>
      <c r="AB48">
        <v>0</v>
      </c>
    </row>
    <row r="49" spans="1:28" x14ac:dyDescent="0.2">
      <c r="A49" s="382">
        <v>47</v>
      </c>
      <c r="B49" t="s">
        <v>492</v>
      </c>
      <c r="C49" t="s">
        <v>494</v>
      </c>
      <c r="D49" t="s">
        <v>491</v>
      </c>
      <c r="E49" s="521" t="s">
        <v>490</v>
      </c>
      <c r="F49">
        <v>251034.93669900001</v>
      </c>
      <c r="G49">
        <v>32569.915782759999</v>
      </c>
      <c r="H49">
        <v>63884.882414400003</v>
      </c>
      <c r="J49">
        <v>14115.5613018</v>
      </c>
      <c r="K49">
        <v>730.57696521259993</v>
      </c>
      <c r="L49">
        <v>1195.4895794388001</v>
      </c>
      <c r="M49">
        <v>730.57696521259993</v>
      </c>
      <c r="N49">
        <v>0</v>
      </c>
      <c r="O49">
        <v>0</v>
      </c>
      <c r="P49">
        <v>33.208043873299999</v>
      </c>
      <c r="Q49">
        <v>2127.4658460350001</v>
      </c>
      <c r="R49">
        <v>915.2988718119999</v>
      </c>
      <c r="S49">
        <v>0</v>
      </c>
      <c r="U49">
        <v>9205.5282812792011</v>
      </c>
      <c r="V49">
        <v>2020.7257202808</v>
      </c>
      <c r="W49">
        <v>0</v>
      </c>
      <c r="X49">
        <v>318.76496647699997</v>
      </c>
      <c r="Y49">
        <v>308.09361708199998</v>
      </c>
      <c r="Z49">
        <v>106.32769188020001</v>
      </c>
      <c r="AA49">
        <v>290.32766857299998</v>
      </c>
      <c r="AB49">
        <v>0</v>
      </c>
    </row>
    <row r="50" spans="1:28" x14ac:dyDescent="0.2">
      <c r="A50" s="382">
        <v>48</v>
      </c>
      <c r="B50" t="s">
        <v>493</v>
      </c>
      <c r="C50" t="s">
        <v>494</v>
      </c>
      <c r="D50" t="s">
        <v>487</v>
      </c>
      <c r="E50" s="521" t="s">
        <v>488</v>
      </c>
      <c r="F50">
        <v>52716706.963517189</v>
      </c>
      <c r="G50">
        <v>4970707.7278291993</v>
      </c>
      <c r="H50">
        <v>9581790.7058959734</v>
      </c>
      <c r="J50">
        <v>5845075.7018370144</v>
      </c>
      <c r="K50">
        <v>303735.20921251562</v>
      </c>
      <c r="L50">
        <v>547739.35766999994</v>
      </c>
      <c r="M50">
        <v>303735.20921251562</v>
      </c>
      <c r="N50">
        <v>0</v>
      </c>
      <c r="O50">
        <v>0</v>
      </c>
      <c r="P50">
        <v>15214.982157500001</v>
      </c>
      <c r="Q50">
        <v>523972.77852669999</v>
      </c>
      <c r="R50">
        <v>496943.10682099999</v>
      </c>
      <c r="S50">
        <v>0</v>
      </c>
      <c r="U50">
        <v>2575038.0325930002</v>
      </c>
      <c r="V50">
        <v>565252.2510569999</v>
      </c>
      <c r="W50">
        <v>0</v>
      </c>
      <c r="X50">
        <v>178343.75918200001</v>
      </c>
      <c r="Y50">
        <v>217648.67217100001</v>
      </c>
      <c r="Z50">
        <v>46254.969896400013</v>
      </c>
      <c r="AA50">
        <v>42654.077261856051</v>
      </c>
      <c r="AB50">
        <v>0</v>
      </c>
    </row>
    <row r="51" spans="1:28" x14ac:dyDescent="0.2">
      <c r="A51" s="382">
        <v>49</v>
      </c>
      <c r="B51" t="s">
        <v>493</v>
      </c>
      <c r="C51" t="s">
        <v>494</v>
      </c>
      <c r="D51" t="s">
        <v>487</v>
      </c>
      <c r="E51" s="521" t="s">
        <v>489</v>
      </c>
      <c r="F51">
        <v>52988341.494530119</v>
      </c>
      <c r="G51">
        <v>4830213.6899400009</v>
      </c>
      <c r="H51">
        <v>9849204.065536581</v>
      </c>
      <c r="J51">
        <v>4224987.0418600002</v>
      </c>
      <c r="K51">
        <v>200849.66505119999</v>
      </c>
      <c r="L51">
        <v>328663.08826559997</v>
      </c>
      <c r="M51">
        <v>200849.66505119999</v>
      </c>
      <c r="N51">
        <v>0</v>
      </c>
      <c r="O51">
        <v>0</v>
      </c>
      <c r="P51">
        <v>9129.5302296000009</v>
      </c>
      <c r="Q51">
        <v>302123.343674</v>
      </c>
      <c r="R51">
        <v>298435.11041999998</v>
      </c>
      <c r="S51">
        <v>0</v>
      </c>
      <c r="U51">
        <v>1244046.6839352001</v>
      </c>
      <c r="V51">
        <v>273083.41842479998</v>
      </c>
      <c r="W51">
        <v>0</v>
      </c>
      <c r="X51">
        <v>100822.35825400001</v>
      </c>
      <c r="Y51">
        <v>176143.03432400001</v>
      </c>
      <c r="Z51">
        <v>22187.755996700002</v>
      </c>
      <c r="AA51">
        <v>40316.502719909178</v>
      </c>
      <c r="AB51">
        <v>0</v>
      </c>
    </row>
    <row r="52" spans="1:28" x14ac:dyDescent="0.2">
      <c r="A52" s="382">
        <v>50</v>
      </c>
      <c r="B52" t="s">
        <v>493</v>
      </c>
      <c r="C52" t="s">
        <v>494</v>
      </c>
      <c r="D52" t="s">
        <v>487</v>
      </c>
      <c r="E52" s="521" t="s">
        <v>490</v>
      </c>
      <c r="F52">
        <v>1605136.8791400001</v>
      </c>
      <c r="G52">
        <v>107367.202618</v>
      </c>
      <c r="H52">
        <v>261865.82900999999</v>
      </c>
      <c r="J52">
        <v>121420.9825963</v>
      </c>
      <c r="K52">
        <v>6562.8591533340004</v>
      </c>
      <c r="L52">
        <v>10739.224069092001</v>
      </c>
      <c r="M52">
        <v>6562.8591533340004</v>
      </c>
      <c r="N52">
        <v>0</v>
      </c>
      <c r="O52">
        <v>0</v>
      </c>
      <c r="P52">
        <v>298.31177969700002</v>
      </c>
      <c r="Q52">
        <v>6922.8745786299987</v>
      </c>
      <c r="R52">
        <v>3692.27418717</v>
      </c>
      <c r="S52">
        <v>0</v>
      </c>
      <c r="U52">
        <v>36114.206696059991</v>
      </c>
      <c r="V52">
        <v>7927.5087869399986</v>
      </c>
      <c r="W52">
        <v>0</v>
      </c>
      <c r="X52">
        <v>2996.570031621</v>
      </c>
      <c r="Y52">
        <v>1683.901945371</v>
      </c>
      <c r="Z52">
        <v>580.90059358200006</v>
      </c>
      <c r="AA52">
        <v>1144.3752086899999</v>
      </c>
      <c r="AB52">
        <v>0</v>
      </c>
    </row>
    <row r="53" spans="1:28" x14ac:dyDescent="0.2">
      <c r="A53" s="382">
        <v>51</v>
      </c>
      <c r="B53" t="s">
        <v>493</v>
      </c>
      <c r="C53" t="s">
        <v>494</v>
      </c>
      <c r="D53" t="s">
        <v>491</v>
      </c>
      <c r="E53" s="521" t="s">
        <v>488</v>
      </c>
      <c r="F53">
        <v>21445904.149719529</v>
      </c>
      <c r="G53">
        <v>2103866.6019828138</v>
      </c>
      <c r="H53">
        <v>4018681.0689129499</v>
      </c>
      <c r="J53">
        <v>2386495.5990802981</v>
      </c>
      <c r="K53">
        <v>115423.50263731211</v>
      </c>
      <c r="L53">
        <v>229382.57277396001</v>
      </c>
      <c r="M53">
        <v>115423.50263731211</v>
      </c>
      <c r="N53">
        <v>0</v>
      </c>
      <c r="O53">
        <v>0</v>
      </c>
      <c r="P53">
        <v>6371.7381326100012</v>
      </c>
      <c r="Q53">
        <v>223300.76884139999</v>
      </c>
      <c r="R53">
        <v>204013.43084379999</v>
      </c>
      <c r="S53">
        <v>0</v>
      </c>
      <c r="U53">
        <v>1164791.1799528601</v>
      </c>
      <c r="V53">
        <v>255685.86877013999</v>
      </c>
      <c r="W53">
        <v>0</v>
      </c>
      <c r="X53">
        <v>75227.434335700003</v>
      </c>
      <c r="Y53">
        <v>83840.012366400013</v>
      </c>
      <c r="Z53">
        <v>19414.018525889998</v>
      </c>
      <c r="AA53">
        <v>19278.559931631531</v>
      </c>
      <c r="AB53">
        <v>0</v>
      </c>
    </row>
    <row r="54" spans="1:28" x14ac:dyDescent="0.2">
      <c r="A54" s="382">
        <v>52</v>
      </c>
      <c r="B54" t="s">
        <v>493</v>
      </c>
      <c r="C54" t="s">
        <v>494</v>
      </c>
      <c r="D54" t="s">
        <v>491</v>
      </c>
      <c r="E54" s="521" t="s">
        <v>489</v>
      </c>
      <c r="F54">
        <v>21182817.093622878</v>
      </c>
      <c r="G54">
        <v>2068822.0114041921</v>
      </c>
      <c r="H54">
        <v>4035960.163229112</v>
      </c>
      <c r="J54">
        <v>1881023.94643</v>
      </c>
      <c r="K54">
        <v>93314.489028419994</v>
      </c>
      <c r="L54">
        <v>152696.43659195999</v>
      </c>
      <c r="M54">
        <v>93314.489028419994</v>
      </c>
      <c r="N54">
        <v>0</v>
      </c>
      <c r="O54">
        <v>0</v>
      </c>
      <c r="P54">
        <v>4241.56768311</v>
      </c>
      <c r="Q54">
        <v>145252.4523343</v>
      </c>
      <c r="R54">
        <v>131341.6441487</v>
      </c>
      <c r="S54">
        <v>0</v>
      </c>
      <c r="U54">
        <v>674463.64796437987</v>
      </c>
      <c r="V54">
        <v>148052.99589461999</v>
      </c>
      <c r="W54">
        <v>0</v>
      </c>
      <c r="X54">
        <v>45827.910949300007</v>
      </c>
      <c r="Y54">
        <v>70100.515589899995</v>
      </c>
      <c r="Z54">
        <v>10359.67060404</v>
      </c>
      <c r="AA54">
        <v>18580.935243805241</v>
      </c>
      <c r="AB54">
        <v>0</v>
      </c>
    </row>
    <row r="55" spans="1:28" x14ac:dyDescent="0.2">
      <c r="A55" s="382">
        <v>53</v>
      </c>
      <c r="B55" s="522" t="s">
        <v>493</v>
      </c>
      <c r="C55" s="522" t="s">
        <v>494</v>
      </c>
      <c r="D55" s="522" t="s">
        <v>491</v>
      </c>
      <c r="E55" s="523" t="s">
        <v>490</v>
      </c>
      <c r="F55">
        <v>251034.93669900001</v>
      </c>
      <c r="G55">
        <v>32569.915782759999</v>
      </c>
      <c r="H55">
        <v>63884.882414400003</v>
      </c>
      <c r="J55">
        <v>14115.5613018</v>
      </c>
      <c r="K55">
        <v>730.57696521259993</v>
      </c>
      <c r="L55">
        <v>1195.4895794388001</v>
      </c>
      <c r="M55">
        <v>730.57696521259993</v>
      </c>
      <c r="N55">
        <v>0</v>
      </c>
      <c r="O55">
        <v>0</v>
      </c>
      <c r="P55">
        <v>33.208043873299999</v>
      </c>
      <c r="Q55">
        <v>2127.4658460350001</v>
      </c>
      <c r="R55">
        <v>915.2988718119999</v>
      </c>
      <c r="S55">
        <v>0</v>
      </c>
      <c r="U55">
        <v>9205.5282812792011</v>
      </c>
      <c r="V55">
        <v>2020.7257202808</v>
      </c>
      <c r="W55">
        <v>0</v>
      </c>
      <c r="X55">
        <v>318.76496647699997</v>
      </c>
      <c r="Y55">
        <v>308.09361708199998</v>
      </c>
      <c r="Z55">
        <v>106.32769188020001</v>
      </c>
      <c r="AA55">
        <v>290.32766857299998</v>
      </c>
      <c r="AB5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Content</vt:lpstr>
      <vt:lpstr>meta</vt:lpstr>
      <vt:lpstr>mi_pre2018</vt:lpstr>
      <vt:lpstr>MI_2018</vt:lpstr>
      <vt:lpstr>MI_2018-2050</vt:lpstr>
      <vt:lpstr>Share_of_insulation_materials</vt:lpstr>
      <vt:lpstr>GHG_Primary_production</vt:lpstr>
      <vt:lpstr>GHG_Secondary_production</vt:lpstr>
      <vt:lpstr>LCI_comparison</vt:lpstr>
      <vt:lpstr>RR_MRC</vt:lpstr>
      <vt:lpstr>UFA</vt:lpstr>
      <vt:lpstr>Stock_2018_UFA</vt:lpstr>
      <vt:lpstr>Stock_2018</vt:lpstr>
      <vt:lpstr>Stock_2050</vt:lpstr>
      <vt:lpstr>Stock_per_capita</vt:lpstr>
      <vt:lpstr>Demand_outflow_recycled</vt:lpstr>
      <vt:lpstr>Demand_outflow_urbanization</vt:lpstr>
      <vt:lpstr>Demolition</vt:lpstr>
      <vt:lpstr>Primary_secondary_demand</vt:lpstr>
      <vt:lpstr>Demand</vt:lpstr>
      <vt:lpstr>GHG</vt:lpstr>
      <vt:lpstr>Land_occupation</vt:lpstr>
      <vt:lpstr>Land_use</vt:lpstr>
      <vt:lpstr>BAU_RR</vt:lpstr>
      <vt:lpstr>Current_best_RR</vt:lpstr>
      <vt:lpstr>Current_best_RR_II</vt:lpstr>
      <vt:lpstr>Max_RR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Janneke van Oorschot</dc:creator>
  <cp:lastModifiedBy>Mira Kopp</cp:lastModifiedBy>
  <cp:lastPrinted>2022-07-05T15:01:19Z</cp:lastPrinted>
  <dcterms:created xsi:type="dcterms:W3CDTF">2022-02-23T09:08:23Z</dcterms:created>
  <dcterms:modified xsi:type="dcterms:W3CDTF">2024-11-01T12:03:33Z</dcterms:modified>
</cp:coreProperties>
</file>